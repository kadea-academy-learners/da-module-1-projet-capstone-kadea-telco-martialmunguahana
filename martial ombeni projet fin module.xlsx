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25EE559-9740-4E70-AD4D-E68E78B9F1F9}" xr6:coauthVersionLast="47" xr6:coauthVersionMax="47" xr10:uidLastSave="{00000000-0000-0000-0000-000000000000}"/>
  <bookViews>
    <workbookView xWindow="-108" yWindow="-108" windowWidth="23256" windowHeight="12456" activeTab="2" xr2:uid="{97A99695-0B7E-46E2-9A3C-C770AB64B719}"/>
  </bookViews>
  <sheets>
    <sheet name="tableau unifier" sheetId="2" r:id="rId1"/>
    <sheet name="client charne" sheetId="10" r:id="rId2"/>
    <sheet name="Synthèse Macroscopique " sheetId="19" r:id="rId3"/>
    <sheet name="logos transformer " sheetId="18" r:id="rId4"/>
    <sheet name="registe maintenance" sheetId="3" r:id="rId5"/>
  </sheets>
  <definedNames>
    <definedName name="DonnéesExternes_1" localSheetId="0" hidden="1">'tableau unifier'!$A$1:$D$1078</definedName>
    <definedName name="DonnéesExternes_2" localSheetId="3" hidden="1">'logos transformer '!$A$1:$D$661</definedName>
    <definedName name="DonnéesExternes_2" localSheetId="4" hidden="1">'registe maintenance'!$A$1:$F$499</definedName>
    <definedName name="DonnéesExternes_3" localSheetId="1" hidden="1">'client charne'!$A$1:$H$751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I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J2" i="10"/>
  <c r="K2" i="10" s="1"/>
  <c r="J4" i="10"/>
  <c r="K4" i="10" s="1"/>
  <c r="J5" i="10"/>
  <c r="K5" i="10" s="1"/>
  <c r="J6" i="10"/>
  <c r="K6" i="10" s="1"/>
  <c r="J7" i="10"/>
  <c r="K7" i="10" s="1"/>
  <c r="J8" i="10"/>
  <c r="K8" i="10" s="1"/>
  <c r="J10" i="10"/>
  <c r="K10" i="10" s="1"/>
  <c r="J11" i="10"/>
  <c r="K11" i="10" s="1"/>
  <c r="J13" i="10"/>
  <c r="K13" i="10" s="1"/>
  <c r="J16" i="10"/>
  <c r="K16" i="10" s="1"/>
  <c r="J18" i="10"/>
  <c r="K18" i="10" s="1"/>
  <c r="J19" i="10"/>
  <c r="K19" i="10" s="1"/>
  <c r="J20" i="10"/>
  <c r="K20" i="10" s="1"/>
  <c r="J21" i="10"/>
  <c r="K21" i="10" s="1"/>
  <c r="J22" i="10"/>
  <c r="K22" i="10" s="1"/>
  <c r="J23" i="10"/>
  <c r="K23" i="10" s="1"/>
  <c r="J24" i="10"/>
  <c r="K24" i="10" s="1"/>
  <c r="J26" i="10"/>
  <c r="K26" i="10" s="1"/>
  <c r="J28" i="10"/>
  <c r="K28" i="10" s="1"/>
  <c r="J29" i="10"/>
  <c r="K29" i="10" s="1"/>
  <c r="J30" i="10"/>
  <c r="K30" i="10" s="1"/>
  <c r="J31" i="10"/>
  <c r="K31" i="10" s="1"/>
  <c r="J32" i="10"/>
  <c r="K32" i="10" s="1"/>
  <c r="J33" i="10"/>
  <c r="K33" i="10" s="1"/>
  <c r="J35" i="10"/>
  <c r="K35" i="10" s="1"/>
  <c r="J37" i="10"/>
  <c r="K37" i="10" s="1"/>
  <c r="J38" i="10"/>
  <c r="K38" i="10" s="1"/>
  <c r="J39" i="10"/>
  <c r="K39" i="10" s="1"/>
  <c r="J40" i="10"/>
  <c r="K40" i="10" s="1"/>
  <c r="J41" i="10"/>
  <c r="K41" i="10" s="1"/>
  <c r="J42" i="10"/>
  <c r="K42" i="10" s="1"/>
  <c r="J44" i="10"/>
  <c r="K44" i="10" s="1"/>
  <c r="J48" i="10"/>
  <c r="K48" i="10" s="1"/>
  <c r="J51" i="10"/>
  <c r="K51" i="10" s="1"/>
  <c r="J54" i="10"/>
  <c r="K54" i="10" s="1"/>
  <c r="J55" i="10"/>
  <c r="K55" i="10" s="1"/>
  <c r="J56" i="10"/>
  <c r="K56" i="10" s="1"/>
  <c r="J61" i="10"/>
  <c r="K61" i="10" s="1"/>
  <c r="J62" i="10"/>
  <c r="K62" i="10" s="1"/>
  <c r="J63" i="10"/>
  <c r="K63" i="10" s="1"/>
  <c r="J65" i="10"/>
  <c r="K65" i="10" s="1"/>
  <c r="J66" i="10"/>
  <c r="K66" i="10" s="1"/>
  <c r="J67" i="10"/>
  <c r="K67" i="10" s="1"/>
  <c r="J68" i="10"/>
  <c r="K68" i="10" s="1"/>
  <c r="J69" i="10"/>
  <c r="K69" i="10" s="1"/>
  <c r="J70" i="10"/>
  <c r="K70" i="10" s="1"/>
  <c r="J74" i="10"/>
  <c r="K74" i="10" s="1"/>
  <c r="J76" i="10"/>
  <c r="K76" i="10" s="1"/>
  <c r="J79" i="10"/>
  <c r="K79" i="10" s="1"/>
  <c r="J81" i="10"/>
  <c r="K81" i="10" s="1"/>
  <c r="J82" i="10"/>
  <c r="K82" i="10" s="1"/>
  <c r="J84" i="10"/>
  <c r="K84" i="10" s="1"/>
  <c r="J85" i="10"/>
  <c r="K85" i="10" s="1"/>
  <c r="J88" i="10"/>
  <c r="K88" i="10" s="1"/>
  <c r="J89" i="10"/>
  <c r="K89" i="10" s="1"/>
  <c r="J90" i="10"/>
  <c r="K90" i="10" s="1"/>
  <c r="J91" i="10"/>
  <c r="K91" i="10" s="1"/>
  <c r="J94" i="10"/>
  <c r="K94" i="10" s="1"/>
  <c r="J95" i="10"/>
  <c r="K95" i="10" s="1"/>
  <c r="J96" i="10"/>
  <c r="K96" i="10" s="1"/>
  <c r="J97" i="10"/>
  <c r="K97" i="10" s="1"/>
  <c r="J98" i="10"/>
  <c r="K98" i="10" s="1"/>
  <c r="J100" i="10"/>
  <c r="K100" i="10" s="1"/>
  <c r="J102" i="10"/>
  <c r="K102" i="10" s="1"/>
  <c r="J103" i="10"/>
  <c r="K103" i="10" s="1"/>
  <c r="J104" i="10"/>
  <c r="K104" i="10" s="1"/>
  <c r="J105" i="10"/>
  <c r="K105" i="10" s="1"/>
  <c r="J106" i="10"/>
  <c r="K106" i="10" s="1"/>
  <c r="J111" i="10"/>
  <c r="K111" i="10" s="1"/>
  <c r="J113" i="10"/>
  <c r="K113" i="10" s="1"/>
  <c r="J114" i="10"/>
  <c r="K114" i="10" s="1"/>
  <c r="J115" i="10"/>
  <c r="K115" i="10" s="1"/>
  <c r="J118" i="10"/>
  <c r="K118" i="10" s="1"/>
  <c r="J119" i="10"/>
  <c r="K119" i="10" s="1"/>
  <c r="J120" i="10"/>
  <c r="K120" i="10" s="1"/>
  <c r="J121" i="10"/>
  <c r="K121" i="10" s="1"/>
  <c r="J124" i="10"/>
  <c r="K124" i="10" s="1"/>
  <c r="J126" i="10"/>
  <c r="K126" i="10" s="1"/>
  <c r="J131" i="10"/>
  <c r="K131" i="10" s="1"/>
  <c r="J132" i="10"/>
  <c r="K132" i="10" s="1"/>
  <c r="J134" i="10"/>
  <c r="K134" i="10" s="1"/>
  <c r="J135" i="10"/>
  <c r="K135" i="10" s="1"/>
  <c r="J136" i="10"/>
  <c r="K136" i="10" s="1"/>
  <c r="J138" i="10"/>
  <c r="K138" i="10" s="1"/>
  <c r="J139" i="10"/>
  <c r="K139" i="10" s="1"/>
  <c r="J140" i="10"/>
  <c r="K140" i="10" s="1"/>
  <c r="J141" i="10"/>
  <c r="K141" i="10" s="1"/>
  <c r="J142" i="10"/>
  <c r="K142" i="10" s="1"/>
  <c r="J146" i="10"/>
  <c r="K146" i="10" s="1"/>
  <c r="J147" i="10"/>
  <c r="K147" i="10" s="1"/>
  <c r="J148" i="10"/>
  <c r="K148" i="10" s="1"/>
  <c r="J152" i="10"/>
  <c r="K152" i="10" s="1"/>
  <c r="J154" i="10"/>
  <c r="K154" i="10" s="1"/>
  <c r="J155" i="10"/>
  <c r="K155" i="10" s="1"/>
  <c r="J156" i="10"/>
  <c r="K156" i="10" s="1"/>
  <c r="J157" i="10"/>
  <c r="K157" i="10" s="1"/>
  <c r="J159" i="10"/>
  <c r="K159" i="10" s="1"/>
  <c r="J160" i="10"/>
  <c r="K160" i="10" s="1"/>
  <c r="J161" i="10"/>
  <c r="K161" i="10" s="1"/>
  <c r="J162" i="10"/>
  <c r="K162" i="10" s="1"/>
  <c r="J163" i="10"/>
  <c r="K163" i="10" s="1"/>
  <c r="J165" i="10"/>
  <c r="K165" i="10" s="1"/>
  <c r="J169" i="10"/>
  <c r="K169" i="10" s="1"/>
  <c r="J170" i="10"/>
  <c r="K170" i="10" s="1"/>
  <c r="J172" i="10"/>
  <c r="K172" i="10" s="1"/>
  <c r="J174" i="10"/>
  <c r="K174" i="10" s="1"/>
  <c r="J175" i="10"/>
  <c r="K175" i="10" s="1"/>
  <c r="J176" i="10"/>
  <c r="K176" i="10" s="1"/>
  <c r="J177" i="10"/>
  <c r="K177" i="10" s="1"/>
  <c r="J178" i="10"/>
  <c r="K178" i="10" s="1"/>
  <c r="J180" i="10"/>
  <c r="K180" i="10" s="1"/>
  <c r="J181" i="10"/>
  <c r="K181" i="10" s="1"/>
  <c r="J184" i="10"/>
  <c r="K184" i="10" s="1"/>
  <c r="J187" i="10"/>
  <c r="K187" i="10" s="1"/>
  <c r="J188" i="10"/>
  <c r="K188" i="10" s="1"/>
  <c r="J190" i="10"/>
  <c r="K190" i="10" s="1"/>
  <c r="J191" i="10"/>
  <c r="K191" i="10" s="1"/>
  <c r="J192" i="10"/>
  <c r="K192" i="10" s="1"/>
  <c r="J197" i="10"/>
  <c r="K197" i="10" s="1"/>
  <c r="J198" i="10"/>
  <c r="K198" i="10" s="1"/>
  <c r="J200" i="10"/>
  <c r="K200" i="10" s="1"/>
  <c r="J202" i="10"/>
  <c r="K202" i="10" s="1"/>
  <c r="J211" i="10"/>
  <c r="K211" i="10" s="1"/>
  <c r="J219" i="10"/>
  <c r="K219" i="10" s="1"/>
  <c r="J220" i="10"/>
  <c r="K220" i="10" s="1"/>
  <c r="J222" i="10"/>
  <c r="K222" i="10" s="1"/>
  <c r="J223" i="10"/>
  <c r="K223" i="10" s="1"/>
  <c r="J227" i="10"/>
  <c r="K227" i="10" s="1"/>
  <c r="J231" i="10"/>
  <c r="K231" i="10" s="1"/>
  <c r="J232" i="10"/>
  <c r="K232" i="10" s="1"/>
  <c r="J233" i="10"/>
  <c r="K233" i="10" s="1"/>
  <c r="J235" i="10"/>
  <c r="K235" i="10" s="1"/>
  <c r="J236" i="10"/>
  <c r="K236" i="10" s="1"/>
  <c r="J237" i="10"/>
  <c r="K237" i="10" s="1"/>
  <c r="J238" i="10"/>
  <c r="K238" i="10" s="1"/>
  <c r="J239" i="10"/>
  <c r="K239" i="10" s="1"/>
  <c r="J240" i="10"/>
  <c r="K240" i="10" s="1"/>
  <c r="J243" i="10"/>
  <c r="K243" i="10" s="1"/>
  <c r="J245" i="10"/>
  <c r="K245" i="10" s="1"/>
  <c r="J246" i="10"/>
  <c r="K246" i="10" s="1"/>
  <c r="J247" i="10"/>
  <c r="K247" i="10" s="1"/>
  <c r="J248" i="10"/>
  <c r="K248" i="10" s="1"/>
  <c r="J250" i="10"/>
  <c r="K250" i="10" s="1"/>
  <c r="J251" i="10"/>
  <c r="K251" i="10" s="1"/>
  <c r="J252" i="10"/>
  <c r="K252" i="10" s="1"/>
  <c r="J253" i="10"/>
  <c r="K253" i="10" s="1"/>
  <c r="J256" i="10"/>
  <c r="K256" i="10" s="1"/>
  <c r="J258" i="10"/>
  <c r="K258" i="10" s="1"/>
  <c r="J260" i="10"/>
  <c r="K260" i="10" s="1"/>
  <c r="J261" i="10"/>
  <c r="K261" i="10" s="1"/>
  <c r="J264" i="10"/>
  <c r="K264" i="10" s="1"/>
  <c r="J265" i="10"/>
  <c r="K265" i="10" s="1"/>
  <c r="J268" i="10"/>
  <c r="K268" i="10" s="1"/>
  <c r="J269" i="10"/>
  <c r="K269" i="10" s="1"/>
  <c r="J270" i="10"/>
  <c r="K270" i="10" s="1"/>
  <c r="J272" i="10"/>
  <c r="K272" i="10" s="1"/>
  <c r="J273" i="10"/>
  <c r="K273" i="10" s="1"/>
  <c r="J284" i="10"/>
  <c r="K284" i="10" s="1"/>
  <c r="J286" i="10"/>
  <c r="K286" i="10" s="1"/>
  <c r="J287" i="10"/>
  <c r="K287" i="10" s="1"/>
  <c r="J288" i="10"/>
  <c r="K288" i="10" s="1"/>
  <c r="J289" i="10"/>
  <c r="K289" i="10" s="1"/>
  <c r="J294" i="10"/>
  <c r="K294" i="10" s="1"/>
  <c r="J295" i="10"/>
  <c r="K295" i="10" s="1"/>
  <c r="J297" i="10"/>
  <c r="K297" i="10" s="1"/>
  <c r="J298" i="10"/>
  <c r="K298" i="10" s="1"/>
  <c r="J299" i="10"/>
  <c r="K299" i="10" s="1"/>
  <c r="J303" i="10"/>
  <c r="K303" i="10" s="1"/>
  <c r="J305" i="10"/>
  <c r="K305" i="10" s="1"/>
  <c r="J306" i="10"/>
  <c r="K306" i="10" s="1"/>
  <c r="J308" i="10"/>
  <c r="K308" i="10" s="1"/>
  <c r="J310" i="10"/>
  <c r="K310" i="10" s="1"/>
  <c r="J312" i="10"/>
  <c r="K312" i="10" s="1"/>
  <c r="J313" i="10"/>
  <c r="K313" i="10" s="1"/>
  <c r="J315" i="10"/>
  <c r="K315" i="10" s="1"/>
  <c r="J318" i="10"/>
  <c r="K318" i="10" s="1"/>
  <c r="J319" i="10"/>
  <c r="K319" i="10" s="1"/>
  <c r="J321" i="10"/>
  <c r="K321" i="10" s="1"/>
  <c r="J322" i="10"/>
  <c r="K322" i="10" s="1"/>
  <c r="J323" i="10"/>
  <c r="K323" i="10" s="1"/>
  <c r="J325" i="10"/>
  <c r="K325" i="10" s="1"/>
  <c r="J326" i="10"/>
  <c r="K326" i="10" s="1"/>
  <c r="J330" i="10"/>
  <c r="K330" i="10" s="1"/>
  <c r="J333" i="10"/>
  <c r="K333" i="10" s="1"/>
  <c r="J335" i="10"/>
  <c r="K335" i="10" s="1"/>
  <c r="J336" i="10"/>
  <c r="K336" i="10" s="1"/>
  <c r="J337" i="10"/>
  <c r="K337" i="10" s="1"/>
  <c r="J339" i="10"/>
  <c r="K339" i="10" s="1"/>
  <c r="J340" i="10"/>
  <c r="K340" i="10" s="1"/>
  <c r="J342" i="10"/>
  <c r="K342" i="10" s="1"/>
  <c r="J343" i="10"/>
  <c r="K343" i="10" s="1"/>
  <c r="J344" i="10"/>
  <c r="K344" i="10" s="1"/>
  <c r="J345" i="10"/>
  <c r="K345" i="10" s="1"/>
  <c r="J346" i="10"/>
  <c r="K346" i="10" s="1"/>
  <c r="J348" i="10"/>
  <c r="K348" i="10" s="1"/>
  <c r="J349" i="10"/>
  <c r="K349" i="10" s="1"/>
  <c r="J350" i="10"/>
  <c r="K350" i="10" s="1"/>
  <c r="J351" i="10"/>
  <c r="K351" i="10" s="1"/>
  <c r="J353" i="10"/>
  <c r="K353" i="10" s="1"/>
  <c r="J354" i="10"/>
  <c r="K354" i="10" s="1"/>
  <c r="J355" i="10"/>
  <c r="K355" i="10" s="1"/>
  <c r="J356" i="10"/>
  <c r="K356" i="10" s="1"/>
  <c r="J357" i="10"/>
  <c r="K357" i="10" s="1"/>
  <c r="J358" i="10"/>
  <c r="K358" i="10" s="1"/>
  <c r="J359" i="10"/>
  <c r="K359" i="10" s="1"/>
  <c r="J360" i="10"/>
  <c r="K360" i="10" s="1"/>
  <c r="J361" i="10"/>
  <c r="K361" i="10" s="1"/>
  <c r="J362" i="10"/>
  <c r="K362" i="10" s="1"/>
  <c r="J363" i="10"/>
  <c r="K363" i="10" s="1"/>
  <c r="J364" i="10"/>
  <c r="K364" i="10" s="1"/>
  <c r="J366" i="10"/>
  <c r="K366" i="10" s="1"/>
  <c r="J368" i="10"/>
  <c r="K368" i="10" s="1"/>
  <c r="J369" i="10"/>
  <c r="K369" i="10" s="1"/>
  <c r="J370" i="10"/>
  <c r="K370" i="10" s="1"/>
  <c r="J371" i="10"/>
  <c r="K371" i="10" s="1"/>
  <c r="J372" i="10"/>
  <c r="K372" i="10" s="1"/>
  <c r="J373" i="10"/>
  <c r="K373" i="10" s="1"/>
  <c r="J378" i="10"/>
  <c r="K378" i="10" s="1"/>
  <c r="J380" i="10"/>
  <c r="K380" i="10" s="1"/>
  <c r="J382" i="10"/>
  <c r="K382" i="10" s="1"/>
  <c r="J385" i="10"/>
  <c r="K385" i="10" s="1"/>
  <c r="J389" i="10"/>
  <c r="K389" i="10" s="1"/>
  <c r="J392" i="10"/>
  <c r="K392" i="10" s="1"/>
  <c r="J393" i="10"/>
  <c r="K393" i="10" s="1"/>
  <c r="J395" i="10"/>
  <c r="K395" i="10" s="1"/>
  <c r="J396" i="10"/>
  <c r="K396" i="10" s="1"/>
  <c r="J397" i="10"/>
  <c r="K397" i="10" s="1"/>
  <c r="J398" i="10"/>
  <c r="K398" i="10" s="1"/>
  <c r="J399" i="10"/>
  <c r="K399" i="10" s="1"/>
  <c r="J404" i="10"/>
  <c r="K404" i="10" s="1"/>
  <c r="J406" i="10"/>
  <c r="K406" i="10" s="1"/>
  <c r="J408" i="10"/>
  <c r="K408" i="10" s="1"/>
  <c r="J409" i="10"/>
  <c r="K409" i="10" s="1"/>
  <c r="J411" i="10"/>
  <c r="K411" i="10" s="1"/>
  <c r="J412" i="10"/>
  <c r="K412" i="10" s="1"/>
  <c r="J413" i="10"/>
  <c r="K413" i="10" s="1"/>
  <c r="J414" i="10"/>
  <c r="K414" i="10" s="1"/>
  <c r="J416" i="10"/>
  <c r="K416" i="10" s="1"/>
  <c r="J417" i="10"/>
  <c r="K417" i="10" s="1"/>
  <c r="J418" i="10"/>
  <c r="K418" i="10" s="1"/>
  <c r="J419" i="10"/>
  <c r="K419" i="10" s="1"/>
  <c r="J422" i="10"/>
  <c r="K422" i="10" s="1"/>
  <c r="J425" i="10"/>
  <c r="K425" i="10" s="1"/>
  <c r="J426" i="10"/>
  <c r="K426" i="10" s="1"/>
  <c r="J427" i="10"/>
  <c r="K427" i="10" s="1"/>
  <c r="J432" i="10"/>
  <c r="K432" i="10" s="1"/>
  <c r="J436" i="10"/>
  <c r="K436" i="10" s="1"/>
  <c r="J437" i="10"/>
  <c r="K437" i="10" s="1"/>
  <c r="J438" i="10"/>
  <c r="K438" i="10" s="1"/>
  <c r="J439" i="10"/>
  <c r="K439" i="10" s="1"/>
  <c r="J441" i="10"/>
  <c r="K441" i="10" s="1"/>
  <c r="J444" i="10"/>
  <c r="K444" i="10" s="1"/>
  <c r="J445" i="10"/>
  <c r="K445" i="10" s="1"/>
  <c r="J447" i="10"/>
  <c r="K447" i="10" s="1"/>
  <c r="J449" i="10"/>
  <c r="K449" i="10" s="1"/>
  <c r="J451" i="10"/>
  <c r="K451" i="10" s="1"/>
  <c r="J452" i="10"/>
  <c r="K452" i="10" s="1"/>
  <c r="J453" i="10"/>
  <c r="K453" i="10" s="1"/>
  <c r="J455" i="10"/>
  <c r="K455" i="10" s="1"/>
  <c r="J456" i="10"/>
  <c r="K456" i="10" s="1"/>
  <c r="J460" i="10"/>
  <c r="K460" i="10" s="1"/>
  <c r="J462" i="10"/>
  <c r="K462" i="10" s="1"/>
  <c r="J463" i="10"/>
  <c r="K463" i="10" s="1"/>
  <c r="J465" i="10"/>
  <c r="K465" i="10" s="1"/>
  <c r="J466" i="10"/>
  <c r="K466" i="10" s="1"/>
  <c r="J467" i="10"/>
  <c r="K467" i="10" s="1"/>
  <c r="J468" i="10"/>
  <c r="K468" i="10" s="1"/>
  <c r="J478" i="10"/>
  <c r="K478" i="10" s="1"/>
  <c r="J479" i="10"/>
  <c r="K479" i="10" s="1"/>
  <c r="J480" i="10"/>
  <c r="K480" i="10" s="1"/>
  <c r="J483" i="10"/>
  <c r="K483" i="10" s="1"/>
  <c r="J485" i="10"/>
  <c r="K485" i="10" s="1"/>
  <c r="J486" i="10"/>
  <c r="K486" i="10" s="1"/>
  <c r="J488" i="10"/>
  <c r="K488" i="10" s="1"/>
  <c r="J489" i="10"/>
  <c r="K489" i="10" s="1"/>
  <c r="J490" i="10"/>
  <c r="K490" i="10" s="1"/>
  <c r="J491" i="10"/>
  <c r="K491" i="10" s="1"/>
  <c r="J493" i="10"/>
  <c r="K493" i="10" s="1"/>
  <c r="J495" i="10"/>
  <c r="K495" i="10" s="1"/>
  <c r="J498" i="10"/>
  <c r="K498" i="10" s="1"/>
  <c r="J499" i="10"/>
  <c r="K499" i="10" s="1"/>
  <c r="J500" i="10"/>
  <c r="K500" i="10" s="1"/>
  <c r="J504" i="10"/>
  <c r="K504" i="10" s="1"/>
  <c r="J506" i="10"/>
  <c r="K506" i="10" s="1"/>
  <c r="J507" i="10"/>
  <c r="K507" i="10" s="1"/>
  <c r="J508" i="10"/>
  <c r="K508" i="10" s="1"/>
  <c r="J512" i="10"/>
  <c r="K512" i="10" s="1"/>
  <c r="J521" i="10"/>
  <c r="K521" i="10" s="1"/>
  <c r="J522" i="10"/>
  <c r="K522" i="10" s="1"/>
  <c r="J524" i="10"/>
  <c r="K524" i="10" s="1"/>
  <c r="J526" i="10"/>
  <c r="K526" i="10" s="1"/>
  <c r="J528" i="10"/>
  <c r="K528" i="10" s="1"/>
  <c r="J529" i="10"/>
  <c r="K529" i="10" s="1"/>
  <c r="J531" i="10"/>
  <c r="K531" i="10" s="1"/>
  <c r="J532" i="10"/>
  <c r="K532" i="10" s="1"/>
  <c r="J535" i="10"/>
  <c r="K535" i="10" s="1"/>
  <c r="J536" i="10"/>
  <c r="K536" i="10" s="1"/>
  <c r="J539" i="10"/>
  <c r="K539" i="10" s="1"/>
  <c r="J540" i="10"/>
  <c r="K540" i="10" s="1"/>
  <c r="J544" i="10"/>
  <c r="K544" i="10" s="1"/>
  <c r="J545" i="10"/>
  <c r="K545" i="10" s="1"/>
  <c r="J547" i="10"/>
  <c r="K547" i="10" s="1"/>
  <c r="J548" i="10"/>
  <c r="K548" i="10" s="1"/>
  <c r="J549" i="10"/>
  <c r="K549" i="10" s="1"/>
  <c r="J550" i="10"/>
  <c r="K550" i="10" s="1"/>
  <c r="J551" i="10"/>
  <c r="K551" i="10" s="1"/>
  <c r="J554" i="10"/>
  <c r="K554" i="10" s="1"/>
  <c r="J556" i="10"/>
  <c r="K556" i="10" s="1"/>
  <c r="J557" i="10"/>
  <c r="K557" i="10" s="1"/>
  <c r="J558" i="10"/>
  <c r="K558" i="10" s="1"/>
  <c r="J559" i="10"/>
  <c r="K559" i="10" s="1"/>
  <c r="J560" i="10"/>
  <c r="K560" i="10" s="1"/>
  <c r="J563" i="10"/>
  <c r="K563" i="10" s="1"/>
  <c r="J566" i="10"/>
  <c r="K566" i="10" s="1"/>
  <c r="J567" i="10"/>
  <c r="K567" i="10" s="1"/>
  <c r="J568" i="10"/>
  <c r="K568" i="10" s="1"/>
  <c r="J569" i="10"/>
  <c r="K569" i="10" s="1"/>
  <c r="J572" i="10"/>
  <c r="K572" i="10" s="1"/>
  <c r="J573" i="10"/>
  <c r="K573" i="10" s="1"/>
  <c r="J575" i="10"/>
  <c r="K575" i="10" s="1"/>
  <c r="J578" i="10"/>
  <c r="K578" i="10" s="1"/>
  <c r="J580" i="10"/>
  <c r="K580" i="10" s="1"/>
  <c r="J582" i="10"/>
  <c r="K582" i="10" s="1"/>
  <c r="J583" i="10"/>
  <c r="K583" i="10" s="1"/>
  <c r="J584" i="10"/>
  <c r="K584" i="10" s="1"/>
  <c r="J587" i="10"/>
  <c r="K587" i="10" s="1"/>
  <c r="J590" i="10"/>
  <c r="K590" i="10" s="1"/>
  <c r="J597" i="10"/>
  <c r="K597" i="10" s="1"/>
  <c r="J598" i="10"/>
  <c r="K598" i="10" s="1"/>
  <c r="J599" i="10"/>
  <c r="K599" i="10" s="1"/>
  <c r="J604" i="10"/>
  <c r="K604" i="10" s="1"/>
  <c r="J606" i="10"/>
  <c r="K606" i="10" s="1"/>
  <c r="J609" i="10"/>
  <c r="K609" i="10" s="1"/>
  <c r="J610" i="10"/>
  <c r="K610" i="10" s="1"/>
  <c r="J615" i="10"/>
  <c r="K615" i="10" s="1"/>
  <c r="J616" i="10"/>
  <c r="K616" i="10" s="1"/>
  <c r="J617" i="10"/>
  <c r="K617" i="10" s="1"/>
  <c r="J622" i="10"/>
  <c r="K622" i="10" s="1"/>
  <c r="J623" i="10"/>
  <c r="K623" i="10" s="1"/>
  <c r="J630" i="10"/>
  <c r="K630" i="10" s="1"/>
  <c r="J631" i="10"/>
  <c r="K631" i="10" s="1"/>
  <c r="J632" i="10"/>
  <c r="K632" i="10" s="1"/>
  <c r="J633" i="10"/>
  <c r="K633" i="10" s="1"/>
  <c r="J634" i="10"/>
  <c r="K634" i="10" s="1"/>
  <c r="J640" i="10"/>
  <c r="K640" i="10" s="1"/>
  <c r="J642" i="10"/>
  <c r="K642" i="10" s="1"/>
  <c r="J643" i="10"/>
  <c r="K643" i="10" s="1"/>
  <c r="J647" i="10"/>
  <c r="K647" i="10" s="1"/>
  <c r="J650" i="10"/>
  <c r="K650" i="10" s="1"/>
  <c r="J652" i="10"/>
  <c r="K652" i="10" s="1"/>
  <c r="J653" i="10"/>
  <c r="K653" i="10" s="1"/>
  <c r="J656" i="10"/>
  <c r="K656" i="10" s="1"/>
  <c r="J657" i="10"/>
  <c r="K657" i="10" s="1"/>
  <c r="J658" i="10"/>
  <c r="K658" i="10" s="1"/>
  <c r="J659" i="10"/>
  <c r="K659" i="10" s="1"/>
  <c r="J660" i="10"/>
  <c r="K660" i="10" s="1"/>
  <c r="J663" i="10"/>
  <c r="K663" i="10" s="1"/>
  <c r="J664" i="10"/>
  <c r="K664" i="10" s="1"/>
  <c r="J665" i="10"/>
  <c r="K665" i="10" s="1"/>
  <c r="J668" i="10"/>
  <c r="K668" i="10" s="1"/>
  <c r="J671" i="10"/>
  <c r="K671" i="10" s="1"/>
  <c r="J672" i="10"/>
  <c r="K672" i="10" s="1"/>
  <c r="J673" i="10"/>
  <c r="K673" i="10" s="1"/>
  <c r="J674" i="10"/>
  <c r="K674" i="10" s="1"/>
  <c r="J675" i="10"/>
  <c r="K675" i="10" s="1"/>
  <c r="J676" i="10"/>
  <c r="K676" i="10" s="1"/>
  <c r="J678" i="10"/>
  <c r="K678" i="10" s="1"/>
  <c r="J681" i="10"/>
  <c r="K681" i="10" s="1"/>
  <c r="J682" i="10"/>
  <c r="K682" i="10" s="1"/>
  <c r="J685" i="10"/>
  <c r="K685" i="10" s="1"/>
  <c r="J687" i="10"/>
  <c r="K687" i="10" s="1"/>
  <c r="J689" i="10"/>
  <c r="K689" i="10" s="1"/>
  <c r="J690" i="10"/>
  <c r="K690" i="10" s="1"/>
  <c r="J691" i="10"/>
  <c r="K691" i="10" s="1"/>
  <c r="J693" i="10"/>
  <c r="K693" i="10" s="1"/>
  <c r="J696" i="10"/>
  <c r="K696" i="10" s="1"/>
  <c r="J697" i="10"/>
  <c r="K697" i="10" s="1"/>
  <c r="J698" i="10"/>
  <c r="K698" i="10" s="1"/>
  <c r="J699" i="10"/>
  <c r="K699" i="10" s="1"/>
  <c r="J700" i="10"/>
  <c r="K700" i="10" s="1"/>
  <c r="J701" i="10"/>
  <c r="K701" i="10" s="1"/>
  <c r="J707" i="10"/>
  <c r="K707" i="10" s="1"/>
  <c r="J708" i="10"/>
  <c r="K708" i="10" s="1"/>
  <c r="J710" i="10"/>
  <c r="K710" i="10" s="1"/>
  <c r="J712" i="10"/>
  <c r="K712" i="10" s="1"/>
  <c r="J713" i="10"/>
  <c r="K713" i="10" s="1"/>
  <c r="J714" i="10"/>
  <c r="K714" i="10" s="1"/>
  <c r="J716" i="10"/>
  <c r="K716" i="10" s="1"/>
  <c r="J717" i="10"/>
  <c r="K717" i="10" s="1"/>
  <c r="J718" i="10"/>
  <c r="K718" i="10" s="1"/>
  <c r="J719" i="10"/>
  <c r="K719" i="10" s="1"/>
  <c r="J720" i="10"/>
  <c r="K720" i="10" s="1"/>
  <c r="J723" i="10"/>
  <c r="K723" i="10" s="1"/>
  <c r="J725" i="10"/>
  <c r="K725" i="10" s="1"/>
  <c r="J726" i="10"/>
  <c r="K726" i="10" s="1"/>
  <c r="J727" i="10"/>
  <c r="K727" i="10" s="1"/>
  <c r="J728" i="10"/>
  <c r="K728" i="10" s="1"/>
  <c r="J729" i="10"/>
  <c r="K729" i="10" s="1"/>
  <c r="J730" i="10"/>
  <c r="K730" i="10" s="1"/>
  <c r="J731" i="10"/>
  <c r="K731" i="10" s="1"/>
  <c r="J732" i="10"/>
  <c r="K732" i="10" s="1"/>
  <c r="J733" i="10"/>
  <c r="K733" i="10" s="1"/>
  <c r="J737" i="10"/>
  <c r="K737" i="10" s="1"/>
  <c r="J738" i="10"/>
  <c r="K738" i="10" s="1"/>
  <c r="J739" i="10"/>
  <c r="K739" i="10" s="1"/>
  <c r="J740" i="10"/>
  <c r="K740" i="10" s="1"/>
  <c r="J741" i="10"/>
  <c r="K741" i="10" s="1"/>
  <c r="J742" i="10"/>
  <c r="K742" i="10" s="1"/>
  <c r="J744" i="10"/>
  <c r="K744" i="10" s="1"/>
  <c r="J745" i="10"/>
  <c r="K745" i="10" s="1"/>
  <c r="J746" i="10"/>
  <c r="K746" i="10" s="1"/>
  <c r="J747" i="10"/>
  <c r="K747" i="10" s="1"/>
  <c r="J749" i="10"/>
  <c r="K749" i="10" s="1"/>
  <c r="J750" i="10"/>
  <c r="K750" i="10" s="1"/>
  <c r="J3" i="10"/>
  <c r="K3" i="10" s="1"/>
  <c r="J9" i="10"/>
  <c r="K9" i="10" s="1"/>
  <c r="J12" i="10"/>
  <c r="K12" i="10" s="1"/>
  <c r="J14" i="10"/>
  <c r="K14" i="10" s="1"/>
  <c r="J15" i="10"/>
  <c r="K15" i="10" s="1"/>
  <c r="J17" i="10"/>
  <c r="K17" i="10" s="1"/>
  <c r="J25" i="10"/>
  <c r="K25" i="10" s="1"/>
  <c r="J27" i="10"/>
  <c r="K27" i="10" s="1"/>
  <c r="J34" i="10"/>
  <c r="K34" i="10" s="1"/>
  <c r="J36" i="10"/>
  <c r="K36" i="10" s="1"/>
  <c r="J43" i="10"/>
  <c r="K43" i="10" s="1"/>
  <c r="J45" i="10"/>
  <c r="K45" i="10" s="1"/>
  <c r="J46" i="10"/>
  <c r="K46" i="10" s="1"/>
  <c r="J47" i="10"/>
  <c r="K47" i="10" s="1"/>
  <c r="J49" i="10"/>
  <c r="K49" i="10" s="1"/>
  <c r="J50" i="10"/>
  <c r="K50" i="10" s="1"/>
  <c r="J52" i="10"/>
  <c r="K52" i="10" s="1"/>
  <c r="J53" i="10"/>
  <c r="K53" i="10" s="1"/>
  <c r="J57" i="10"/>
  <c r="K57" i="10" s="1"/>
  <c r="J58" i="10"/>
  <c r="K58" i="10" s="1"/>
  <c r="J59" i="10"/>
  <c r="K59" i="10" s="1"/>
  <c r="J60" i="10"/>
  <c r="K60" i="10" s="1"/>
  <c r="J64" i="10"/>
  <c r="K64" i="10" s="1"/>
  <c r="J71" i="10"/>
  <c r="K71" i="10" s="1"/>
  <c r="J72" i="10"/>
  <c r="K72" i="10" s="1"/>
  <c r="J73" i="10"/>
  <c r="K73" i="10" s="1"/>
  <c r="J75" i="10"/>
  <c r="K75" i="10" s="1"/>
  <c r="J77" i="10"/>
  <c r="K77" i="10" s="1"/>
  <c r="J78" i="10"/>
  <c r="K78" i="10" s="1"/>
  <c r="J80" i="10"/>
  <c r="K80" i="10" s="1"/>
  <c r="J83" i="10"/>
  <c r="K83" i="10" s="1"/>
  <c r="J86" i="10"/>
  <c r="K86" i="10" s="1"/>
  <c r="J87" i="10"/>
  <c r="K87" i="10" s="1"/>
  <c r="J92" i="10"/>
  <c r="K92" i="10" s="1"/>
  <c r="J93" i="10"/>
  <c r="K93" i="10" s="1"/>
  <c r="J99" i="10"/>
  <c r="K99" i="10" s="1"/>
  <c r="J101" i="10"/>
  <c r="K101" i="10" s="1"/>
  <c r="J107" i="10"/>
  <c r="K107" i="10" s="1"/>
  <c r="J108" i="10"/>
  <c r="K108" i="10" s="1"/>
  <c r="J109" i="10"/>
  <c r="K109" i="10" s="1"/>
  <c r="J110" i="10"/>
  <c r="K110" i="10" s="1"/>
  <c r="J112" i="10"/>
  <c r="K112" i="10" s="1"/>
  <c r="J116" i="10"/>
  <c r="K116" i="10" s="1"/>
  <c r="J117" i="10"/>
  <c r="K117" i="10" s="1"/>
  <c r="J122" i="10"/>
  <c r="K122" i="10" s="1"/>
  <c r="J123" i="10"/>
  <c r="K123" i="10" s="1"/>
  <c r="J125" i="10"/>
  <c r="K125" i="10" s="1"/>
  <c r="J127" i="10"/>
  <c r="K127" i="10" s="1"/>
  <c r="J128" i="10"/>
  <c r="K128" i="10" s="1"/>
  <c r="J129" i="10"/>
  <c r="K129" i="10" s="1"/>
  <c r="J130" i="10"/>
  <c r="K130" i="10" s="1"/>
  <c r="J133" i="10"/>
  <c r="K133" i="10" s="1"/>
  <c r="J137" i="10"/>
  <c r="K137" i="10" s="1"/>
  <c r="J143" i="10"/>
  <c r="K143" i="10" s="1"/>
  <c r="J144" i="10"/>
  <c r="K144" i="10" s="1"/>
  <c r="J145" i="10"/>
  <c r="K145" i="10" s="1"/>
  <c r="J149" i="10"/>
  <c r="K149" i="10" s="1"/>
  <c r="J150" i="10"/>
  <c r="K150" i="10" s="1"/>
  <c r="J151" i="10"/>
  <c r="K151" i="10" s="1"/>
  <c r="J153" i="10"/>
  <c r="K153" i="10" s="1"/>
  <c r="J158" i="10"/>
  <c r="K158" i="10" s="1"/>
  <c r="J164" i="10"/>
  <c r="K164" i="10" s="1"/>
  <c r="J166" i="10"/>
  <c r="K166" i="10" s="1"/>
  <c r="J167" i="10"/>
  <c r="K167" i="10" s="1"/>
  <c r="J168" i="10"/>
  <c r="K168" i="10" s="1"/>
  <c r="J171" i="10"/>
  <c r="K171" i="10" s="1"/>
  <c r="J173" i="10"/>
  <c r="K173" i="10" s="1"/>
  <c r="J179" i="10"/>
  <c r="K179" i="10" s="1"/>
  <c r="J182" i="10"/>
  <c r="K182" i="10" s="1"/>
  <c r="J183" i="10"/>
  <c r="K183" i="10" s="1"/>
  <c r="J185" i="10"/>
  <c r="K185" i="10" s="1"/>
  <c r="J186" i="10"/>
  <c r="K186" i="10" s="1"/>
  <c r="J189" i="10"/>
  <c r="K189" i="10" s="1"/>
  <c r="J193" i="10"/>
  <c r="K193" i="10" s="1"/>
  <c r="J194" i="10"/>
  <c r="K194" i="10" s="1"/>
  <c r="J195" i="10"/>
  <c r="K195" i="10" s="1"/>
  <c r="J196" i="10"/>
  <c r="K196" i="10" s="1"/>
  <c r="J199" i="10"/>
  <c r="K199" i="10" s="1"/>
  <c r="J201" i="10"/>
  <c r="K201" i="10" s="1"/>
  <c r="J203" i="10"/>
  <c r="K203" i="10" s="1"/>
  <c r="J204" i="10"/>
  <c r="K204" i="10" s="1"/>
  <c r="J205" i="10"/>
  <c r="K205" i="10" s="1"/>
  <c r="J206" i="10"/>
  <c r="K206" i="10" s="1"/>
  <c r="J207" i="10"/>
  <c r="K207" i="10" s="1"/>
  <c r="J208" i="10"/>
  <c r="K208" i="10" s="1"/>
  <c r="J209" i="10"/>
  <c r="K209" i="10" s="1"/>
  <c r="J210" i="10"/>
  <c r="K210" i="10" s="1"/>
  <c r="J212" i="10"/>
  <c r="K212" i="10" s="1"/>
  <c r="J213" i="10"/>
  <c r="K213" i="10" s="1"/>
  <c r="J214" i="10"/>
  <c r="K214" i="10" s="1"/>
  <c r="J215" i="10"/>
  <c r="K215" i="10" s="1"/>
  <c r="J216" i="10"/>
  <c r="K216" i="10" s="1"/>
  <c r="J217" i="10"/>
  <c r="K217" i="10" s="1"/>
  <c r="J218" i="10"/>
  <c r="K218" i="10" s="1"/>
  <c r="J221" i="10"/>
  <c r="K221" i="10" s="1"/>
  <c r="J224" i="10"/>
  <c r="K224" i="10" s="1"/>
  <c r="J225" i="10"/>
  <c r="K225" i="10" s="1"/>
  <c r="J226" i="10"/>
  <c r="K226" i="10" s="1"/>
  <c r="J228" i="10"/>
  <c r="K228" i="10" s="1"/>
  <c r="J229" i="10"/>
  <c r="K229" i="10" s="1"/>
  <c r="J230" i="10"/>
  <c r="K230" i="10" s="1"/>
  <c r="J234" i="10"/>
  <c r="K234" i="10" s="1"/>
  <c r="J241" i="10"/>
  <c r="K241" i="10" s="1"/>
  <c r="J242" i="10"/>
  <c r="K242" i="10" s="1"/>
  <c r="J244" i="10"/>
  <c r="K244" i="10" s="1"/>
  <c r="J249" i="10"/>
  <c r="K249" i="10" s="1"/>
  <c r="J254" i="10"/>
  <c r="K254" i="10" s="1"/>
  <c r="J255" i="10"/>
  <c r="K255" i="10" s="1"/>
  <c r="J257" i="10"/>
  <c r="K257" i="10" s="1"/>
  <c r="J259" i="10"/>
  <c r="K259" i="10" s="1"/>
  <c r="J262" i="10"/>
  <c r="K262" i="10" s="1"/>
  <c r="J263" i="10"/>
  <c r="K263" i="10" s="1"/>
  <c r="J266" i="10"/>
  <c r="K266" i="10" s="1"/>
  <c r="J267" i="10"/>
  <c r="K267" i="10" s="1"/>
  <c r="J271" i="10"/>
  <c r="K271" i="10" s="1"/>
  <c r="J274" i="10"/>
  <c r="K274" i="10" s="1"/>
  <c r="J275" i="10"/>
  <c r="K275" i="10" s="1"/>
  <c r="J276" i="10"/>
  <c r="K276" i="10" s="1"/>
  <c r="J277" i="10"/>
  <c r="K277" i="10" s="1"/>
  <c r="J278" i="10"/>
  <c r="K278" i="10" s="1"/>
  <c r="J279" i="10"/>
  <c r="K279" i="10" s="1"/>
  <c r="J280" i="10"/>
  <c r="K280" i="10" s="1"/>
  <c r="J281" i="10"/>
  <c r="K281" i="10" s="1"/>
  <c r="J282" i="10"/>
  <c r="K282" i="10" s="1"/>
  <c r="J283" i="10"/>
  <c r="K283" i="10" s="1"/>
  <c r="J285" i="10"/>
  <c r="K285" i="10" s="1"/>
  <c r="J290" i="10"/>
  <c r="K290" i="10" s="1"/>
  <c r="J291" i="10"/>
  <c r="K291" i="10" s="1"/>
  <c r="J292" i="10"/>
  <c r="K292" i="10" s="1"/>
  <c r="J293" i="10"/>
  <c r="K293" i="10" s="1"/>
  <c r="J296" i="10"/>
  <c r="K296" i="10" s="1"/>
  <c r="J300" i="10"/>
  <c r="K300" i="10" s="1"/>
  <c r="J301" i="10"/>
  <c r="K301" i="10" s="1"/>
  <c r="J302" i="10"/>
  <c r="K302" i="10" s="1"/>
  <c r="J304" i="10"/>
  <c r="K304" i="10" s="1"/>
  <c r="J307" i="10"/>
  <c r="K307" i="10" s="1"/>
  <c r="J309" i="10"/>
  <c r="K309" i="10" s="1"/>
  <c r="J311" i="10"/>
  <c r="K311" i="10" s="1"/>
  <c r="J314" i="10"/>
  <c r="K314" i="10" s="1"/>
  <c r="J316" i="10"/>
  <c r="K316" i="10" s="1"/>
  <c r="J317" i="10"/>
  <c r="K317" i="10" s="1"/>
  <c r="J320" i="10"/>
  <c r="K320" i="10" s="1"/>
  <c r="J324" i="10"/>
  <c r="K324" i="10" s="1"/>
  <c r="J327" i="10"/>
  <c r="K327" i="10" s="1"/>
  <c r="J328" i="10"/>
  <c r="K328" i="10" s="1"/>
  <c r="J329" i="10"/>
  <c r="K329" i="10" s="1"/>
  <c r="J331" i="10"/>
  <c r="K331" i="10" s="1"/>
  <c r="J332" i="10"/>
  <c r="K332" i="10" s="1"/>
  <c r="J334" i="10"/>
  <c r="K334" i="10" s="1"/>
  <c r="J338" i="10"/>
  <c r="K338" i="10" s="1"/>
  <c r="J341" i="10"/>
  <c r="K341" i="10" s="1"/>
  <c r="J347" i="10"/>
  <c r="K347" i="10" s="1"/>
  <c r="J352" i="10"/>
  <c r="K352" i="10" s="1"/>
  <c r="J365" i="10"/>
  <c r="K365" i="10" s="1"/>
  <c r="J367" i="10"/>
  <c r="K367" i="10" s="1"/>
  <c r="J374" i="10"/>
  <c r="K374" i="10" s="1"/>
  <c r="J375" i="10"/>
  <c r="K375" i="10" s="1"/>
  <c r="J376" i="10"/>
  <c r="K376" i="10" s="1"/>
  <c r="J377" i="10"/>
  <c r="K377" i="10" s="1"/>
  <c r="J379" i="10"/>
  <c r="K379" i="10" s="1"/>
  <c r="J381" i="10"/>
  <c r="K381" i="10" s="1"/>
  <c r="J383" i="10"/>
  <c r="K383" i="10" s="1"/>
  <c r="J384" i="10"/>
  <c r="K384" i="10" s="1"/>
  <c r="J386" i="10"/>
  <c r="K386" i="10" s="1"/>
  <c r="J387" i="10"/>
  <c r="K387" i="10" s="1"/>
  <c r="J388" i="10"/>
  <c r="K388" i="10" s="1"/>
  <c r="J390" i="10"/>
  <c r="K390" i="10" s="1"/>
  <c r="J391" i="10"/>
  <c r="K391" i="10" s="1"/>
  <c r="J394" i="10"/>
  <c r="K394" i="10" s="1"/>
  <c r="J400" i="10"/>
  <c r="K400" i="10" s="1"/>
  <c r="J401" i="10"/>
  <c r="K401" i="10" s="1"/>
  <c r="J402" i="10"/>
  <c r="K402" i="10" s="1"/>
  <c r="J403" i="10"/>
  <c r="K403" i="10" s="1"/>
  <c r="J405" i="10"/>
  <c r="K405" i="10" s="1"/>
  <c r="J407" i="10"/>
  <c r="K407" i="10" s="1"/>
  <c r="J410" i="10"/>
  <c r="K410" i="10" s="1"/>
  <c r="J415" i="10"/>
  <c r="K415" i="10" s="1"/>
  <c r="J420" i="10"/>
  <c r="K420" i="10" s="1"/>
  <c r="J421" i="10"/>
  <c r="K421" i="10" s="1"/>
  <c r="J423" i="10"/>
  <c r="K423" i="10" s="1"/>
  <c r="J424" i="10"/>
  <c r="K424" i="10" s="1"/>
  <c r="J428" i="10"/>
  <c r="K428" i="10" s="1"/>
  <c r="J429" i="10"/>
  <c r="K429" i="10" s="1"/>
  <c r="J430" i="10"/>
  <c r="K430" i="10" s="1"/>
  <c r="J431" i="10"/>
  <c r="K431" i="10" s="1"/>
  <c r="J433" i="10"/>
  <c r="K433" i="10" s="1"/>
  <c r="J434" i="10"/>
  <c r="K434" i="10" s="1"/>
  <c r="J435" i="10"/>
  <c r="K435" i="10" s="1"/>
  <c r="J440" i="10"/>
  <c r="K440" i="10" s="1"/>
  <c r="J442" i="10"/>
  <c r="K442" i="10" s="1"/>
  <c r="J443" i="10"/>
  <c r="K443" i="10" s="1"/>
  <c r="J446" i="10"/>
  <c r="K446" i="10" s="1"/>
  <c r="J448" i="10"/>
  <c r="K448" i="10" s="1"/>
  <c r="J450" i="10"/>
  <c r="K450" i="10" s="1"/>
  <c r="J454" i="10"/>
  <c r="K454" i="10" s="1"/>
  <c r="J457" i="10"/>
  <c r="K457" i="10" s="1"/>
  <c r="J458" i="10"/>
  <c r="K458" i="10" s="1"/>
  <c r="J459" i="10"/>
  <c r="K459" i="10" s="1"/>
  <c r="J461" i="10"/>
  <c r="K461" i="10" s="1"/>
  <c r="J464" i="10"/>
  <c r="K464" i="10" s="1"/>
  <c r="J469" i="10"/>
  <c r="K469" i="10" s="1"/>
  <c r="J470" i="10"/>
  <c r="K470" i="10" s="1"/>
  <c r="J471" i="10"/>
  <c r="K471" i="10" s="1"/>
  <c r="J472" i="10"/>
  <c r="K472" i="10" s="1"/>
  <c r="J473" i="10"/>
  <c r="K473" i="10" s="1"/>
  <c r="J474" i="10"/>
  <c r="K474" i="10" s="1"/>
  <c r="J475" i="10"/>
  <c r="K475" i="10" s="1"/>
  <c r="J476" i="10"/>
  <c r="K476" i="10" s="1"/>
  <c r="J477" i="10"/>
  <c r="K477" i="10" s="1"/>
  <c r="J481" i="10"/>
  <c r="K481" i="10" s="1"/>
  <c r="J482" i="10"/>
  <c r="K482" i="10" s="1"/>
  <c r="J484" i="10"/>
  <c r="K484" i="10" s="1"/>
  <c r="J487" i="10"/>
  <c r="K487" i="10" s="1"/>
  <c r="J492" i="10"/>
  <c r="K492" i="10" s="1"/>
  <c r="J494" i="10"/>
  <c r="K494" i="10" s="1"/>
  <c r="J496" i="10"/>
  <c r="K496" i="10" s="1"/>
  <c r="J497" i="10"/>
  <c r="K497" i="10" s="1"/>
  <c r="J501" i="10"/>
  <c r="K501" i="10" s="1"/>
  <c r="J502" i="10"/>
  <c r="K502" i="10" s="1"/>
  <c r="J503" i="10"/>
  <c r="K503" i="10" s="1"/>
  <c r="J505" i="10"/>
  <c r="K505" i="10" s="1"/>
  <c r="J509" i="10"/>
  <c r="K509" i="10" s="1"/>
  <c r="J510" i="10"/>
  <c r="K510" i="10" s="1"/>
  <c r="J511" i="10"/>
  <c r="K511" i="10" s="1"/>
  <c r="J513" i="10"/>
  <c r="K513" i="10" s="1"/>
  <c r="J514" i="10"/>
  <c r="K514" i="10" s="1"/>
  <c r="J515" i="10"/>
  <c r="K515" i="10" s="1"/>
  <c r="J516" i="10"/>
  <c r="K516" i="10" s="1"/>
  <c r="J517" i="10"/>
  <c r="K517" i="10" s="1"/>
  <c r="J518" i="10"/>
  <c r="K518" i="10" s="1"/>
  <c r="J519" i="10"/>
  <c r="K519" i="10" s="1"/>
  <c r="J520" i="10"/>
  <c r="K520" i="10" s="1"/>
  <c r="J523" i="10"/>
  <c r="K523" i="10" s="1"/>
  <c r="J525" i="10"/>
  <c r="K525" i="10" s="1"/>
  <c r="J527" i="10"/>
  <c r="K527" i="10" s="1"/>
  <c r="J530" i="10"/>
  <c r="K530" i="10" s="1"/>
  <c r="J533" i="10"/>
  <c r="K533" i="10" s="1"/>
  <c r="J534" i="10"/>
  <c r="K534" i="10" s="1"/>
  <c r="J537" i="10"/>
  <c r="K537" i="10" s="1"/>
  <c r="J538" i="10"/>
  <c r="K538" i="10" s="1"/>
  <c r="J541" i="10"/>
  <c r="K541" i="10" s="1"/>
  <c r="J542" i="10"/>
  <c r="K542" i="10" s="1"/>
  <c r="J543" i="10"/>
  <c r="K543" i="10" s="1"/>
  <c r="J546" i="10"/>
  <c r="K546" i="10" s="1"/>
  <c r="J552" i="10"/>
  <c r="K552" i="10" s="1"/>
  <c r="J553" i="10"/>
  <c r="K553" i="10" s="1"/>
  <c r="J555" i="10"/>
  <c r="K555" i="10" s="1"/>
  <c r="J561" i="10"/>
  <c r="K561" i="10" s="1"/>
  <c r="J562" i="10"/>
  <c r="K562" i="10" s="1"/>
  <c r="J564" i="10"/>
  <c r="K564" i="10" s="1"/>
  <c r="J565" i="10"/>
  <c r="K565" i="10" s="1"/>
  <c r="J570" i="10"/>
  <c r="K570" i="10" s="1"/>
  <c r="J571" i="10"/>
  <c r="K571" i="10" s="1"/>
  <c r="J574" i="10"/>
  <c r="K574" i="10" s="1"/>
  <c r="J576" i="10"/>
  <c r="K576" i="10" s="1"/>
  <c r="J577" i="10"/>
  <c r="K577" i="10" s="1"/>
  <c r="J579" i="10"/>
  <c r="K579" i="10" s="1"/>
  <c r="J581" i="10"/>
  <c r="K581" i="10" s="1"/>
  <c r="J585" i="10"/>
  <c r="K585" i="10" s="1"/>
  <c r="J586" i="10"/>
  <c r="K586" i="10" s="1"/>
  <c r="J588" i="10"/>
  <c r="K588" i="10" s="1"/>
  <c r="J589" i="10"/>
  <c r="K589" i="10" s="1"/>
  <c r="J591" i="10"/>
  <c r="K591" i="10" s="1"/>
  <c r="J592" i="10"/>
  <c r="K592" i="10" s="1"/>
  <c r="J593" i="10"/>
  <c r="K593" i="10" s="1"/>
  <c r="J594" i="10"/>
  <c r="K594" i="10" s="1"/>
  <c r="J595" i="10"/>
  <c r="K595" i="10" s="1"/>
  <c r="J596" i="10"/>
  <c r="K596" i="10" s="1"/>
  <c r="J600" i="10"/>
  <c r="K600" i="10" s="1"/>
  <c r="J601" i="10"/>
  <c r="K601" i="10" s="1"/>
  <c r="J602" i="10"/>
  <c r="K602" i="10" s="1"/>
  <c r="J603" i="10"/>
  <c r="K603" i="10" s="1"/>
  <c r="J605" i="10"/>
  <c r="K605" i="10" s="1"/>
  <c r="J607" i="10"/>
  <c r="K607" i="10" s="1"/>
  <c r="J608" i="10"/>
  <c r="K608" i="10" s="1"/>
  <c r="J611" i="10"/>
  <c r="K611" i="10" s="1"/>
  <c r="J612" i="10"/>
  <c r="K612" i="10" s="1"/>
  <c r="J613" i="10"/>
  <c r="K613" i="10" s="1"/>
  <c r="J614" i="10"/>
  <c r="K614" i="10" s="1"/>
  <c r="J618" i="10"/>
  <c r="K618" i="10" s="1"/>
  <c r="J619" i="10"/>
  <c r="K619" i="10" s="1"/>
  <c r="J620" i="10"/>
  <c r="K620" i="10" s="1"/>
  <c r="J621" i="10"/>
  <c r="K621" i="10" s="1"/>
  <c r="J624" i="10"/>
  <c r="K624" i="10" s="1"/>
  <c r="J625" i="10"/>
  <c r="K625" i="10" s="1"/>
  <c r="J626" i="10"/>
  <c r="K626" i="10" s="1"/>
  <c r="J627" i="10"/>
  <c r="K627" i="10" s="1"/>
  <c r="J628" i="10"/>
  <c r="K628" i="10" s="1"/>
  <c r="J629" i="10"/>
  <c r="K629" i="10" s="1"/>
  <c r="J635" i="10"/>
  <c r="K635" i="10" s="1"/>
  <c r="J636" i="10"/>
  <c r="K636" i="10" s="1"/>
  <c r="J637" i="10"/>
  <c r="K637" i="10" s="1"/>
  <c r="J638" i="10"/>
  <c r="K638" i="10" s="1"/>
  <c r="J639" i="10"/>
  <c r="K639" i="10" s="1"/>
  <c r="J641" i="10"/>
  <c r="K641" i="10" s="1"/>
  <c r="J644" i="10"/>
  <c r="K644" i="10" s="1"/>
  <c r="J645" i="10"/>
  <c r="K645" i="10" s="1"/>
  <c r="J646" i="10"/>
  <c r="K646" i="10" s="1"/>
  <c r="J648" i="10"/>
  <c r="K648" i="10" s="1"/>
  <c r="J649" i="10"/>
  <c r="K649" i="10" s="1"/>
  <c r="J651" i="10"/>
  <c r="K651" i="10" s="1"/>
  <c r="J654" i="10"/>
  <c r="K654" i="10" s="1"/>
  <c r="J655" i="10"/>
  <c r="K655" i="10" s="1"/>
  <c r="J661" i="10"/>
  <c r="K661" i="10" s="1"/>
  <c r="J662" i="10"/>
  <c r="K662" i="10" s="1"/>
  <c r="J666" i="10"/>
  <c r="K666" i="10" s="1"/>
  <c r="J667" i="10"/>
  <c r="K667" i="10" s="1"/>
  <c r="J669" i="10"/>
  <c r="K669" i="10" s="1"/>
  <c r="J670" i="10"/>
  <c r="K670" i="10" s="1"/>
  <c r="J677" i="10"/>
  <c r="K677" i="10" s="1"/>
  <c r="J679" i="10"/>
  <c r="K679" i="10" s="1"/>
  <c r="J680" i="10"/>
  <c r="K680" i="10" s="1"/>
  <c r="J683" i="10"/>
  <c r="K683" i="10" s="1"/>
  <c r="J684" i="10"/>
  <c r="K684" i="10" s="1"/>
  <c r="J686" i="10"/>
  <c r="K686" i="10" s="1"/>
  <c r="J688" i="10"/>
  <c r="K688" i="10" s="1"/>
  <c r="J692" i="10"/>
  <c r="K692" i="10" s="1"/>
  <c r="J694" i="10"/>
  <c r="K694" i="10" s="1"/>
  <c r="J695" i="10"/>
  <c r="K695" i="10" s="1"/>
  <c r="J702" i="10"/>
  <c r="K702" i="10" s="1"/>
  <c r="J703" i="10"/>
  <c r="K703" i="10" s="1"/>
  <c r="J704" i="10"/>
  <c r="K704" i="10" s="1"/>
  <c r="J705" i="10"/>
  <c r="K705" i="10" s="1"/>
  <c r="J706" i="10"/>
  <c r="K706" i="10" s="1"/>
  <c r="J709" i="10"/>
  <c r="K709" i="10" s="1"/>
  <c r="J711" i="10"/>
  <c r="K711" i="10" s="1"/>
  <c r="J715" i="10"/>
  <c r="K715" i="10" s="1"/>
  <c r="J721" i="10"/>
  <c r="K721" i="10" s="1"/>
  <c r="J722" i="10"/>
  <c r="K722" i="10" s="1"/>
  <c r="J724" i="10"/>
  <c r="K724" i="10" s="1"/>
  <c r="J734" i="10"/>
  <c r="K734" i="10" s="1"/>
  <c r="J735" i="10"/>
  <c r="K735" i="10" s="1"/>
  <c r="J736" i="10"/>
  <c r="K736" i="10" s="1"/>
  <c r="J743" i="10"/>
  <c r="K743" i="10" s="1"/>
  <c r="J748" i="10"/>
  <c r="K748" i="10" s="1"/>
  <c r="J751" i="10"/>
  <c r="K751" i="10" s="1"/>
  <c r="E3" i="2" l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0F1E74-67BC-4F31-B018-D5FF284A379C}" keepAlive="1" name="Requête - client charne" description="Connexion à la requête « client charne » dans le classeur." type="5" refreshedVersion="0" background="1" saveData="1">
    <dbPr connection="Provider=Microsoft.Mashup.OleDb.1;Data Source=$Workbook$;Location=&quot;client charne&quot;;Extended Properties=&quot;&quot;" command="SELECT * FROM [client charne]"/>
  </connection>
  <connection id="2" xr16:uid="{AFBB1CED-34DA-4DC5-BEF3-1BD643AA09D1}" keepAlive="1" name="Requête - client charne (2)" description="Connexion à la requête « client charne (2) » dans le classeur." type="5" refreshedVersion="8" background="1" saveData="1">
    <dbPr connection="Provider=Microsoft.Mashup.OleDb.1;Data Source=$Workbook$;Location=&quot;client charne (2)&quot;;Extended Properties=&quot;&quot;" command="SELECT * FROM [client charne (2)]"/>
  </connection>
  <connection id="3" xr16:uid="{B43F3169-23A4-492B-A8A8-597C795A9484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4" xr16:uid="{D8ED060F-68E6-465D-8720-F4982DAB3AF7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5" xr16:uid="{C1C338E4-0382-4594-B72C-8214335CDB8C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6" xr16:uid="{67DAB909-E952-44FB-A961-D9D858574D8B}" keepAlive="1" name="Requête - Exemple de fichier (4)" description="Connexion à la requête « Exemple de fichier (4) » dans le classeur." type="5" refreshedVersion="0" background="1">
    <dbPr connection="Provider=Microsoft.Mashup.OleDb.1;Data Source=$Workbook$;Location=&quot;Exemple de fichier (4)&quot;;Extended Properties=&quot;&quot;" command="SELECT * FROM [Exemple de fichier (4)]"/>
  </connection>
  <connection id="7" xr16:uid="{A580E718-BE75-4418-839B-6E7038C6F233}" keepAlive="1" name="Requête - logos" description="Connexion à la requête « logos » dans le classeur." type="5" refreshedVersion="8" background="1" saveData="1">
    <dbPr connection="Provider=Microsoft.Mashup.OleDb.1;Data Source=$Workbook$;Location=logos;Extended Properties=&quot;&quot;" command="SELECT * FROM [logos]"/>
  </connection>
  <connection id="8" xr16:uid="{16EFE3A1-0952-4079-8DC8-5224FC9DF308}" keepAlive="1" name="Requête - logos (2)" description="Connexion à la requête « logos (2) » dans le classeur." type="5" refreshedVersion="8" background="1" saveData="1">
    <dbPr connection="Provider=Microsoft.Mashup.OleDb.1;Data Source=$Workbook$;Location=&quot;logos (2)&quot;;Extended Properties=&quot;&quot;" command="SELECT * FROM [logos (2)]"/>
  </connection>
  <connection id="9" xr16:uid="{5D4A0471-CD3D-435B-AB1B-728F23D4C145}" keepAlive="1" name="Requête - maintenance" description="Connexion à la requête « maintenance » dans le classeur." type="5" refreshedVersion="8" background="1" saveData="1">
    <dbPr connection="Provider=Microsoft.Mashup.OleDb.1;Data Source=$Workbook$;Location=maintenance;Extended Properties=&quot;&quot;" command="SELECT * FROM [maintenance]"/>
  </connection>
  <connection id="10" xr16:uid="{B20B1C6D-9154-4A21-8AA9-C2877AFC6C48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11" xr16:uid="{B37C4513-E27F-4CD0-B873-35ADAD3A2DA9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12" xr16:uid="{BC2E0053-7252-477D-AB10-CBB45FF9E53A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13" xr16:uid="{F9353584-94B9-43B7-89A0-B63266FAC891}" keepAlive="1" name="Requête - Paramètre4" description="Connexion à la requête « Paramètre4 » dans le classeur." type="5" refreshedVersion="0" background="1">
    <dbPr connection="Provider=Microsoft.Mashup.OleDb.1;Data Source=$Workbook$;Location=Paramètre4;Extended Properties=&quot;&quot;" command="SELECT * FROM [Paramètre4]"/>
  </connection>
  <connection id="14" xr16:uid="{F0EB6140-FAE1-4221-BE0A-84E52E66EBB6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15" xr16:uid="{262D6FA7-8ECD-41C5-BFC1-1C0519457E3C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16" xr16:uid="{D3F48315-DBB1-4809-A278-AC175B21DBC6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17" xr16:uid="{9DE2CAA9-052A-4BD2-82DA-D5F3246B3800}" keepAlive="1" name="Requête - Transformer le fichier (4)" description="Connexion à la requête « Transformer le fichier (4) » dans le classeur." type="5" refreshedVersion="0" background="1">
    <dbPr connection="Provider=Microsoft.Mashup.OleDb.1;Data Source=$Workbook$;Location=&quot;Transformer le fichier (4)&quot;;Extended Properties=&quot;&quot;" command="SELECT * FROM [Transformer le fichier (4)]"/>
  </connection>
  <connection id="18" xr16:uid="{B7765E5A-AC97-434A-B3F0-6F13459D3784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9" xr16:uid="{2E80EA41-F5A6-4308-8C0F-D8D0E2F136E2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20" xr16:uid="{2209DF87-6DC8-41A5-9218-D88535B8244B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  <connection id="21" xr16:uid="{3A5BE7B3-02DA-4AFF-9AC5-826FF4E54672}" keepAlive="1" name="Requête - Transformer l'exemple de fichier (4)" description="Connexion à la requête « Transformer l'exemple de fichier (4) » dans le classeur." type="5" refreshedVersion="0" background="1">
    <dbPr connection="Provider=Microsoft.Mashup.OleDb.1;Data Source=$Workbook$;Location=&quot;Transformer l'exemple de fichier (4)&quot;;Extended Properties=&quot;&quot;" command="SELECT * FROM [Transformer l'exemple de fichier (4)]"/>
  </connection>
</connections>
</file>

<file path=xl/sharedStrings.xml><?xml version="1.0" encoding="utf-8"?>
<sst xmlns="http://schemas.openxmlformats.org/spreadsheetml/2006/main" count="7133" uniqueCount="1663">
  <si>
    <t>Date_Heure_Panne</t>
  </si>
  <si>
    <t>Cell_ID</t>
  </si>
  <si>
    <t>Duree_Panne_Min</t>
  </si>
  <si>
    <t>Statut_Resolution</t>
  </si>
  <si>
    <t>ANT-0465</t>
  </si>
  <si>
    <t>Résolu</t>
  </si>
  <si>
    <t>ANT-0004</t>
  </si>
  <si>
    <t>ANT-0977</t>
  </si>
  <si>
    <t>Non Résolu</t>
  </si>
  <si>
    <t>ANT-0740</t>
  </si>
  <si>
    <t>En Cours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</si>
  <si>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</si>
  <si>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</si>
  <si>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</si>
  <si>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</si>
  <si>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</si>
  <si>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</si>
  <si>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</si>
  <si>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</si>
  <si>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</si>
  <si>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ANT-0109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</si>
  <si>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</si>
  <si>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</si>
  <si>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</si>
  <si>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</si>
  <si>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</si>
  <si>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</si>
  <si>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</si>
  <si>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</si>
  <si>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</si>
  <si>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</si>
  <si>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</si>
  <si>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</si>
  <si>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</si>
  <si>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</si>
  <si>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</si>
  <si>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</si>
  <si>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</si>
  <si>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</si>
  <si>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</si>
  <si>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</si>
  <si>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</si>
  <si>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</si>
  <si>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</si>
  <si>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</si>
  <si>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</si>
  <si>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</si>
  <si>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</si>
  <si>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</si>
  <si>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</si>
  <si>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</si>
  <si>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</si>
  <si>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</si>
  <si>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</si>
  <si>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</si>
  <si>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</si>
  <si>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</si>
  <si>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</si>
  <si>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</si>
  <si>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</si>
  <si>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</si>
  <si>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</si>
  <si>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</si>
  <si>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</si>
  <si>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</si>
  <si>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</si>
  <si>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ANT-0342</t>
  </si>
  <si>
    <t>ANT-0790</t>
  </si>
  <si>
    <t>ANT-0134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</si>
  <si>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</si>
  <si>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</si>
  <si>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</si>
  <si>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</si>
  <si>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</si>
  <si>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</si>
  <si>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</si>
  <si>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</si>
  <si>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ANT-0010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</si>
  <si>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</si>
  <si>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</si>
  <si>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</si>
  <si>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</si>
  <si>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</si>
  <si>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</si>
  <si>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</si>
  <si>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</si>
  <si>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</si>
  <si>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</si>
  <si>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</si>
  <si>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</si>
  <si>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</si>
  <si>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</si>
  <si>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</si>
  <si>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</si>
  <si>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</si>
  <si>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</si>
  <si>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</si>
  <si>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</si>
  <si>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</si>
  <si>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</si>
  <si>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</si>
  <si>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</si>
  <si>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</si>
  <si>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</si>
  <si>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</si>
  <si>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</si>
  <si>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</si>
  <si>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</si>
  <si>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</si>
  <si>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</si>
  <si>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</si>
  <si>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</si>
  <si>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</si>
  <si>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</si>
  <si>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</si>
  <si>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</si>
  <si>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</si>
  <si>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</si>
  <si>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</si>
  <si>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</si>
  <si>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</si>
  <si>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</si>
  <si>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</si>
  <si>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</si>
  <si>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</si>
  <si>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</si>
  <si>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</si>
  <si>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</si>
  <si>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</si>
  <si>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</si>
  <si>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</si>
  <si>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</si>
  <si>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</si>
  <si>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</si>
  <si>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</si>
  <si>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</si>
  <si>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</si>
  <si>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</si>
  <si>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</si>
  <si>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</si>
  <si>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</si>
  <si>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</si>
  <si>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</si>
  <si>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</si>
  <si>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</si>
  <si>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</si>
  <si>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</si>
  <si>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</si>
  <si>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</si>
  <si>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</si>
  <si>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</si>
  <si>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</si>
  <si>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</si>
  <si>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</si>
  <si>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</si>
  <si>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</si>
  <si>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</si>
  <si>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</si>
  <si>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</si>
  <si>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</si>
  <si>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</si>
  <si>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</si>
  <si>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</si>
  <si>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</si>
  <si>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</si>
  <si>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</si>
  <si>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</si>
  <si>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</si>
  <si>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</si>
  <si>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</si>
  <si>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</si>
  <si>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</si>
  <si>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ANT-0259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</si>
  <si>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</si>
  <si>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</si>
  <si>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</si>
  <si>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</si>
  <si>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</si>
  <si>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</si>
  <si>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</si>
  <si>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</si>
  <si>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</si>
  <si>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</si>
  <si>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</si>
  <si>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</si>
  <si>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</si>
  <si>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</si>
  <si>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</si>
  <si>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</si>
  <si>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</si>
  <si>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</si>
  <si>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</si>
  <si>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</si>
  <si>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</si>
  <si>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</si>
  <si>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</si>
  <si>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</si>
  <si>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ANT-0135</t>
  </si>
  <si>
    <t>ANT-0950</t>
  </si>
  <si>
    <t>ANT-0295</t>
  </si>
  <si>
    <t>ANT-0449</t>
  </si>
  <si>
    <t>ANT-0716</t>
  </si>
  <si>
    <t>ANT-0125</t>
  </si>
  <si>
    <t>ANT-0030</t>
  </si>
  <si>
    <t>ANT-0997</t>
  </si>
  <si>
    <t>ANT-0646</t>
  </si>
  <si>
    <t>ANT-0819</t>
  </si>
  <si>
    <t>ANT-0727</t>
  </si>
  <si>
    <t>ANT-0739</t>
  </si>
  <si>
    <t>ANT-0786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</si>
  <si>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</si>
  <si>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</si>
  <si>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</si>
  <si>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</si>
  <si>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</si>
  <si>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</si>
  <si>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</si>
  <si>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</si>
  <si>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</si>
  <si>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</si>
  <si>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</si>
  <si>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</si>
  <si>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</si>
  <si>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</si>
  <si>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</si>
  <si>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</si>
  <si>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</si>
  <si>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</si>
  <si>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</si>
  <si>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</si>
  <si>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</si>
  <si>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</si>
  <si>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</si>
  <si>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</si>
  <si>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ANT-0898</t>
  </si>
  <si>
    <t>ANT-0995</t>
  </si>
  <si>
    <t>ANT-0375</t>
  </si>
  <si>
    <t>ANT-0514</t>
  </si>
  <si>
    <t>ANT-0936</t>
  </si>
  <si>
    <t>ANT-0280</t>
  </si>
  <si>
    <t>ANT-0169</t>
  </si>
  <si>
    <t>ANT-0264</t>
  </si>
  <si>
    <t>ANT-0967</t>
  </si>
  <si>
    <t>ANT-0494</t>
  </si>
  <si>
    <t>ANT-0991</t>
  </si>
  <si>
    <t>ANT-0826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</si>
  <si>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</si>
  <si>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</si>
  <si>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</si>
  <si>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</si>
  <si>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</si>
  <si>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</si>
  <si>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</si>
  <si>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</si>
  <si>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</si>
  <si>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</si>
  <si>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</si>
  <si>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ANT-0649</t>
  </si>
  <si>
    <t>ANT-0600</t>
  </si>
  <si>
    <t>ANT-0333</t>
  </si>
  <si>
    <t>ANT-0391</t>
  </si>
  <si>
    <t>ANT-0612</t>
  </si>
  <si>
    <t>ANT-0620</t>
  </si>
  <si>
    <t>ANT-0102</t>
  </si>
  <si>
    <t>ANT-0813</t>
  </si>
  <si>
    <t>ANT-0118</t>
  </si>
  <si>
    <t>ANT-0656</t>
  </si>
  <si>
    <t>ANT-0428</t>
  </si>
  <si>
    <t>ANT-0022</t>
  </si>
  <si>
    <t>ANT-0990</t>
  </si>
  <si>
    <t>ANT-0176</t>
  </si>
  <si>
    <t>ANT-0821</t>
  </si>
  <si>
    <t>ANT-0633</t>
  </si>
  <si>
    <t>ANT-0472</t>
  </si>
  <si>
    <t>ANT-0707</t>
  </si>
  <si>
    <t>ANT-0942</t>
  </si>
  <si>
    <t>ANT-0091</t>
  </si>
  <si>
    <t>ANT-0448</t>
  </si>
  <si>
    <t>ANT-0865</t>
  </si>
  <si>
    <t>ANT-0447</t>
  </si>
  <si>
    <t>ANT-0604</t>
  </si>
  <si>
    <t>ANT-0411</t>
  </si>
  <si>
    <t>ANT-0537</t>
  </si>
  <si>
    <t>ANT-0081</t>
  </si>
  <si>
    <t>ANT-0406</t>
  </si>
  <si>
    <t>ANT-0318</t>
  </si>
  <si>
    <t>ANT-0348</t>
  </si>
  <si>
    <t>ANT-0173</t>
  </si>
  <si>
    <t>ANT-0079</t>
  </si>
  <si>
    <t>ANT-0523</t>
  </si>
  <si>
    <t>ANT-0989</t>
  </si>
  <si>
    <t>ANT-0829</t>
  </si>
  <si>
    <t>ANT-0804</t>
  </si>
  <si>
    <t>ANT-0481</t>
  </si>
  <si>
    <t>ANT-0856</t>
  </si>
  <si>
    <t>ANT-0199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</si>
  <si>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</si>
  <si>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</si>
  <si>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</si>
  <si>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</si>
  <si>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</si>
  <si>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</si>
  <si>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</si>
  <si>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</si>
  <si>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</si>
  <si>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</si>
  <si>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</si>
  <si>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</si>
  <si>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</si>
  <si>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</si>
  <si>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</si>
  <si>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</si>
  <si>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</si>
  <si>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</si>
  <si>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</si>
  <si>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</si>
  <si>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</si>
  <si>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</si>
  <si>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</si>
  <si>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ANT-0529</t>
  </si>
  <si>
    <t>ANT-0872</t>
  </si>
  <si>
    <t>ANT-0128</t>
  </si>
  <si>
    <t>ANT-0292</t>
  </si>
  <si>
    <t>ANT-0086</t>
  </si>
  <si>
    <t>ANT-0360</t>
  </si>
  <si>
    <t>ANT-0458</t>
  </si>
  <si>
    <t>ANT-0044</t>
  </si>
  <si>
    <t>ant-0745</t>
  </si>
  <si>
    <t>ANT-0934</t>
  </si>
  <si>
    <t>ANT-0362</t>
  </si>
  <si>
    <t>ANT-0630</t>
  </si>
  <si>
    <t>ANT-0446</t>
  </si>
  <si>
    <t>ANT-0811</t>
  </si>
  <si>
    <t>ANT-0059</t>
  </si>
  <si>
    <t>ANT-0077</t>
  </si>
  <si>
    <t>ANT-0688</t>
  </si>
  <si>
    <t>ANT-0416</t>
  </si>
  <si>
    <t>ANT-0373</t>
  </si>
  <si>
    <t>ANT-0526</t>
  </si>
  <si>
    <t>ANT-0768</t>
  </si>
  <si>
    <t>ANT-0696</t>
  </si>
  <si>
    <t>ANT-0164</t>
  </si>
  <si>
    <t>ANT-0976</t>
  </si>
  <si>
    <t>ANT-0032</t>
  </si>
  <si>
    <t>ANT-0147</t>
  </si>
  <si>
    <t>ANT-0870</t>
  </si>
  <si>
    <t>ANT-0801</t>
  </si>
  <si>
    <t>ANT-0036</t>
  </si>
  <si>
    <t>ANT-0069</t>
  </si>
  <si>
    <t>ANT-0242</t>
  </si>
  <si>
    <t>ANT-0661</t>
  </si>
  <si>
    <t>ANT-0126</t>
  </si>
  <si>
    <t>ANT-0145</t>
  </si>
  <si>
    <t>ANT-0052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</si>
  <si>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</si>
  <si>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</si>
  <si>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</si>
  <si>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</si>
  <si>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</si>
  <si>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</si>
  <si>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</si>
  <si>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</si>
  <si>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</si>
  <si>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</si>
  <si>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</si>
  <si>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</si>
  <si>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</si>
  <si>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</si>
  <si>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</si>
  <si>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</si>
  <si>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</si>
  <si>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</si>
  <si>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</si>
  <si>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</si>
  <si>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</si>
  <si>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ant-0518</t>
  </si>
  <si>
    <t>ANT-0469</t>
  </si>
  <si>
    <t>ANT-0221</t>
  </si>
  <si>
    <t>ANT-0598</t>
  </si>
  <si>
    <t>ANT-0686</t>
  </si>
  <si>
    <t>ANT-0927</t>
  </si>
  <si>
    <t>ANT-0232</t>
  </si>
  <si>
    <t>ANT-0654</t>
  </si>
  <si>
    <t>ANT-0239</t>
  </si>
  <si>
    <t>ANT-0103</t>
  </si>
  <si>
    <t>ANT-0735</t>
  </si>
  <si>
    <t>ANT-0484</t>
  </si>
  <si>
    <t>ANT-0006</t>
  </si>
  <si>
    <t>ANT-0988</t>
  </si>
  <si>
    <t>ANT-0162</t>
  </si>
  <si>
    <t>ANT-0669</t>
  </si>
  <si>
    <t>ANT-0958</t>
  </si>
  <si>
    <t>ANT-0489</t>
  </si>
  <si>
    <t>ANT-0667</t>
  </si>
  <si>
    <t>ANT-0329</t>
  </si>
  <si>
    <t>ANT-0061</t>
  </si>
  <si>
    <t>ANT-0092</t>
  </si>
  <si>
    <t>ANT-0668</t>
  </si>
  <si>
    <t>ANT-0588</t>
  </si>
  <si>
    <t>ANT-0238</t>
  </si>
  <si>
    <t>ANT-0548</t>
  </si>
  <si>
    <t>ANT-0757</t>
  </si>
  <si>
    <t>ANT-0670</t>
  </si>
  <si>
    <t>ANT-0881</t>
  </si>
  <si>
    <t>ANT-0357</t>
  </si>
  <si>
    <t>ANT-0122</t>
  </si>
  <si>
    <t>ANT-0551</t>
  </si>
  <si>
    <t>ANT-0542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</si>
  <si>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</si>
  <si>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</si>
  <si>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</si>
  <si>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</si>
  <si>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</si>
  <si>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</si>
  <si>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</si>
  <si>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</si>
  <si>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</si>
  <si>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</si>
  <si>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</si>
  <si>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ANT-0159</t>
  </si>
  <si>
    <t>ANT-0194</t>
  </si>
  <si>
    <t>ANT-0960</t>
  </si>
  <si>
    <t>ANT-0743</t>
  </si>
  <si>
    <t>ANT-0784</t>
  </si>
  <si>
    <t>ANT-0116</t>
  </si>
  <si>
    <t>ANT-0033</t>
  </si>
  <si>
    <t>ANT-0677</t>
  </si>
  <si>
    <t>ANT-0430</t>
  </si>
  <si>
    <t>ANT-0007</t>
  </si>
  <si>
    <t>ANT-0422</t>
  </si>
  <si>
    <t>ANT-0013</t>
  </si>
  <si>
    <t>ANT-0543</t>
  </si>
  <si>
    <t>ANT-0549</t>
  </si>
  <si>
    <t>ANT-0294</t>
  </si>
  <si>
    <t>ANT-0833</t>
  </si>
  <si>
    <t>ANT-0715</t>
  </si>
  <si>
    <t>ANT-0691</t>
  </si>
  <si>
    <t>ANT-0963</t>
  </si>
  <si>
    <t>ANT-0184</t>
  </si>
  <si>
    <t>ANT-0110</t>
  </si>
  <si>
    <t>ANT-0099</t>
  </si>
  <si>
    <t>ANT-0197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</si>
  <si>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</si>
  <si>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</si>
  <si>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</si>
  <si>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</si>
  <si>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</si>
  <si>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</si>
  <si>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</si>
  <si>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</si>
  <si>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</si>
  <si>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</si>
  <si>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</si>
  <si>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</si>
  <si>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</si>
  <si>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ANT-0334</t>
  </si>
  <si>
    <t>ANT-0386</t>
  </si>
  <si>
    <t>ANT-0288</t>
  </si>
  <si>
    <t>ANT-0805</t>
  </si>
  <si>
    <t>ANT-0117</t>
  </si>
  <si>
    <t>ANT-0955</t>
  </si>
  <si>
    <t>ANT-0578</t>
  </si>
  <si>
    <t>ANT-0607</t>
  </si>
  <si>
    <t>ANT-0185</t>
  </si>
  <si>
    <t>ANT-0699</t>
  </si>
  <si>
    <t>ANT-0787</t>
  </si>
  <si>
    <t>ANT-0028</t>
  </si>
  <si>
    <t>ANT-0745</t>
  </si>
  <si>
    <t>ANT-0966</t>
  </si>
  <si>
    <t>ANT-0726</t>
  </si>
  <si>
    <t>ANT-0215</t>
  </si>
  <si>
    <t>ANT-0817</t>
  </si>
  <si>
    <t>ANT-0299</t>
  </si>
  <si>
    <t>ANT-0710</t>
  </si>
  <si>
    <t>ANT-0071</t>
  </si>
  <si>
    <t>ANT-0839</t>
  </si>
  <si>
    <t>ANT-0419</t>
  </si>
  <si>
    <t>ANT-0512</t>
  </si>
  <si>
    <t>ANT-0143</t>
  </si>
  <si>
    <t>ANT-0311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</si>
  <si>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</si>
  <si>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</si>
  <si>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</si>
  <si>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</si>
  <si>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</si>
  <si>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</si>
  <si>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</si>
  <si>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</si>
  <si>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</si>
  <si>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</si>
  <si>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</si>
  <si>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</si>
  <si>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</si>
  <si>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</si>
  <si>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</si>
  <si>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ANT-0105</t>
  </si>
  <si>
    <t>ANT-0754</t>
  </si>
  <si>
    <t>ANT-0305</t>
  </si>
  <si>
    <t>ANT-0034</t>
  </si>
  <si>
    <t>ANT-0090</t>
  </si>
  <si>
    <t>ANT-0450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</si>
  <si>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</si>
  <si>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</si>
  <si>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</si>
  <si>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</si>
  <si>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</si>
  <si>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</si>
  <si>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</si>
  <si>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</si>
  <si>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</si>
  <si>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</si>
  <si>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</si>
  <si>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</si>
  <si>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</si>
  <si>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</si>
  <si>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ANT-0073</t>
  </si>
  <si>
    <t>ANT-0911</t>
  </si>
  <si>
    <t>ANT-0370</t>
  </si>
  <si>
    <t>ANT-0397</t>
  </si>
  <si>
    <t>ANT-0882</t>
  </si>
  <si>
    <t>ANT-0244</t>
  </si>
  <si>
    <t>ANT-0504</t>
  </si>
  <si>
    <t>ANT-0985</t>
  </si>
  <si>
    <t>ANT-0062</t>
  </si>
  <si>
    <t>ANT-0146</t>
  </si>
  <si>
    <t>ANT-0045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</si>
  <si>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</si>
  <si>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</si>
  <si>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</si>
  <si>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</si>
  <si>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</si>
  <si>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</si>
  <si>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</si>
  <si>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</si>
  <si>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</si>
  <si>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ANT-0087</t>
  </si>
  <si>
    <t>ANT-0595</t>
  </si>
  <si>
    <t>ANT-0098</t>
  </si>
  <si>
    <t>ANT-0137</t>
  </si>
  <si>
    <t>ANT-0840</t>
  </si>
  <si>
    <t>ANT-0404</t>
  </si>
  <si>
    <t>ANT-0582</t>
  </si>
  <si>
    <t>ANT-0064</t>
  </si>
  <si>
    <t>ANT-0679</t>
  </si>
  <si>
    <t>ANT-0243</t>
  </si>
  <si>
    <t>ANT-0268</t>
  </si>
  <si>
    <t>ANT-0326</t>
  </si>
  <si>
    <t>ANT-0756</t>
  </si>
  <si>
    <t>ANT-0368</t>
  </si>
  <si>
    <t>ANT-0606</t>
  </si>
  <si>
    <t>ANT-0029</t>
  </si>
  <si>
    <t>ANT-0721</t>
  </si>
  <si>
    <t>ANT-0361</t>
  </si>
  <si>
    <t>ANT-0577</t>
  </si>
  <si>
    <t>ANT-0972</t>
  </si>
  <si>
    <t>ANT-0857</t>
  </si>
  <si>
    <t>ANT-0830</t>
  </si>
  <si>
    <t>ANT-0903</t>
  </si>
  <si>
    <t>ANT-0505</t>
  </si>
  <si>
    <t>ANT-0039</t>
  </si>
  <si>
    <t>ANT-0058</t>
  </si>
  <si>
    <t>ANT-0617</t>
  </si>
  <si>
    <t>ANT-0225</t>
  </si>
  <si>
    <t>ANT-0021</t>
  </si>
  <si>
    <t>ANT-0490</t>
  </si>
  <si>
    <t>ANT-0276</t>
  </si>
  <si>
    <t>ANT-0155</t>
  </si>
  <si>
    <t>ANT-0771</t>
  </si>
  <si>
    <t>ANT-0684</t>
  </si>
  <si>
    <t>ANT-0685</t>
  </si>
  <si>
    <t>ANT-0828</t>
  </si>
  <si>
    <t>ANT-0555</t>
  </si>
  <si>
    <t>ANT-0233</t>
  </si>
  <si>
    <t>ANT-0063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</si>
  <si>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</si>
  <si>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</si>
  <si>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</si>
  <si>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</si>
  <si>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</si>
  <si>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</si>
  <si>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</si>
  <si>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</si>
  <si>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</si>
  <si>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</si>
  <si>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</si>
  <si>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</si>
  <si>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ANT-0639</t>
  </si>
  <si>
    <t>ANT-0599</t>
  </si>
  <si>
    <t>ANT-0008</t>
  </si>
  <si>
    <t>ANT-0864</t>
  </si>
  <si>
    <t>ANT-0860</t>
  </si>
  <si>
    <t>ANT-0384</t>
  </si>
  <si>
    <t>ANT-0663</t>
  </si>
  <si>
    <t>ANT-0290</t>
  </si>
  <si>
    <t>ANT-0066</t>
  </si>
  <si>
    <t>ANT-0345</t>
  </si>
  <si>
    <t>ANT-0672</t>
  </si>
  <si>
    <t>ANT-0154</t>
  </si>
  <si>
    <t>ANT-0922</t>
  </si>
  <si>
    <t>ANT-0825</t>
  </si>
  <si>
    <t>ANT-0050</t>
  </si>
  <si>
    <t>ANT-0427</t>
  </si>
  <si>
    <t>ANT-0390</t>
  </si>
  <si>
    <t>ANT-0127</t>
  </si>
  <si>
    <t>ANT-0561</t>
  </si>
  <si>
    <t>ANT-0486</t>
  </si>
  <si>
    <t>ant-0719</t>
  </si>
  <si>
    <t>ANT-0712</t>
  </si>
  <si>
    <t>ANT-0703</t>
  </si>
  <si>
    <t>ANT-0431</t>
  </si>
  <si>
    <t>ANT-0678</t>
  </si>
  <si>
    <t>ANT-0104</t>
  </si>
  <si>
    <t>ANT-0277</t>
  </si>
  <si>
    <t>ANT-0621</t>
  </si>
  <si>
    <t>ANT-0108</t>
  </si>
  <si>
    <t>ANT-0121</t>
  </si>
  <si>
    <t>ANT-0019</t>
  </si>
  <si>
    <t>ANT-0571</t>
  </si>
  <si>
    <t>ANT-0846</t>
  </si>
  <si>
    <t>ANT-0094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</si>
  <si>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</si>
  <si>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</si>
  <si>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</si>
  <si>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</si>
  <si>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</si>
  <si>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</si>
  <si>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</si>
  <si>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</si>
  <si>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</si>
  <si>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</si>
  <si>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</si>
  <si>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</si>
  <si>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</si>
  <si>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</si>
  <si>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</si>
  <si>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</si>
  <si>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ANT-0753</t>
  </si>
  <si>
    <t>ANT-0123</t>
  </si>
  <si>
    <t>ANT-0387</t>
  </si>
  <si>
    <t>ANT-0042</t>
  </si>
  <si>
    <t>ANT-0439</t>
  </si>
  <si>
    <t>ANT-0165</t>
  </si>
  <si>
    <t>ANT-0262</t>
  </si>
  <si>
    <t>ANT-0478</t>
  </si>
  <si>
    <t>ANT-0158</t>
  </si>
  <si>
    <t>ANT-0951</t>
  </si>
  <si>
    <t>ANT-0331</t>
  </si>
  <si>
    <t>ANT-0793</t>
  </si>
  <si>
    <t>ant-0309</t>
  </si>
  <si>
    <t>ANT-0809</t>
  </si>
  <si>
    <t>ANT-0367</t>
  </si>
  <si>
    <t>ANT-0075</t>
  </si>
  <si>
    <t>ANT-0725</t>
  </si>
  <si>
    <t>ANT-0539</t>
  </si>
  <si>
    <t>ANT-0226</t>
  </si>
  <si>
    <t>ANT-0980</t>
  </si>
  <si>
    <t>ANT-0189</t>
  </si>
  <si>
    <t>ANT-0070</t>
  </si>
  <si>
    <t>ANT-0186</t>
  </si>
  <si>
    <t>ANT-0873</t>
  </si>
  <si>
    <t>ANT-0101</t>
  </si>
  <si>
    <t>ANT-0203</t>
  </si>
  <si>
    <t>ANT-0744</t>
  </si>
  <si>
    <t>ANT-0499</t>
  </si>
  <si>
    <t>ANT-0975</t>
  </si>
  <si>
    <t>ANT-0366</t>
  </si>
  <si>
    <t>ANT-0132</t>
  </si>
  <si>
    <t>ANT-0241</t>
  </si>
  <si>
    <t>ID_Antenne</t>
  </si>
  <si>
    <t>Province_RDC</t>
  </si>
  <si>
    <t>Latitude</t>
  </si>
  <si>
    <t>Longitude</t>
  </si>
  <si>
    <t>Technologie</t>
  </si>
  <si>
    <t>Equipementier</t>
  </si>
  <si>
    <t>Haut-Uele</t>
  </si>
  <si>
    <t>5G</t>
  </si>
  <si>
    <t>Ericsson</t>
  </si>
  <si>
    <t>ANT-0084</t>
  </si>
  <si>
    <t>Kwilu</t>
  </si>
  <si>
    <t>4G</t>
  </si>
  <si>
    <t>Huawei</t>
  </si>
  <si>
    <t>Tanganyika</t>
  </si>
  <si>
    <t>3G</t>
  </si>
  <si>
    <t>ZTE</t>
  </si>
  <si>
    <t>Tshopo</t>
  </si>
  <si>
    <t>ANT-0880</t>
  </si>
  <si>
    <t>ANT-0847</t>
  </si>
  <si>
    <t>Maniema</t>
  </si>
  <si>
    <t>ANT-0144</t>
  </si>
  <si>
    <t>Kinshasa</t>
  </si>
  <si>
    <t>ANT-0552</t>
  </si>
  <si>
    <t>ANT-0202</t>
  </si>
  <si>
    <t>Tshuapa</t>
  </si>
  <si>
    <t>Kasai-Central</t>
  </si>
  <si>
    <t>ANT-0752</t>
  </si>
  <si>
    <t>Nord-Kivu</t>
  </si>
  <si>
    <t>Nokia</t>
  </si>
  <si>
    <t>ANT-0908</t>
  </si>
  <si>
    <t>Nord-Ubangi</t>
  </si>
  <si>
    <t>Sud-Kivu</t>
  </si>
  <si>
    <t>Sud-Ubangi</t>
  </si>
  <si>
    <t>Lomami</t>
  </si>
  <si>
    <t>Kasai</t>
  </si>
  <si>
    <t>Equateur</t>
  </si>
  <si>
    <t>ANT-0647</t>
  </si>
  <si>
    <t>Kasai-Oriental</t>
  </si>
  <si>
    <t>Bas-Uele</t>
  </si>
  <si>
    <t>ANT-0593</t>
  </si>
  <si>
    <t>ANT-0605</t>
  </si>
  <si>
    <t>ANT-0218</t>
  </si>
  <si>
    <t>Ituri</t>
  </si>
  <si>
    <t>ANT-0038</t>
  </si>
  <si>
    <t>ANT-0267</t>
  </si>
  <si>
    <t>Lualaba</t>
  </si>
  <si>
    <t>ANT-0916</t>
  </si>
  <si>
    <t>Mai-Ndombe</t>
  </si>
  <si>
    <t>ANT-0993</t>
  </si>
  <si>
    <t>ANT-0791</t>
  </si>
  <si>
    <t>Haut-Lomami</t>
  </si>
  <si>
    <t>ANT-0751</t>
  </si>
  <si>
    <t>ANT-0878</t>
  </si>
  <si>
    <t>Haut-Katanga</t>
  </si>
  <si>
    <t>ANT-0138</t>
  </si>
  <si>
    <t>ANT-0476</t>
  </si>
  <si>
    <t>Kongo-Central</t>
  </si>
  <si>
    <t>Kwango</t>
  </si>
  <si>
    <t>ANT-0629</t>
  </si>
  <si>
    <t>ANT-0170</t>
  </si>
  <si>
    <t>ANT-0776</t>
  </si>
  <si>
    <t>ANT-0676</t>
  </si>
  <si>
    <t>ANT-0150</t>
  </si>
  <si>
    <t>ANT-0496</t>
  </si>
  <si>
    <t>ANT-0780</t>
  </si>
  <si>
    <t>ANT-0500</t>
  </si>
  <si>
    <t>ANT-0065</t>
  </si>
  <si>
    <t>ANT-0240</t>
  </si>
  <si>
    <t>Sankuru</t>
  </si>
  <si>
    <t>Mongala</t>
  </si>
  <si>
    <t>ANT-0398</t>
  </si>
  <si>
    <t>ANT-0048</t>
  </si>
  <si>
    <t>ANT-0665</t>
  </si>
  <si>
    <t>ANT-0281</t>
  </si>
  <si>
    <t>ANT-0584</t>
  </si>
  <si>
    <t>ANT-0179</t>
  </si>
  <si>
    <t>ANT-0962</t>
  </si>
  <si>
    <t>ANT-0388</t>
  </si>
  <si>
    <t>ANT-0602</t>
  </si>
  <si>
    <t>ANT-0884</t>
  </si>
  <si>
    <t>ANT-0354</t>
  </si>
  <si>
    <t>ANT-0948</t>
  </si>
  <si>
    <t>ANT-0933</t>
  </si>
  <si>
    <t>ANT-0659</t>
  </si>
  <si>
    <t>ANT-0217</t>
  </si>
  <si>
    <t>ANT-0192</t>
  </si>
  <si>
    <t>ANT-0939</t>
  </si>
  <si>
    <t>ANT-0858</t>
  </si>
  <si>
    <t>ANT-0425</t>
  </si>
  <si>
    <t>ANT-0831</t>
  </si>
  <si>
    <t>ANT-0692</t>
  </si>
  <si>
    <t>ANT-0491</t>
  </si>
  <si>
    <t>ANT-0216</t>
  </si>
  <si>
    <t>ANT-0421</t>
  </si>
  <si>
    <t>ANT-0023</t>
  </si>
  <si>
    <t>ANT-0645</t>
  </si>
  <si>
    <t>ANT-0525</t>
  </si>
  <si>
    <t>ANT-0151</t>
  </si>
  <si>
    <t>ANT-0171</t>
  </si>
  <si>
    <t>ANT-0265</t>
  </si>
  <si>
    <t>ANT-0876</t>
  </si>
  <si>
    <t>ANT-0871</t>
  </si>
  <si>
    <t>ANT-0982</t>
  </si>
  <si>
    <t>ANT-0291</t>
  </si>
  <si>
    <t xml:space="preserve">ANT-0222 </t>
  </si>
  <si>
    <t>ANT-0460</t>
  </si>
  <si>
    <t>ANT-1000</t>
  </si>
  <si>
    <t>ANT-0483</t>
  </si>
  <si>
    <t>ANT-0175</t>
  </si>
  <si>
    <t>ANT-0616</t>
  </si>
  <si>
    <t>ANT-0187</t>
  </si>
  <si>
    <t>ANT-0956</t>
  </si>
  <si>
    <t>ANT-0172</t>
  </si>
  <si>
    <t>ANT-0742</t>
  </si>
  <si>
    <t>ANT-0351</t>
  </si>
  <si>
    <t>ANT-0832</t>
  </si>
  <si>
    <t>ANT-0395</t>
  </si>
  <si>
    <t>ANT-0112</t>
  </si>
  <si>
    <t>ANT-0017</t>
  </si>
  <si>
    <t>ANT-0208</t>
  </si>
  <si>
    <t>ANT-0182</t>
  </si>
  <si>
    <t>ANT-0040</t>
  </si>
  <si>
    <t>ANT-0516</t>
  </si>
  <si>
    <t>ANT-0796</t>
  </si>
  <si>
    <t>ANT-0789</t>
  </si>
  <si>
    <t>ANT-0618</t>
  </si>
  <si>
    <t>ANT-0899</t>
  </si>
  <si>
    <t>ANT-0442</t>
  </si>
  <si>
    <t>ANT-0535</t>
  </si>
  <si>
    <t>ANT-0380</t>
  </si>
  <si>
    <t>ANT-0938</t>
  </si>
  <si>
    <t>ANT-0440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</si>
  <si>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</si>
  <si>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</si>
  <si>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</si>
  <si>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</si>
  <si>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</si>
  <si>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</si>
  <si>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</si>
  <si>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</si>
  <si>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</si>
  <si>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ANT-0705</t>
  </si>
  <si>
    <t>ANT-0324</t>
  </si>
  <si>
    <t>ANT-0849</t>
  </si>
  <si>
    <t>ANT-0260</t>
  </si>
  <si>
    <t>ANT-0627</t>
  </si>
  <si>
    <t>ANT-0495</t>
  </si>
  <si>
    <t>ANT-0741</t>
  </si>
  <si>
    <t>ANT-0697</t>
  </si>
  <si>
    <t>ANT-0408</t>
  </si>
  <si>
    <t>ANT-0841</t>
  </si>
  <si>
    <t>ANT-0220</t>
  </si>
  <si>
    <t>ANT-0347</t>
  </si>
  <si>
    <t>ANT-0937</t>
  </si>
  <si>
    <t>ANT-0822</t>
  </si>
  <si>
    <t>ANT-0399</t>
  </si>
  <si>
    <t>ANT-0652</t>
  </si>
  <si>
    <t>ANT-0149</t>
  </si>
  <si>
    <t>ANT-0758</t>
  </si>
  <si>
    <t>ANT-0889</t>
  </si>
  <si>
    <t>ANT-0228</t>
  </si>
  <si>
    <t>ANT-0682</t>
  </si>
  <si>
    <t>ANT-0082</t>
  </si>
  <si>
    <t>ANT-0895</t>
  </si>
  <si>
    <t>ANT-0207</t>
  </si>
  <si>
    <t>ANT-0907</t>
  </si>
  <si>
    <t>ANT-0200</t>
  </si>
  <si>
    <t>ANT-0947</t>
  </si>
  <si>
    <t>ANT-0915</t>
  </si>
  <si>
    <t>ANT-0174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</si>
  <si>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</si>
  <si>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</si>
  <si>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</si>
  <si>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</si>
  <si>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</si>
  <si>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</si>
  <si>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</si>
  <si>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ANT-0601</t>
  </si>
  <si>
    <t>ANT-0016</t>
  </si>
  <si>
    <t>ANT-0946</t>
  </si>
  <si>
    <t>ANT-0681</t>
  </si>
  <si>
    <t>ANT-0356</t>
  </si>
  <si>
    <t>ANT-0589</t>
  </si>
  <si>
    <t>ANT-0005</t>
  </si>
  <si>
    <t>ANT-0636</t>
  </si>
  <si>
    <t>ANT-0519</t>
  </si>
  <si>
    <t>ANT-0702</t>
  </si>
  <si>
    <t>ANT-0603</t>
  </si>
  <si>
    <t>ANT-0755</t>
  </si>
  <si>
    <t>ANT-0349</t>
  </si>
  <si>
    <t>ANT-0120</t>
  </si>
  <si>
    <t>ANT-0827</t>
  </si>
  <si>
    <t>ANT-0706</t>
  </si>
  <si>
    <t>ANT-0625</t>
  </si>
  <si>
    <t>ANT-0409</t>
  </si>
  <si>
    <t>ANT-0917</t>
  </si>
  <si>
    <t>ANT-0984</t>
  </si>
  <si>
    <t>ANT-0890</t>
  </si>
  <si>
    <t>ANT-0322</t>
  </si>
  <si>
    <t>ANT-0188</t>
  </si>
  <si>
    <t>ANT-0272</t>
  </si>
  <si>
    <t>ANT-0736</t>
  </si>
  <si>
    <t>ANT-0769</t>
  </si>
  <si>
    <t>ANT-0256</t>
  </si>
  <si>
    <t>ANT-0365</t>
  </si>
  <si>
    <t>ANT-0824</t>
  </si>
  <si>
    <t>ANT-0863</t>
  </si>
  <si>
    <t>ANT-0910</t>
  </si>
  <si>
    <t>ANT-0323</t>
  </si>
  <si>
    <t>ANT-0648</t>
  </si>
  <si>
    <t>ANT-0694</t>
  </si>
  <si>
    <t>ANT-0482</t>
  </si>
  <si>
    <t>ANT-0178</t>
  </si>
  <si>
    <t>ANT-0352</t>
  </si>
  <si>
    <t>ANT-0904</t>
  </si>
  <si>
    <t>region</t>
  </si>
  <si>
    <t>Étiquettes de lignes</t>
  </si>
  <si>
    <t xml:space="preserve"> non répertoriées</t>
  </si>
  <si>
    <t>Total général</t>
  </si>
  <si>
    <t>ID_Client</t>
  </si>
  <si>
    <t>Province_Client</t>
  </si>
  <si>
    <t>Anciennete_Mois</t>
  </si>
  <si>
    <t>Type_Forfait</t>
  </si>
  <si>
    <t>Facture_Mensuelle</t>
  </si>
  <si>
    <t>Plaintes_Service_Client</t>
  </si>
  <si>
    <t>CLI-01147</t>
  </si>
  <si>
    <t>Premium 5G 150Go</t>
  </si>
  <si>
    <t>CLI-00894</t>
  </si>
  <si>
    <t>Pro Monde</t>
  </si>
  <si>
    <t>CLI-00865</t>
  </si>
  <si>
    <t>CLI-01325</t>
  </si>
  <si>
    <t>Bloqué 5Go</t>
  </si>
  <si>
    <t>CLI-01855</t>
  </si>
  <si>
    <t>Illimité 50Go</t>
  </si>
  <si>
    <t>CLI-00076</t>
  </si>
  <si>
    <t>CLI-00414</t>
  </si>
  <si>
    <t>CLI-00327</t>
  </si>
  <si>
    <t>CLI-00559</t>
  </si>
  <si>
    <t>CLI-00280</t>
  </si>
  <si>
    <t>CLI-00060</t>
  </si>
  <si>
    <t>CLI-00530</t>
  </si>
  <si>
    <t>CLI-01618</t>
  </si>
  <si>
    <t>CLI-01646</t>
  </si>
  <si>
    <t>CLI-00569</t>
  </si>
  <si>
    <t>CLI-01349</t>
  </si>
  <si>
    <t>CLI-01128</t>
  </si>
  <si>
    <t>CLI-00361</t>
  </si>
  <si>
    <t>CLI-01320</t>
  </si>
  <si>
    <t>CLI-01746</t>
  </si>
  <si>
    <t>CLI-00087</t>
  </si>
  <si>
    <t>CLI-01974</t>
  </si>
  <si>
    <t>CLI-01480</t>
  </si>
  <si>
    <t>CLI-00996</t>
  </si>
  <si>
    <t>CLI-01603</t>
  </si>
  <si>
    <t>CLI-00041</t>
  </si>
  <si>
    <t>CLI-00114</t>
  </si>
  <si>
    <t>CLI-01761</t>
  </si>
  <si>
    <t>CLI-01837</t>
  </si>
  <si>
    <t>CLI-00172</t>
  </si>
  <si>
    <t>CLI-00643</t>
  </si>
  <si>
    <t>CLI-01233</t>
  </si>
  <si>
    <t>CLI-00611</t>
  </si>
  <si>
    <t>CLI-01776</t>
  </si>
  <si>
    <t>CLI-00131</t>
  </si>
  <si>
    <t>CLI-01845</t>
  </si>
  <si>
    <t>CLI-01957</t>
  </si>
  <si>
    <t>CLI-00834</t>
  </si>
  <si>
    <t>CLI-01972</t>
  </si>
  <si>
    <t>CLI-00745</t>
  </si>
  <si>
    <t>CLI-01376</t>
  </si>
  <si>
    <t>CLI-01347</t>
  </si>
  <si>
    <t>CLI-01814</t>
  </si>
  <si>
    <t>CLI-00185</t>
  </si>
  <si>
    <t>CLI-00813</t>
  </si>
  <si>
    <t>CLI-01932</t>
  </si>
  <si>
    <t>CLI-01720</t>
  </si>
  <si>
    <t>CLI-01484</t>
  </si>
  <si>
    <t>CLI-01726</t>
  </si>
  <si>
    <t>CLI-00288</t>
  </si>
  <si>
    <t>CLI-00484</t>
  </si>
  <si>
    <t>CLI-00230</t>
  </si>
  <si>
    <t>CLI-01170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</si>
  <si>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</si>
  <si>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</si>
  <si>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</si>
  <si>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</si>
  <si>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</si>
  <si>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</si>
  <si>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</si>
  <si>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</si>
  <si>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</si>
  <si>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</si>
  <si>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CLI-01076</t>
  </si>
  <si>
    <t>CLI-00516</t>
  </si>
  <si>
    <t>CLI-01017</t>
  </si>
  <si>
    <t>CLI-01812</t>
  </si>
  <si>
    <t>CLI-01964</t>
  </si>
  <si>
    <t>CLI-00488</t>
  </si>
  <si>
    <t>CLI-01229</t>
  </si>
  <si>
    <t>CLI-00251</t>
  </si>
  <si>
    <t>CLI-01584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</si>
  <si>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</si>
  <si>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</si>
  <si>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</si>
  <si>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</si>
  <si>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</si>
  <si>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</si>
  <si>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</si>
  <si>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</si>
  <si>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</si>
  <si>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</si>
  <si>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</si>
  <si>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</si>
  <si>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</si>
  <si>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</si>
  <si>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</si>
  <si>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</si>
  <si>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</si>
  <si>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</si>
  <si>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CLI-00563</t>
  </si>
  <si>
    <t>CLI-00901</t>
  </si>
  <si>
    <t>CLI-00837</t>
  </si>
  <si>
    <t>CLI-00521</t>
  </si>
  <si>
    <t>CLI-01768</t>
  </si>
  <si>
    <t>CLI-01208</t>
  </si>
  <si>
    <t>CLI-00115</t>
  </si>
  <si>
    <t>CLI-01005</t>
  </si>
  <si>
    <t>CLI-01093</t>
  </si>
  <si>
    <t>CLI-00768</t>
  </si>
  <si>
    <t>CLI-01433</t>
  </si>
  <si>
    <t>CLI-00232</t>
  </si>
  <si>
    <t>CLI-00649</t>
  </si>
  <si>
    <t>CLI-01118</t>
  </si>
  <si>
    <t>CLI-00868</t>
  </si>
  <si>
    <t>CLI-00973</t>
  </si>
  <si>
    <t>CLI-01399</t>
  </si>
  <si>
    <t>CLI-00505</t>
  </si>
  <si>
    <t>CLI-01986</t>
  </si>
  <si>
    <t>CLI-01802</t>
  </si>
  <si>
    <t>CLI-01607</t>
  </si>
  <si>
    <t>CLI-00297</t>
  </si>
  <si>
    <t>CLI-00744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</si>
  <si>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</si>
  <si>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</si>
  <si>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</si>
  <si>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</si>
  <si>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</si>
  <si>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</si>
  <si>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</si>
  <si>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</si>
  <si>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</si>
  <si>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</si>
  <si>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</si>
  <si>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</si>
  <si>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</si>
  <si>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</si>
  <si>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</si>
  <si>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</si>
  <si>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</si>
  <si>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</si>
  <si>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</si>
  <si>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</si>
  <si>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CLI-01132</t>
  </si>
  <si>
    <t>CLI-00788</t>
  </si>
  <si>
    <t>CLI-00634</t>
  </si>
  <si>
    <t>CLI-01309</t>
  </si>
  <si>
    <t>CLI-01435</t>
  </si>
  <si>
    <t>CLI-01888</t>
  </si>
  <si>
    <t>CLI-01850</t>
  </si>
  <si>
    <t>CLI-01664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</si>
  <si>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</si>
  <si>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</si>
  <si>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</si>
  <si>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</si>
  <si>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</si>
  <si>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</si>
  <si>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</si>
  <si>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</si>
  <si>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</si>
  <si>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CLI-00805</t>
  </si>
  <si>
    <t>CLI-00524</t>
  </si>
  <si>
    <t>CLI-00617</t>
  </si>
  <si>
    <t>CLI-01933</t>
  </si>
  <si>
    <t>CLI-01685</t>
  </si>
  <si>
    <t>CLI-01550</t>
  </si>
  <si>
    <t>CLI-00483</t>
  </si>
  <si>
    <t>CLI-00610</t>
  </si>
  <si>
    <t>CLI-00431</t>
  </si>
  <si>
    <t>CLI-01973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</si>
  <si>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</si>
  <si>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</si>
  <si>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</si>
  <si>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</si>
  <si>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</si>
  <si>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</si>
  <si>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</si>
  <si>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</si>
  <si>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</si>
  <si>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</si>
  <si>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</si>
  <si>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</si>
  <si>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</si>
  <si>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</si>
  <si>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</si>
  <si>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</si>
  <si>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CLI-01597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</si>
  <si>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</si>
  <si>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</si>
  <si>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</si>
  <si>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</si>
  <si>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</si>
  <si>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</si>
  <si>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</si>
  <si>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</si>
  <si>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</si>
  <si>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</si>
  <si>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</si>
  <si>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CLI-01689</t>
  </si>
  <si>
    <t>CLI-01839</t>
  </si>
  <si>
    <t>CLI-01431</t>
  </si>
  <si>
    <t>CLI-00535</t>
  </si>
  <si>
    <t>CLI-01037</t>
  </si>
  <si>
    <t>CLI-00136</t>
  </si>
  <si>
    <t>CLI-00721</t>
  </si>
  <si>
    <t>CLI-00862</t>
  </si>
  <si>
    <t>CLI-01234</t>
  </si>
  <si>
    <t>CLI-01494</t>
  </si>
  <si>
    <t>CLI-01666</t>
  </si>
  <si>
    <t>CLI-01122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</si>
  <si>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</si>
  <si>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</si>
  <si>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</si>
  <si>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</si>
  <si>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</si>
  <si>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</si>
  <si>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</si>
  <si>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</si>
  <si>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</si>
  <si>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</si>
  <si>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</si>
  <si>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</si>
  <si>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</si>
  <si>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</si>
  <si>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</si>
  <si>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</si>
  <si>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</si>
  <si>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</si>
  <si>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</si>
  <si>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CLI-00626</t>
  </si>
  <si>
    <t>CLI-01970</t>
  </si>
  <si>
    <t>CLI-01180</t>
  </si>
  <si>
    <t>CLI-00169</t>
  </si>
  <si>
    <t>CLI-00227</t>
  </si>
  <si>
    <t>CLI-00324</t>
  </si>
  <si>
    <t>CLI-00512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</si>
  <si>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</si>
  <si>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</si>
  <si>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</si>
  <si>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</si>
  <si>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</si>
  <si>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</si>
  <si>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</si>
  <si>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</si>
  <si>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</si>
  <si>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</si>
  <si>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</si>
  <si>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</si>
  <si>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</si>
  <si>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</si>
  <si>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</si>
  <si>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</si>
  <si>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</si>
  <si>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</si>
  <si>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CLI-00356</t>
  </si>
  <si>
    <t>CLI-01408</t>
  </si>
  <si>
    <t>CLI-01215</t>
  </si>
  <si>
    <t>CLI-01694</t>
  </si>
  <si>
    <t>CLI-00671</t>
  </si>
  <si>
    <t>CLI-01638</t>
  </si>
  <si>
    <t>CLI-00578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</si>
  <si>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</si>
  <si>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</si>
  <si>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</si>
  <si>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</si>
  <si>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</si>
  <si>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</si>
  <si>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</si>
  <si>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CLI-01710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</si>
  <si>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</si>
  <si>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</si>
  <si>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</si>
  <si>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</si>
  <si>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</si>
  <si>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</si>
  <si>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</si>
  <si>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</si>
  <si>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</si>
  <si>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</si>
  <si>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</si>
  <si>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</si>
  <si>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</si>
  <si>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</si>
  <si>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</si>
  <si>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</si>
  <si>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</si>
  <si>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</si>
  <si>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</si>
  <si>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CLI-01230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</si>
  <si>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</si>
  <si>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</si>
  <si>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</si>
  <si>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</si>
  <si>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</si>
  <si>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</si>
  <si>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</si>
  <si>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</si>
  <si>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</si>
  <si>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</si>
  <si>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CLI-00892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</si>
  <si>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</si>
  <si>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</si>
  <si>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</si>
  <si>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</si>
  <si>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</si>
  <si>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</si>
  <si>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</si>
  <si>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</si>
  <si>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</si>
  <si>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</si>
  <si>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CLI-01835</t>
  </si>
  <si>
    <t>CLI-01602</t>
  </si>
  <si>
    <t>CLI-00546</t>
  </si>
  <si>
    <t>CLI-00590</t>
  </si>
  <si>
    <t>CLI-01529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</si>
  <si>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</si>
  <si>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</si>
  <si>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</si>
  <si>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</si>
  <si>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</si>
  <si>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</si>
  <si>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</si>
  <si>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</si>
  <si>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</si>
  <si>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</si>
  <si>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CLI-01387</t>
  </si>
  <si>
    <t>CLI-00388</t>
  </si>
  <si>
    <t>CLI-00857</t>
  </si>
  <si>
    <t>CLI-00370</t>
  </si>
  <si>
    <t>CLI-01938</t>
  </si>
  <si>
    <t>CLI-01623</t>
  </si>
  <si>
    <t>CLI-00299</t>
  </si>
  <si>
    <t>CLI-00059</t>
  </si>
  <si>
    <t>CLI-00595</t>
  </si>
  <si>
    <t>CLI-01729</t>
  </si>
  <si>
    <t>CLI-01844</t>
  </si>
  <si>
    <t>CLI-01877</t>
  </si>
  <si>
    <t>CLI-00924</t>
  </si>
  <si>
    <t>CLI-00509</t>
  </si>
  <si>
    <t>CLI-00758</t>
  </si>
  <si>
    <t>CLI-01194</t>
  </si>
  <si>
    <t>CLI-01402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</si>
  <si>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</si>
  <si>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</si>
  <si>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</si>
  <si>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</si>
  <si>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</si>
  <si>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</si>
  <si>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</si>
  <si>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</si>
  <si>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</si>
  <si>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</si>
  <si>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</si>
  <si>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</si>
  <si>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</si>
  <si>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</si>
  <si>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</si>
  <si>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</si>
  <si>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</si>
  <si>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</si>
  <si>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CLI-00150</t>
  </si>
  <si>
    <t>CLI-00196</t>
  </si>
  <si>
    <t>CLI-01141</t>
  </si>
  <si>
    <t>CLI-00121</t>
  </si>
  <si>
    <t>CLI-01794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</si>
  <si>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</si>
  <si>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</si>
  <si>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</si>
  <si>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</si>
  <si>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</si>
  <si>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</si>
  <si>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</si>
  <si>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CLI-01454</t>
  </si>
  <si>
    <t>CLI-01920</t>
  </si>
  <si>
    <t>CLI-00094</t>
  </si>
  <si>
    <t>CLI-00011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</si>
  <si>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</si>
  <si>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</si>
  <si>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</si>
  <si>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</si>
  <si>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</si>
  <si>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</si>
  <si>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</si>
  <si>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</si>
  <si>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</si>
  <si>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</si>
  <si>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</si>
  <si>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</si>
  <si>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</si>
  <si>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</si>
  <si>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CLI-00348</t>
  </si>
  <si>
    <t>CLI-01032</t>
  </si>
  <si>
    <t>CLI-01010</t>
  </si>
  <si>
    <t>CLI-00695</t>
  </si>
  <si>
    <t>CLI-00959</t>
  </si>
  <si>
    <t>CLI-01626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</si>
  <si>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</si>
  <si>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</si>
  <si>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</si>
  <si>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</si>
  <si>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</si>
  <si>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</si>
  <si>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</si>
  <si>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</si>
  <si>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</si>
  <si>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</si>
  <si>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</si>
  <si>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</si>
  <si>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</si>
  <si>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CLI-01532</t>
  </si>
  <si>
    <t>CLI-00739</t>
  </si>
  <si>
    <t>CLI-00881</t>
  </si>
  <si>
    <t>CLI-01687</t>
  </si>
  <si>
    <t>CLI-00540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</si>
  <si>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</si>
  <si>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</si>
  <si>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</si>
  <si>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</si>
  <si>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</si>
  <si>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</si>
  <si>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</si>
  <si>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</si>
  <si>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</si>
  <si>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</si>
  <si>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</si>
  <si>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</si>
  <si>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</si>
  <si>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</si>
  <si>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</si>
  <si>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</si>
  <si>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</si>
  <si>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</si>
  <si>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</si>
  <si>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</si>
  <si>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</si>
  <si>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</si>
  <si>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</si>
  <si>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</si>
  <si>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</si>
  <si>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</si>
  <si>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CLI-01446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</si>
  <si>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</si>
  <si>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</si>
  <si>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</si>
  <si>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</si>
  <si>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</si>
  <si>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</si>
  <si>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</si>
  <si>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</si>
  <si>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</si>
  <si>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</si>
  <si>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</si>
  <si>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</si>
  <si>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CLI-00231</t>
  </si>
  <si>
    <t>CLI-01475</t>
  </si>
  <si>
    <t>CLI-00304</t>
  </si>
  <si>
    <t>CLI-00254</t>
  </si>
  <si>
    <t>CLI-00716</t>
  </si>
  <si>
    <t>CLI-00192</t>
  </si>
  <si>
    <t>CLI-00418</t>
  </si>
  <si>
    <t>CLI-00582</t>
  </si>
  <si>
    <t>CLI-01682</t>
  </si>
  <si>
    <t>CLI-00345</t>
  </si>
  <si>
    <t>CLI-01536</t>
  </si>
  <si>
    <t>CLI-01042</t>
  </si>
  <si>
    <t>CLI-01992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</si>
  <si>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</si>
  <si>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</si>
  <si>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</si>
  <si>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</si>
  <si>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</si>
  <si>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</si>
  <si>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</si>
  <si>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</si>
  <si>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</si>
  <si>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</si>
  <si>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</si>
  <si>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</si>
  <si>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</si>
  <si>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</si>
  <si>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</si>
  <si>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</si>
  <si>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</si>
  <si>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CLI-00583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</si>
  <si>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</si>
  <si>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</si>
  <si>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</si>
  <si>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</si>
  <si>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</si>
  <si>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</si>
  <si>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</si>
  <si>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</si>
  <si>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</si>
  <si>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</si>
  <si>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CLI-00167</t>
  </si>
  <si>
    <t>CLI-00943</t>
  </si>
  <si>
    <t>CLI-01450</t>
  </si>
  <si>
    <t>CLI-01351</t>
  </si>
  <si>
    <t>CLI-00983</t>
  </si>
  <si>
    <t>CLI-01709</t>
  </si>
  <si>
    <t>CLI-01782</t>
  </si>
  <si>
    <t>CLI-00552</t>
  </si>
  <si>
    <t>CLI-01766</t>
  </si>
  <si>
    <t>CLI-01348</t>
  </si>
  <si>
    <t>CLI-00012</t>
  </si>
  <si>
    <t>CLI-01926</t>
  </si>
  <si>
    <t>CLI-00090</t>
  </si>
  <si>
    <t>CLI-01344</t>
  </si>
  <si>
    <t>CLI-01275</t>
  </si>
  <si>
    <t>CLI-00928</t>
  </si>
  <si>
    <t>CLI-00666</t>
  </si>
  <si>
    <t>CLI-01499</t>
  </si>
  <si>
    <t>CLI-01166</t>
  </si>
  <si>
    <t>CLI-00265</t>
  </si>
  <si>
    <t>CLI-00433</t>
  </si>
  <si>
    <t>CLI-00100</t>
  </si>
  <si>
    <t>CLI-01319</t>
  </si>
  <si>
    <t>CLI-01598</t>
  </si>
  <si>
    <t>CLI-00662</t>
  </si>
  <si>
    <t>CLI-01979</t>
  </si>
  <si>
    <t>CLI-00145</t>
  </si>
  <si>
    <t>CLI-01121</t>
  </si>
  <si>
    <t>CLI-01804</t>
  </si>
  <si>
    <t>CLI-00782</t>
  </si>
  <si>
    <t>CLI-00190</t>
  </si>
  <si>
    <t>CLI-00817</t>
  </si>
  <si>
    <t>CLI-00523</t>
  </si>
  <si>
    <t>CLI-00365</t>
  </si>
  <si>
    <t>CLI-00492</t>
  </si>
  <si>
    <t>CLI-01485</t>
  </si>
  <si>
    <t>CLI-01719</t>
  </si>
  <si>
    <t>CLI-01739</t>
  </si>
  <si>
    <t>CLI-00427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</si>
  <si>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</si>
  <si>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</si>
  <si>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</si>
  <si>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</si>
  <si>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</si>
  <si>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</si>
  <si>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</si>
  <si>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</si>
  <si>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</si>
  <si>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</si>
  <si>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</si>
  <si>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</si>
  <si>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</si>
  <si>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</si>
  <si>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</si>
  <si>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</si>
  <si>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</si>
  <si>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</si>
  <si>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</si>
  <si>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</si>
  <si>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</si>
  <si>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</si>
  <si>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CLI-00913</t>
  </si>
  <si>
    <t>CLI-00795</t>
  </si>
  <si>
    <t>CLI-00976</t>
  </si>
  <si>
    <t>CLI-00550</t>
  </si>
  <si>
    <t>CLI-01544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</si>
  <si>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</si>
  <si>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</si>
  <si>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</si>
  <si>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</si>
  <si>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</si>
  <si>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</si>
  <si>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</si>
  <si>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</si>
  <si>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</si>
  <si>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</si>
  <si>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</si>
  <si>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</si>
  <si>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</si>
  <si>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</si>
  <si>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</si>
  <si>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</si>
  <si>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</si>
  <si>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</si>
  <si>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</si>
  <si>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</si>
  <si>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</si>
  <si>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</si>
  <si>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</si>
  <si>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</si>
  <si>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</si>
  <si>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</si>
  <si>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</si>
  <si>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</si>
  <si>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</si>
  <si>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</si>
  <si>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</si>
  <si>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</si>
  <si>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</si>
  <si>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</si>
  <si>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</si>
  <si>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</si>
  <si>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</si>
  <si>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</si>
  <si>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</si>
  <si>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</si>
  <si>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</si>
  <si>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</si>
  <si>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</si>
  <si>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</si>
  <si>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</si>
  <si>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</si>
  <si>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</si>
  <si>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</si>
  <si>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</si>
  <si>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</si>
  <si>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CLI-01530</t>
  </si>
  <si>
    <t>CLI-00952</t>
  </si>
  <si>
    <t>CLI-01354</t>
  </si>
  <si>
    <t>CLI-01410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</si>
  <si>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</si>
  <si>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</si>
  <si>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</si>
  <si>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</si>
  <si>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</si>
  <si>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</si>
  <si>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</si>
  <si>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</si>
  <si>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</si>
  <si>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</si>
  <si>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</si>
  <si>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</si>
  <si>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</si>
  <si>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</si>
  <si>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</si>
  <si>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</si>
  <si>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</si>
  <si>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</si>
  <si>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</si>
  <si>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</si>
  <si>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</si>
  <si>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</si>
  <si>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</si>
  <si>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</si>
  <si>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</si>
  <si>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</si>
  <si>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</si>
  <si>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CLI-00380</t>
  </si>
  <si>
    <t>CLI-00161</t>
  </si>
  <si>
    <t>CLI-01238</t>
  </si>
  <si>
    <t>CLI-00532</t>
  </si>
  <si>
    <t>CLI-01520</t>
  </si>
  <si>
    <t>CLI-00889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</si>
  <si>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</si>
  <si>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</si>
  <si>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</si>
  <si>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</si>
  <si>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</si>
  <si>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</si>
  <si>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</si>
  <si>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</si>
  <si>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</si>
  <si>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</si>
  <si>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</si>
  <si>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</si>
  <si>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</si>
  <si>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</si>
  <si>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</si>
  <si>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</si>
  <si>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</si>
  <si>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</si>
  <si>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</si>
  <si>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</si>
  <si>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CLI-00180</t>
  </si>
  <si>
    <t>CLI-00257</t>
  </si>
  <si>
    <t>CLI-00277</t>
  </si>
  <si>
    <t>CLI-01714</t>
  </si>
  <si>
    <t>CLI-01701</t>
  </si>
  <si>
    <t>CLI-01949</t>
  </si>
  <si>
    <t>CLI-00033</t>
  </si>
  <si>
    <t>CLI-00386</t>
  </si>
  <si>
    <t>CLI-00055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</si>
  <si>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</si>
  <si>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</si>
  <si>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</si>
  <si>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</si>
  <si>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</si>
  <si>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</si>
  <si>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</si>
  <si>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</si>
  <si>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</si>
  <si>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</si>
  <si>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</si>
  <si>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</si>
  <si>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</si>
  <si>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CLI-00971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</si>
  <si>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</si>
  <si>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</si>
  <si>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</si>
  <si>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</si>
  <si>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</si>
  <si>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</si>
  <si>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</si>
  <si>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</si>
  <si>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</si>
  <si>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</si>
  <si>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</si>
  <si>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CLI-00497</t>
  </si>
  <si>
    <t>CLI-00413</t>
  </si>
  <si>
    <t>CLI-00604</t>
  </si>
  <si>
    <t>CLI-01167</t>
  </si>
  <si>
    <t>CLI-00803</t>
  </si>
  <si>
    <t>CLI-00105</t>
  </si>
  <si>
    <t>CLI-00684</t>
  </si>
  <si>
    <t>CLI-01851</t>
  </si>
  <si>
    <t>CLI-00211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</si>
  <si>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</si>
  <si>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</si>
  <si>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</si>
  <si>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</si>
  <si>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</si>
  <si>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</si>
  <si>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</si>
  <si>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CLI-01797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</si>
  <si>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</si>
  <si>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</si>
  <si>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</si>
  <si>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</si>
  <si>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</si>
  <si>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</si>
  <si>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</si>
  <si>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</si>
  <si>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CLI-00475</t>
  </si>
  <si>
    <t>CLI-00125</t>
  </si>
  <si>
    <t>CLI-01082</t>
  </si>
  <si>
    <t>CLI-00039</t>
  </si>
  <si>
    <t>CLI-01832</t>
  </si>
  <si>
    <t>CLI-01181</t>
  </si>
  <si>
    <t>CLI-01589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</si>
  <si>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</si>
  <si>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</si>
  <si>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</si>
  <si>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</si>
  <si>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</si>
  <si>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</si>
  <si>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</si>
  <si>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</si>
  <si>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CLI-00919</t>
  </si>
  <si>
    <t>CLI-01568</t>
  </si>
  <si>
    <t>CLI-01479</t>
  </si>
  <si>
    <t>CLI-00331</t>
  </si>
  <si>
    <t>CLI-01697</t>
  </si>
  <si>
    <t>CLI-00394</t>
  </si>
  <si>
    <t>CLI-00962</t>
  </si>
  <si>
    <t>CLI-00705</t>
  </si>
  <si>
    <t>CLI-00898</t>
  </si>
  <si>
    <t>CLI-00476</t>
  </si>
  <si>
    <t>CLI-01040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</si>
  <si>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</si>
  <si>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</si>
  <si>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</si>
  <si>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</si>
  <si>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</si>
  <si>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</si>
  <si>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</si>
  <si>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CLI-00800</t>
  </si>
  <si>
    <t>Duree_Cumulee_Panne_heur</t>
  </si>
  <si>
    <t xml:space="preserve">Type_client </t>
  </si>
  <si>
    <t>anciennette_annéé</t>
  </si>
  <si>
    <t>perte</t>
  </si>
  <si>
    <t>remise</t>
  </si>
  <si>
    <t>Nombre aboné</t>
  </si>
  <si>
    <t>durée</t>
  </si>
  <si>
    <t>dernière heurre</t>
  </si>
  <si>
    <t>nb abonné</t>
  </si>
  <si>
    <t>durée cuumulé</t>
  </si>
  <si>
    <t>derniere heure</t>
  </si>
  <si>
    <t>Étiquettes de colonnes</t>
  </si>
  <si>
    <t>Total Somme de Duree_Panne_Min</t>
  </si>
  <si>
    <t>Somme de Duree_Panne_Min</t>
  </si>
  <si>
    <t>Total Moyenne de Date_Heure_Panne</t>
  </si>
  <si>
    <t>Moyenne de Date_Heure_Panne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</si>
</sst>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$-409]#,##0.00"/>
    <numFmt numFmtId="166" formatCode="0;[Red]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22" fontId="0" fillId="0" borderId="0" xfId="0" applyNumberFormat="1"/>
    <xf numFmtId="0" fontId="2" fillId="2" borderId="0" xfId="0" applyFont="1" applyFill="1"/>
    <xf numFmtId="165" fontId="2" fillId="2" borderId="0" xfId="0" applyNumberFormat="1" applyFont="1" applyFill="1"/>
    <xf numFmtId="164" fontId="0" fillId="3" borderId="0" xfId="0" applyNumberFormat="1" applyFill="1"/>
    <xf numFmtId="0" fontId="0" fillId="3" borderId="0" xfId="0" applyFill="1"/>
    <xf numFmtId="0" fontId="0" fillId="4" borderId="0" xfId="0" applyFill="1"/>
    <xf numFmtId="166" fontId="4" fillId="0" borderId="1" xfId="0" applyNumberFormat="1" applyFont="1" applyBorder="1" applyAlignment="1">
      <alignment horizontal="left"/>
    </xf>
    <xf numFmtId="166" fontId="4" fillId="0" borderId="1" xfId="0" applyNumberFormat="1" applyFont="1" applyBorder="1"/>
    <xf numFmtId="166" fontId="4" fillId="5" borderId="1" xfId="0" applyNumberFormat="1" applyFont="1" applyFill="1" applyBorder="1"/>
  </cellXfs>
  <cellStyles count="2">
    <cellStyle name="Normal" xfId="0" builtinId="0"/>
    <cellStyle name="Pourcentage" xfId="1" builtinId="5"/>
  </cellStyles>
  <dxfs count="123"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5" tint="-0.499984740745262"/>
        </patternFill>
      </fill>
    </dxf>
    <dxf>
      <fill>
        <patternFill>
          <bgColor theme="3" tint="-0.249977111117893"/>
        </patternFill>
      </fill>
    </dxf>
    <dxf>
      <fill>
        <patternFill>
          <bgColor theme="5" tint="-0.499984740745262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3" tint="-0.249977111117893"/>
        </patternFill>
      </fill>
    </dxf>
    <dxf>
      <fill>
        <patternFill>
          <bgColor theme="5" tint="-0.499984740745262"/>
        </patternFill>
      </fill>
    </dxf>
    <dxf>
      <fill>
        <patternFill>
          <bgColor theme="3" tint="-0.249977111117893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4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27" formatCode="dd/mm/yyyy\ hh:mm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;[Red]0"/>
    </dxf>
    <dxf>
      <numFmt numFmtId="166" formatCode="0;[Red]0"/>
    </dxf>
    <dxf>
      <numFmt numFmtId="166" formatCode="0;[Red]0"/>
    </dxf>
    <dxf>
      <numFmt numFmtId="166" formatCode="0;[Red]0"/>
    </dxf>
    <dxf>
      <numFmt numFmtId="166" formatCode="0;[Red]0"/>
    </dxf>
    <dxf>
      <numFmt numFmtId="166" formatCode="0;[Red]0"/>
    </dxf>
    <dxf>
      <numFmt numFmtId="166" formatCode="0;[Red]0"/>
    </dxf>
    <dxf>
      <numFmt numFmtId="166" formatCode="0;[Red]0"/>
    </dxf>
    <dxf>
      <numFmt numFmtId="166" formatCode="0;[Red]0"/>
    </dxf>
    <dxf>
      <numFmt numFmtId="166" formatCode="0;[Red]0"/>
    </dxf>
    <dxf>
      <numFmt numFmtId="165" formatCode="[$$-409]#,##0.00"/>
    </dxf>
    <dxf>
      <numFmt numFmtId="0" formatCode="General"/>
    </dxf>
    <dxf>
      <numFmt numFmtId="165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fill>
        <patternFill patternType="solid">
          <fgColor indexed="64"/>
          <bgColor theme="8" tint="-0.499984740745262"/>
        </patternFill>
      </fill>
    </dxf>
    <dxf>
      <numFmt numFmtId="164" formatCode="h:mm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h:mm;@"/>
    </dxf>
    <dxf>
      <fill>
        <patternFill patternType="solid">
          <fgColor indexed="64"/>
          <bgColor theme="6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6.550333796295" createdVersion="8" refreshedVersion="8" minRefreshableVersion="3" recordCount="1077" xr:uid="{F1700878-7740-44B8-801A-2509E6FDE790}">
  <cacheSource type="worksheet">
    <worksheetSource name="logos"/>
  </cacheSource>
  <cacheFields count="12">
    <cacheField name="Date_Heure_Panne" numFmtId="164">
      <sharedItems containsSemiMixedTypes="0" containsNonDate="0" containsDate="1" containsString="0" minDate="2023-10-01T01:34:00" maxDate="2023-10-31T23:57:00"/>
    </cacheField>
    <cacheField name="Cell_ID" numFmtId="0">
      <sharedItems/>
    </cacheField>
    <cacheField name="Duree_Panne_Min" numFmtId="0">
      <sharedItems containsSemiMixedTypes="0" containsString="0" containsNumber="1" containsInteger="1" minValue="5" maxValue="120"/>
    </cacheField>
    <cacheField name="Statut_Resolution" numFmtId="0">
      <sharedItems/>
    </cacheField>
    <cacheField name="region" numFmtId="0">
      <sharedItems count="27">
        <s v="Tanganyika"/>
        <s v=" non répertoriées"/>
        <s v="Kongo-Central"/>
        <s v="Kasai-Central"/>
        <s v="Kwango"/>
        <s v="Lomami"/>
        <s v="Nord-Ubangi"/>
        <s v="Haut-Katanga"/>
        <s v="Sud-Ubangi"/>
        <s v="Nord-Kivu"/>
        <s v="Tshopo"/>
        <s v="Kasai"/>
        <s v="Kwilu"/>
        <s v="Sud-Kivu"/>
        <s v="Equateur"/>
        <s v="Tshuapa"/>
        <s v="Lualaba"/>
        <s v="Sankuru"/>
        <s v="Ituri"/>
        <s v="Mongala"/>
        <s v="Bas-Uele"/>
        <s v="Kinshasa"/>
        <s v="Haut-Uele"/>
        <s v="Kasai-Oriental"/>
        <s v="Mai-Ndombe"/>
        <s v="Maniema"/>
        <s v="Haut-Lomami"/>
      </sharedItems>
    </cacheField>
    <cacheField name="Latitude" numFmtId="0">
      <sharedItems containsMixedTypes="1" containsNumber="1" minValue="-12.839263000000001" maxValue="4.9455159999999996"/>
    </cacheField>
    <cacheField name="Longitude" numFmtId="0">
      <sharedItems containsMixedTypes="1" containsNumber="1" minValue="12.013676999999999" maxValue="30.661662"/>
    </cacheField>
    <cacheField name="Technologie" numFmtId="0">
      <sharedItems count="4">
        <s v="4G"/>
        <s v=" non répertoriées"/>
        <s v="5G"/>
        <s v="3G"/>
      </sharedItems>
    </cacheField>
    <cacheField name="Equipementier" numFmtId="0">
      <sharedItems/>
    </cacheField>
    <cacheField name="nb abonné" numFmtId="0">
      <sharedItems containsMixedTypes="1" containsNumber="1" containsInteger="1" minValue="1" maxValue="6"/>
    </cacheField>
    <cacheField name="durée cuumulé" numFmtId="0">
      <sharedItems containsMixedTypes="1" containsNumber="1" containsInteger="1" minValue="5" maxValue="390"/>
    </cacheField>
    <cacheField name="derniere heure" numFmtId="164">
      <sharedItems containsDate="1" containsMixedTypes="1" minDate="2023-10-01T12:16:00" maxDate="2023-10-31T23:57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7">
  <r>
    <d v="2023-10-04T00:47:00"/>
    <s v="ANT-0465"/>
    <n v="73"/>
    <s v="Résolu"/>
    <x v="0"/>
    <n v="-11.144149000000001"/>
    <n v="27.244658999999999"/>
    <x v="0"/>
    <s v="Nokia"/>
    <n v="2"/>
    <n v="136"/>
    <d v="2023-10-29T19:00:00"/>
  </r>
  <r>
    <d v="2023-10-09T07:14:00"/>
    <s v="ANT-0004"/>
    <n v="38"/>
    <s v="Résolu"/>
    <x v="1"/>
    <s v=" non répertoriées"/>
    <s v=" non répertoriées"/>
    <x v="1"/>
    <s v=" non répertoriées"/>
    <n v="3"/>
    <n v="161"/>
    <d v="2023-10-27T00:05:00"/>
  </r>
  <r>
    <d v="2023-10-05T23:06:00"/>
    <s v="ANT-0977"/>
    <n v="100"/>
    <s v="Non Résolu"/>
    <x v="1"/>
    <s v=" non répertoriées"/>
    <s v=" non répertoriées"/>
    <x v="1"/>
    <s v=" non répertoriées"/>
    <n v="2"/>
    <n v="153"/>
    <d v="2023-10-25T09:05:00"/>
  </r>
  <r>
    <d v="2023-10-22T23:57:00"/>
    <s v="ANT-0740"/>
    <n v="79"/>
    <s v="En Cours"/>
    <x v="1"/>
    <s v=" non répertoriées"/>
    <s v=" non répertoriées"/>
    <x v="1"/>
    <s v=" non répertoriées"/>
    <n v="2"/>
    <n v="129"/>
    <d v="2023-10-22T23:57:00"/>
  </r>
  <r>
    <d v="2023-10-18T02:37:00"/>
    <s v="ANT-0897"/>
    <n v="59"/>
    <s v="Résolu"/>
    <x v="1"/>
    <s v=" non répertoriées"/>
    <s v=" non répertoriées"/>
    <x v="1"/>
    <s v=" non répertoriées"/>
    <n v="3"/>
    <n v="161"/>
    <d v="2023-10-23T18:31:00"/>
  </r>
  <r>
    <d v="2023-10-14T01:01:00"/>
    <s v="ANT-0737"/>
    <n v="119"/>
    <s v="Non Résolu"/>
    <x v="2"/>
    <n v="-2.8211520000000001"/>
    <n v="20.651419000000001"/>
    <x v="2"/>
    <s v="Ericsson"/>
    <n v="5"/>
    <n v="389"/>
    <d v="2023-10-20T11:26:00"/>
  </r>
  <r>
    <d v="2023-10-03T06:14:00"/>
    <s v="ANT-0270"/>
    <n v="79"/>
    <s v="Résolu"/>
    <x v="3"/>
    <n v="-1.648264"/>
    <n v="28.866143999999998"/>
    <x v="2"/>
    <s v="Ericsson"/>
    <n v="2"/>
    <n v="87"/>
    <d v="2023-10-22T04:20:00"/>
  </r>
  <r>
    <d v="2023-10-17T19:01:00"/>
    <s v="ANT-0996"/>
    <n v="56"/>
    <s v="Résolu"/>
    <x v="1"/>
    <s v=" non répertoriées"/>
    <s v=" non répertoriées"/>
    <x v="1"/>
    <s v=" non répertoriées"/>
    <n v="2"/>
    <n v="92"/>
    <d v="2023-10-17T19:01:00"/>
  </r>
  <r>
    <d v="2023-10-18T06:45:00"/>
    <s v="ANT-0513"/>
    <n v="51"/>
    <s v="Non Résolu"/>
    <x v="1"/>
    <s v=" non répertoriées"/>
    <s v=" non répertoriées"/>
    <x v="1"/>
    <s v=" non répertoriées"/>
    <n v="1"/>
    <n v="51"/>
    <d v="2023-10-18T06:45:00"/>
  </r>
  <r>
    <d v="2023-10-21T22:34:00"/>
    <s v="ANT-0781"/>
    <n v="33"/>
    <s v="En Cours"/>
    <x v="1"/>
    <s v=" non répertoriées"/>
    <s v=" non répertoriées"/>
    <x v="1"/>
    <s v=" non répertoriées"/>
    <n v="2"/>
    <n v="114"/>
    <d v="2023-10-28T11:36:00"/>
  </r>
  <r>
    <d v="2023-10-14T07:28:00"/>
    <s v="ANT-0183"/>
    <n v="22"/>
    <s v="Non Résolu"/>
    <x v="4"/>
    <n v="4.8319039999999998"/>
    <n v="20.733468999999999"/>
    <x v="2"/>
    <s v="Ericsson"/>
    <n v="2"/>
    <n v="101"/>
    <d v="2023-10-14T07:28:00"/>
  </r>
  <r>
    <d v="2023-10-19T08:51:00"/>
    <s v="ANT-0520"/>
    <n v="70"/>
    <s v="Résolu"/>
    <x v="5"/>
    <n v="-8.4227860000000003"/>
    <n v="16.781293000000002"/>
    <x v="0"/>
    <s v="Huawei"/>
    <n v="2"/>
    <n v="155"/>
    <d v="2023-10-19T08:51:00"/>
  </r>
  <r>
    <d v="2023-10-28T00:48:00"/>
    <s v="ANT-0935"/>
    <n v="68"/>
    <s v="En Cours"/>
    <x v="6"/>
    <n v="-10.375266999999999"/>
    <n v="17.993663000000002"/>
    <x v="2"/>
    <s v="ZTE"/>
    <n v="1"/>
    <n v="68"/>
    <d v="2023-10-28T00:48:00"/>
  </r>
  <r>
    <d v="2023-10-26T05:44:00"/>
    <s v="ANT-0109"/>
    <n v="16"/>
    <s v="Non Résolu"/>
    <x v="1"/>
    <s v=" non répertoriées"/>
    <s v=" non répertoriées"/>
    <x v="1"/>
    <s v=" non répertoriées"/>
    <n v="3"/>
    <n v="143"/>
    <d v="2023-10-26T05:44:00"/>
  </r>
  <r>
    <d v="2023-10-14T10:17:00"/>
    <s v="ANT-0892"/>
    <n v="101"/>
    <s v="Non Résolu"/>
    <x v="1"/>
    <s v=" non répertoriées"/>
    <s v=" non répertoriées"/>
    <x v="1"/>
    <s v=" non répertoriées"/>
    <s v="na"/>
    <s v="na"/>
    <s v="na"/>
  </r>
  <r>
    <d v="2023-10-05T06:48:00"/>
    <s v="ANT-0641"/>
    <n v="11"/>
    <s v="En Cours"/>
    <x v="5"/>
    <n v="-2.2371569999999998"/>
    <n v="25.926188"/>
    <x v="3"/>
    <s v="Nokia"/>
    <n v="3"/>
    <n v="171"/>
    <d v="2023-10-25T11:35:00"/>
  </r>
  <r>
    <d v="2023-10-11T03:05:00"/>
    <s v="ANT-0306"/>
    <n v="115"/>
    <s v="Résolu"/>
    <x v="1"/>
    <s v=" non répertoriées"/>
    <s v=" non répertoriées"/>
    <x v="1"/>
    <s v=" non répertoriées"/>
    <n v="4"/>
    <n v="381"/>
    <d v="2023-10-21T02:12:00"/>
  </r>
  <r>
    <d v="2023-10-13T03:22:00"/>
    <s v="ANT-0862"/>
    <n v="19"/>
    <s v="Non Résolu"/>
    <x v="0"/>
    <n v="-9.4708620000000003"/>
    <n v="29.234387999999999"/>
    <x v="3"/>
    <s v="ZTE"/>
    <n v="1"/>
    <n v="19"/>
    <d v="2023-10-13T03:22:00"/>
  </r>
  <r>
    <d v="2023-10-28T11:38:00"/>
    <s v="ANT-0655"/>
    <n v="24"/>
    <s v="Non Résolu"/>
    <x v="1"/>
    <s v=" non répertoriées"/>
    <s v=" non répertoriées"/>
    <x v="1"/>
    <s v=" non répertoriées"/>
    <n v="2"/>
    <n v="76"/>
    <d v="2023-10-28T11:38:00"/>
  </r>
  <r>
    <d v="2023-10-09T01:46:00"/>
    <s v="ANT-0520"/>
    <n v="85"/>
    <s v="Non Résolu"/>
    <x v="5"/>
    <n v="-8.4227860000000003"/>
    <n v="16.781293000000002"/>
    <x v="0"/>
    <s v="Huawei"/>
    <n v="2"/>
    <n v="155"/>
    <d v="2023-10-19T08:51:00"/>
  </r>
  <r>
    <d v="2023-10-15T17:07:00"/>
    <s v="ANT-0624"/>
    <n v="25"/>
    <s v="Résolu"/>
    <x v="7"/>
    <n v="0.172153"/>
    <n v="21.091376"/>
    <x v="3"/>
    <s v="Ericsson"/>
    <n v="3"/>
    <n v="165"/>
    <d v="2023-10-25T10:17:00"/>
  </r>
  <r>
    <d v="2023-10-30T12:05:00"/>
    <s v="ANT-0204"/>
    <n v="106"/>
    <s v="Non Résolu"/>
    <x v="1"/>
    <s v=" non répertoriées"/>
    <s v=" non répertoriées"/>
    <x v="1"/>
    <s v=" non répertoriées"/>
    <n v="1"/>
    <n v="106"/>
    <d v="2023-10-30T12:05:00"/>
  </r>
  <r>
    <d v="2023-10-18T09:53:00"/>
    <s v="ANT-0157"/>
    <n v="92"/>
    <s v="En Cours"/>
    <x v="1"/>
    <s v=" non répertoriées"/>
    <s v=" non répertoriées"/>
    <x v="1"/>
    <s v=" non répertoriées"/>
    <n v="2"/>
    <n v="190"/>
    <d v="2023-10-18T09:53:00"/>
  </r>
  <r>
    <d v="2023-10-21T19:56:00"/>
    <s v="ANT-0383"/>
    <n v="59"/>
    <s v="En Cours"/>
    <x v="1"/>
    <s v=" non répertoriées"/>
    <s v=" non répertoriées"/>
    <x v="1"/>
    <s v=" non répertoriées"/>
    <n v="2"/>
    <n v="91"/>
    <d v="2023-10-25T10:58:00"/>
  </r>
  <r>
    <d v="2023-10-28T11:36:00"/>
    <s v="ANT-0781"/>
    <n v="81"/>
    <s v="Non Résolu"/>
    <x v="1"/>
    <s v=" non répertoriées"/>
    <s v=" non répertoriées"/>
    <x v="1"/>
    <s v=" non répertoriées"/>
    <n v="2"/>
    <n v="114"/>
    <d v="2023-10-28T11:36:00"/>
  </r>
  <r>
    <d v="2023-10-07T22:04:00"/>
    <s v="ANT-0166"/>
    <n v="13"/>
    <s v="Non Résolu"/>
    <x v="8"/>
    <n v="-10.56448"/>
    <n v="19.792876"/>
    <x v="2"/>
    <s v="Ericsson"/>
    <n v="3"/>
    <n v="185"/>
    <d v="2023-10-30T14:18:00"/>
  </r>
  <r>
    <d v="2023-10-02T21:14:00"/>
    <s v="ANT-0553"/>
    <n v="54"/>
    <s v="En Cours"/>
    <x v="9"/>
    <n v="4.6287159999999998"/>
    <n v="19.407077999999998"/>
    <x v="0"/>
    <s v="Ericsson"/>
    <n v="2"/>
    <n v="165"/>
    <d v="2023-10-12T11:27:00"/>
  </r>
  <r>
    <d v="2023-10-25T09:05:00"/>
    <s v="ANT-0977"/>
    <n v="53"/>
    <s v="En Cours"/>
    <x v="1"/>
    <s v=" non répertoriées"/>
    <s v=" non répertoriées"/>
    <x v="1"/>
    <s v=" non répertoriées"/>
    <n v="2"/>
    <n v="153"/>
    <d v="2023-10-25T09:05:00"/>
  </r>
  <r>
    <d v="2023-10-28T07:55:00"/>
    <s v="ANT-0798"/>
    <n v="81"/>
    <s v="Non Résolu"/>
    <x v="1"/>
    <s v=" non répertoriées"/>
    <s v=" non répertoriées"/>
    <x v="1"/>
    <s v=" non répertoriées"/>
    <n v="4"/>
    <n v="224"/>
    <d v="2023-10-28T07:55:00"/>
  </r>
  <r>
    <d v="2023-10-04T12:17:00"/>
    <s v="ANT-0945"/>
    <n v="64"/>
    <s v="En Cours"/>
    <x v="10"/>
    <n v="0.23583499999999999"/>
    <n v="24.889558999999998"/>
    <x v="3"/>
    <s v="ZTE"/>
    <n v="1"/>
    <n v="64"/>
    <d v="2023-10-04T12:17:00"/>
  </r>
  <r>
    <d v="2023-10-15T20:53:00"/>
    <s v="ANT-0544"/>
    <n v="72"/>
    <s v="Résolu"/>
    <x v="1"/>
    <s v=" non répertoriées"/>
    <s v=" non répertoriées"/>
    <x v="1"/>
    <s v=" non répertoriées"/>
    <n v="5"/>
    <n v="390"/>
    <d v="2023-10-28T07:21:00"/>
  </r>
  <r>
    <d v="2023-10-12T05:23:00"/>
    <s v="ANT-0941"/>
    <n v="37"/>
    <s v="Résolu"/>
    <x v="0"/>
    <n v="-2.4662510000000002"/>
    <n v="18.007998000000001"/>
    <x v="2"/>
    <s v="Ericsson"/>
    <n v="2"/>
    <n v="51"/>
    <d v="2023-10-22T17:13:00"/>
  </r>
  <r>
    <d v="2023-10-12T06:42:00"/>
    <s v="ANT-0001"/>
    <n v="75"/>
    <s v="Résolu"/>
    <x v="6"/>
    <n v="-8.1437910000000002"/>
    <n v="28.946161"/>
    <x v="0"/>
    <s v="ZTE"/>
    <n v="3"/>
    <n v="136"/>
    <d v="2023-10-12T06:42:00"/>
  </r>
  <r>
    <d v="2023-10-09T22:59:00"/>
    <s v="ANT-0614"/>
    <n v="115"/>
    <s v="Résolu"/>
    <x v="10"/>
    <n v="-6.1837850000000003"/>
    <n v="25.138759"/>
    <x v="3"/>
    <s v="Ericsson"/>
    <n v="1"/>
    <n v="115"/>
    <d v="2023-10-09T22:59:00"/>
  </r>
  <r>
    <d v="2023-10-22T20:04:00"/>
    <s v="ANT-0332"/>
    <n v="6"/>
    <s v="En Cours"/>
    <x v="11"/>
    <n v="-4.9789079999999997"/>
    <n v="28.506295000000001"/>
    <x v="0"/>
    <s v="Huawei"/>
    <n v="2"/>
    <n v="108"/>
    <d v="2023-10-22T20:04:00"/>
  </r>
  <r>
    <d v="2023-10-20T20:10:00"/>
    <s v="ANT-0501"/>
    <n v="92"/>
    <s v="Résolu"/>
    <x v="1"/>
    <s v=" non répertoriées"/>
    <s v=" non répertoriées"/>
    <x v="1"/>
    <s v=" non répertoriées"/>
    <n v="3"/>
    <n v="259"/>
    <d v="2023-10-20T20:10:00"/>
  </r>
  <r>
    <d v="2023-10-18T23:15:00"/>
    <s v="ANT-0020"/>
    <n v="97"/>
    <s v="Non Résolu"/>
    <x v="11"/>
    <n v="-10.059846"/>
    <n v="14.375757999999999"/>
    <x v="0"/>
    <s v="Huawei"/>
    <n v="1"/>
    <n v="97"/>
    <d v="2023-10-18T23:15:00"/>
  </r>
  <r>
    <d v="2023-10-06T14:24:00"/>
    <s v="ANT-0115"/>
    <n v="19"/>
    <s v="Non Résolu"/>
    <x v="1"/>
    <s v=" non répertoriées"/>
    <s v=" non répertoriées"/>
    <x v="1"/>
    <s v=" non répertoriées"/>
    <n v="2"/>
    <n v="37"/>
    <d v="2023-10-06T14:24:00"/>
  </r>
  <r>
    <d v="2023-10-09T20:44:00"/>
    <s v="ANT-0952"/>
    <n v="92"/>
    <s v="Résolu"/>
    <x v="12"/>
    <n v="-0.77432100000000004"/>
    <n v="18.628658999999999"/>
    <x v="0"/>
    <s v="Huawei"/>
    <n v="2"/>
    <n v="134"/>
    <d v="2023-10-19T15:10:00"/>
  </r>
  <r>
    <d v="2023-10-18T07:43:00"/>
    <s v="ANT-0372"/>
    <n v="118"/>
    <s v="Non Résolu"/>
    <x v="1"/>
    <s v=" non répertoriées"/>
    <s v=" non répertoriées"/>
    <x v="1"/>
    <s v=" non répertoriées"/>
    <n v="1"/>
    <n v="118"/>
    <d v="2023-10-18T07:43:00"/>
  </r>
  <r>
    <d v="2023-10-11T01:14:00"/>
    <s v="ANT-0900"/>
    <n v="73"/>
    <s v="Résolu"/>
    <x v="0"/>
    <n v="-10.776204"/>
    <n v="24.672934000000001"/>
    <x v="0"/>
    <s v="Ericsson"/>
    <n v="3"/>
    <n v="176"/>
    <d v="2023-10-29T20:29:00"/>
  </r>
  <r>
    <d v="2023-10-27T01:51:00"/>
    <s v="ANT-0852"/>
    <n v="101"/>
    <s v="Résolu"/>
    <x v="13"/>
    <n v="4.2493650000000001"/>
    <n v="28.355039999999999"/>
    <x v="3"/>
    <s v="ZTE"/>
    <n v="3"/>
    <n v="215"/>
    <d v="2023-10-27T01:51:00"/>
  </r>
  <r>
    <d v="2023-10-03T06:58:00"/>
    <s v="ANT-0315"/>
    <n v="103"/>
    <s v="Non Résolu"/>
    <x v="14"/>
    <n v="4.9250049999999996"/>
    <n v="19.887931999999999"/>
    <x v="0"/>
    <s v="Huawei"/>
    <n v="1"/>
    <n v="103"/>
    <d v="2023-10-03T06:58:00"/>
  </r>
  <r>
    <d v="2023-10-31T18:56:00"/>
    <s v="ANT-0246"/>
    <n v="87"/>
    <s v="Non Résolu"/>
    <x v="1"/>
    <s v=" non répertoriées"/>
    <s v=" non répertoriées"/>
    <x v="1"/>
    <s v=" non répertoriées"/>
    <n v="3"/>
    <n v="251"/>
    <d v="2023-10-31T18:56:00"/>
  </r>
  <r>
    <d v="2023-10-23T10:13:00"/>
    <s v="ANT-0060"/>
    <n v="48"/>
    <s v="Résolu"/>
    <x v="1"/>
    <s v=" non répertoriées"/>
    <s v=" non répertoriées"/>
    <x v="1"/>
    <s v=" non répertoriées"/>
    <n v="1"/>
    <n v="48"/>
    <d v="2023-10-23T10:13:00"/>
  </r>
  <r>
    <d v="2023-10-21T15:25:00"/>
    <s v="ANT-0247"/>
    <n v="19"/>
    <s v="Résolu"/>
    <x v="1"/>
    <s v=" non répertoriées"/>
    <s v=" non répertoriées"/>
    <x v="1"/>
    <s v=" non répertoriées"/>
    <n v="6"/>
    <n v="330"/>
    <d v="2023-10-31T20:02:00"/>
  </r>
  <r>
    <d v="2023-10-29T20:29:00"/>
    <s v="ANT-0900"/>
    <n v="42"/>
    <s v="Résolu"/>
    <x v="0"/>
    <n v="-10.776204"/>
    <n v="24.672934000000001"/>
    <x v="0"/>
    <s v="Ericsson"/>
    <n v="3"/>
    <n v="176"/>
    <d v="2023-10-29T20:29:00"/>
  </r>
  <r>
    <d v="2023-10-05T08:08:00"/>
    <s v="ANT-0581"/>
    <n v="60"/>
    <s v="Résolu"/>
    <x v="1"/>
    <s v=" non répertoriées"/>
    <s v=" non répertoriées"/>
    <x v="1"/>
    <s v=" non répertoriées"/>
    <n v="2"/>
    <n v="83"/>
    <d v="2023-10-05T08:08:00"/>
  </r>
  <r>
    <d v="2023-10-08T23:35:00"/>
    <s v="ANT-0970"/>
    <n v="25"/>
    <s v="En Cours"/>
    <x v="9"/>
    <n v="-11.866133"/>
    <n v="27.068932"/>
    <x v="3"/>
    <s v="Huawei"/>
    <n v="2"/>
    <n v="142"/>
    <d v="2023-10-16T16:09:00"/>
  </r>
  <r>
    <d v="2023-10-26T05:44:00"/>
    <s v="ANT-0109"/>
    <n v="16"/>
    <s v="Non Résolu"/>
    <x v="1"/>
    <s v=" non répertoriées"/>
    <s v=" non répertoriées"/>
    <x v="1"/>
    <s v=" non répertoriées"/>
    <n v="3"/>
    <n v="143"/>
    <d v="2023-10-26T05:44:00"/>
  </r>
  <r>
    <d v="2023-10-19T15:15:00"/>
    <s v="ANT-0650"/>
    <n v="17"/>
    <s v="En Cours"/>
    <x v="1"/>
    <s v=" non répertoriées"/>
    <s v=" non répertoriées"/>
    <x v="1"/>
    <s v=" non répertoriées"/>
    <n v="2"/>
    <n v="53"/>
    <d v="2023-10-19T15:15:00"/>
  </r>
  <r>
    <d v="2023-10-26T15:51:00"/>
    <s v="ANT-0874"/>
    <n v="14"/>
    <s v="Résolu"/>
    <x v="1"/>
    <s v=" non répertoriées"/>
    <s v=" non répertoriées"/>
    <x v="1"/>
    <s v=" non répertoriées"/>
    <n v="2"/>
    <n v="106"/>
    <d v="2023-10-26T15:51:00"/>
  </r>
  <r>
    <d v="2023-10-14T06:06:00"/>
    <s v="ANT-0271"/>
    <n v="73"/>
    <s v="En Cours"/>
    <x v="15"/>
    <n v="-5.1030600000000002"/>
    <n v="22.849231"/>
    <x v="2"/>
    <s v="ZTE"/>
    <n v="2"/>
    <n v="127"/>
    <d v="2023-10-27T04:06:00"/>
  </r>
  <r>
    <d v="2023-10-04T21:27:00"/>
    <s v="ANT-0518"/>
    <n v="32"/>
    <s v="Résolu"/>
    <x v="1"/>
    <s v=" non répertoriées"/>
    <s v=" non répertoriées"/>
    <x v="1"/>
    <s v=" non répertoriées"/>
    <n v="3"/>
    <n v="205"/>
    <d v="2023-10-09T04:08:00"/>
  </r>
  <r>
    <d v="2023-10-12T13:26:00"/>
    <s v="ANT-0501"/>
    <n v="69"/>
    <s v="Non Résolu"/>
    <x v="1"/>
    <s v=" non répertoriées"/>
    <s v=" non répertoriées"/>
    <x v="1"/>
    <s v=" non répertoriées"/>
    <n v="3"/>
    <n v="259"/>
    <d v="2023-10-20T20:10:00"/>
  </r>
  <r>
    <d v="2023-10-15T23:03:00"/>
    <s v="ANT-0258"/>
    <n v="38"/>
    <s v="Résolu"/>
    <x v="16"/>
    <n v="-11.710407999999999"/>
    <n v="23.741330999999999"/>
    <x v="3"/>
    <s v="Huawei"/>
    <n v="1"/>
    <n v="38"/>
    <d v="2023-10-15T23:03:00"/>
  </r>
  <r>
    <d v="2023-10-22T20:41:00"/>
    <s v="ANT-0928"/>
    <n v="21"/>
    <s v="Non Résolu"/>
    <x v="0"/>
    <n v="-1.864393"/>
    <n v="21.453434000000001"/>
    <x v="2"/>
    <s v="Ericsson"/>
    <n v="1"/>
    <n v="21"/>
    <d v="2023-10-22T20:41:00"/>
  </r>
  <r>
    <d v="2023-10-04T01:25:00"/>
    <s v="ANT-0930"/>
    <n v="49"/>
    <s v="Résolu"/>
    <x v="1"/>
    <s v=" non répertoriées"/>
    <s v=" non répertoriées"/>
    <x v="1"/>
    <s v=" non répertoriées"/>
    <n v="2"/>
    <n v="88"/>
    <d v="2023-10-25T23:43:00"/>
  </r>
  <r>
    <d v="2023-10-24T10:51:00"/>
    <s v="ANT-0867"/>
    <n v="117"/>
    <s v="En Cours"/>
    <x v="1"/>
    <s v=" non répertoriées"/>
    <s v=" non répertoriées"/>
    <x v="1"/>
    <s v=" non répertoriées"/>
    <n v="3"/>
    <n v="267"/>
    <d v="2023-10-24T10:51:00"/>
  </r>
  <r>
    <d v="2023-10-28T03:15:00"/>
    <s v="ANT-0053"/>
    <n v="13"/>
    <s v="Non Résolu"/>
    <x v="1"/>
    <s v=" non répertoriées"/>
    <s v=" non répertoriées"/>
    <x v="1"/>
    <s v=" non répertoriées"/>
    <n v="3"/>
    <n v="171"/>
    <d v="2023-10-28T03:15:00"/>
  </r>
  <r>
    <d v="2023-10-07T06:34:00"/>
    <s v="ANT-0095"/>
    <n v="117"/>
    <s v="En Cours"/>
    <x v="1"/>
    <s v=" non répertoriées"/>
    <s v=" non répertoriées"/>
    <x v="1"/>
    <s v=" non répertoriées"/>
    <n v="1"/>
    <n v="117"/>
    <d v="2023-10-07T06:34:00"/>
  </r>
  <r>
    <d v="2023-10-15T04:27:00"/>
    <s v="ANT-0650"/>
    <n v="36"/>
    <s v="Non Résolu"/>
    <x v="1"/>
    <s v=" non répertoriées"/>
    <s v=" non répertoriées"/>
    <x v="1"/>
    <s v=" non répertoriées"/>
    <n v="2"/>
    <n v="53"/>
    <d v="2023-10-19T15:15:00"/>
  </r>
  <r>
    <d v="2023-10-06T08:29:00"/>
    <s v="ANT-0434"/>
    <n v="52"/>
    <s v="Non Résolu"/>
    <x v="0"/>
    <n v="3.1362930000000002"/>
    <n v="16.190878000000001"/>
    <x v="3"/>
    <s v="Nokia"/>
    <n v="1"/>
    <n v="52"/>
    <d v="2023-10-06T08:29:00"/>
  </r>
  <r>
    <d v="2023-10-08T02:28:00"/>
    <s v="ANT-0850"/>
    <n v="41"/>
    <s v="Résolu"/>
    <x v="12"/>
    <n v="-5.9021970000000001"/>
    <n v="20.551169999999999"/>
    <x v="3"/>
    <s v="Huawei"/>
    <n v="2"/>
    <n v="99"/>
    <d v="2023-10-31T20:20:00"/>
  </r>
  <r>
    <d v="2023-10-26T17:06:00"/>
    <s v="ANT-0284"/>
    <n v="25"/>
    <s v="Résolu"/>
    <x v="7"/>
    <n v="-5.5445120000000001"/>
    <n v="27.547335"/>
    <x v="0"/>
    <s v="Ericsson"/>
    <n v="4"/>
    <n v="222"/>
    <d v="2023-10-26T17:06:00"/>
  </r>
  <r>
    <d v="2023-10-02T20:34:00"/>
    <s v="ANT-0046"/>
    <n v="61"/>
    <s v="Résolu"/>
    <x v="1"/>
    <s v=" non répertoriées"/>
    <s v=" non répertoriées"/>
    <x v="1"/>
    <s v=" non répertoriées"/>
    <n v="1"/>
    <n v="61"/>
    <d v="2023-10-02T20:34:00"/>
  </r>
  <r>
    <d v="2023-10-27T00:05:00"/>
    <s v="ANT-0004"/>
    <n v="111"/>
    <s v="Résolu"/>
    <x v="1"/>
    <s v=" non répertoriées"/>
    <s v=" non répertoriées"/>
    <x v="1"/>
    <s v=" non répertoriées"/>
    <n v="3"/>
    <n v="161"/>
    <d v="2023-10-27T00:05:00"/>
  </r>
  <r>
    <d v="2023-10-30T07:10:00"/>
    <s v="ANT-0342"/>
    <n v="74"/>
    <s v="En Cours"/>
    <x v="1"/>
    <s v=" non répertoriées"/>
    <s v=" non répertoriées"/>
    <x v="1"/>
    <s v=" non répertoriées"/>
    <n v="2"/>
    <n v="189"/>
    <d v="2023-10-30T07:10:00"/>
  </r>
  <r>
    <d v="2023-10-14T15:30:00"/>
    <s v="ANT-0790"/>
    <n v="95"/>
    <s v="Résolu"/>
    <x v="7"/>
    <n v="-2.9417719999999998"/>
    <n v="18.587305000000001"/>
    <x v="2"/>
    <s v="Ericsson"/>
    <n v="2"/>
    <n v="204"/>
    <d v="2023-10-23T20:01:00"/>
  </r>
  <r>
    <d v="2023-10-07T12:57:00"/>
    <s v="ANT-0134"/>
    <n v="43"/>
    <s v="Résolu"/>
    <x v="4"/>
    <n v="-10.963041"/>
    <n v="12.269857"/>
    <x v="0"/>
    <s v="Huawei"/>
    <n v="3"/>
    <n v="199"/>
    <d v="2023-10-29T14:55:00"/>
  </r>
  <r>
    <d v="2023-10-02T05:24:00"/>
    <s v="ANT-0653"/>
    <n v="83"/>
    <s v="Non Résolu"/>
    <x v="9"/>
    <n v="0.82868600000000003"/>
    <n v="26.958843999999999"/>
    <x v="2"/>
    <s v="ZTE"/>
    <n v="5"/>
    <n v="385"/>
    <d v="2023-10-30T01:35:00"/>
  </r>
  <r>
    <d v="2023-10-01T12:16:00"/>
    <s v="ANT-0269"/>
    <n v="108"/>
    <s v="En Cours"/>
    <x v="1"/>
    <s v=" non répertoriées"/>
    <s v=" non répertoriées"/>
    <x v="1"/>
    <s v=" non répertoriées"/>
    <n v="1"/>
    <n v="108"/>
    <d v="2023-10-01T12:16:00"/>
  </r>
  <r>
    <d v="2023-10-30T14:18:00"/>
    <s v="ANT-0166"/>
    <n v="88"/>
    <s v="En Cours"/>
    <x v="8"/>
    <n v="-10.56448"/>
    <n v="19.792876"/>
    <x v="2"/>
    <s v="Ericsson"/>
    <n v="3"/>
    <n v="185"/>
    <d v="2023-10-30T14:18:00"/>
  </r>
  <r>
    <d v="2023-10-14T22:46:00"/>
    <s v="ANT-0760"/>
    <n v="72"/>
    <s v="Non Résolu"/>
    <x v="17"/>
    <n v="-2.7140689999999998"/>
    <n v="22.222104000000002"/>
    <x v="0"/>
    <s v="Nokia"/>
    <n v="1"/>
    <n v="72"/>
    <d v="2023-10-14T22:46:00"/>
  </r>
  <r>
    <d v="2023-10-26T17:42:00"/>
    <s v="ANT-0453"/>
    <n v="6"/>
    <s v="Non Résolu"/>
    <x v="1"/>
    <s v=" non répertoriées"/>
    <s v=" non répertoriées"/>
    <x v="1"/>
    <s v=" non répertoriées"/>
    <n v="2"/>
    <n v="55"/>
    <d v="2023-10-26T17:42:00"/>
  </r>
  <r>
    <d v="2023-10-23T15:09:00"/>
    <s v="ANT-0565"/>
    <n v="90"/>
    <s v="Résolu"/>
    <x v="0"/>
    <n v="-2.099631"/>
    <n v="13.974640000000001"/>
    <x v="3"/>
    <s v="Nokia"/>
    <n v="2"/>
    <n v="157"/>
    <d v="2023-10-31T20:42:00"/>
  </r>
  <r>
    <d v="2023-10-07T09:13:00"/>
    <s v="ANT-0723"/>
    <n v="109"/>
    <s v="En Cours"/>
    <x v="1"/>
    <s v=" non répertoriées"/>
    <s v=" non répertoriées"/>
    <x v="1"/>
    <s v=" non répertoriées"/>
    <n v="1"/>
    <n v="109"/>
    <d v="2023-10-07T09:13:00"/>
  </r>
  <r>
    <d v="2023-10-31T01:37:00"/>
    <s v="ANT-0438"/>
    <n v="75"/>
    <s v="Résolu"/>
    <x v="1"/>
    <s v=" non répertoriées"/>
    <s v=" non répertoriées"/>
    <x v="1"/>
    <s v=" non répertoriées"/>
    <n v="1"/>
    <n v="75"/>
    <d v="2023-10-31T01:37:00"/>
  </r>
  <r>
    <d v="2023-10-24T17:03:00"/>
    <s v="ANT-0575"/>
    <n v="43"/>
    <s v="Non Résolu"/>
    <x v="1"/>
    <s v=" non répertoriées"/>
    <s v=" non répertoriées"/>
    <x v="1"/>
    <s v=" non répertoriées"/>
    <n v="2"/>
    <n v="146"/>
    <d v="2023-10-24T17:03:00"/>
  </r>
  <r>
    <d v="2023-10-24T10:03:00"/>
    <s v="ANT-0010"/>
    <n v="89"/>
    <s v="Résolu"/>
    <x v="7"/>
    <n v="4.4712560000000003"/>
    <n v="27.107028"/>
    <x v="3"/>
    <s v="Ericsson"/>
    <n v="2"/>
    <n v="169"/>
    <d v="2023-10-24T10:03:00"/>
  </r>
  <r>
    <d v="2023-10-02T18:30:00"/>
    <s v="ANT-0115"/>
    <n v="18"/>
    <s v="En Cours"/>
    <x v="1"/>
    <s v=" non répertoriées"/>
    <s v=" non répertoriées"/>
    <x v="1"/>
    <s v=" non répertoriées"/>
    <n v="2"/>
    <n v="37"/>
    <d v="2023-10-06T14:24:00"/>
  </r>
  <r>
    <d v="2023-10-17T16:10:00"/>
    <s v="ANT-0078"/>
    <n v="117"/>
    <s v="Résolu"/>
    <x v="8"/>
    <n v="-12.141233"/>
    <n v="15.179043999999999"/>
    <x v="2"/>
    <s v="Ericsson"/>
    <n v="1"/>
    <n v="117"/>
    <d v="2023-10-17T16:10:00"/>
  </r>
  <r>
    <d v="2023-10-02T16:05:00"/>
    <s v="ANT-0968"/>
    <n v="22"/>
    <s v="En Cours"/>
    <x v="1"/>
    <s v=" non répertoriées"/>
    <s v=" non répertoriées"/>
    <x v="1"/>
    <s v=" non répertoriées"/>
    <n v="2"/>
    <n v="124"/>
    <d v="2023-10-20T23:57:00"/>
  </r>
  <r>
    <d v="2023-10-28T05:04:00"/>
    <s v="ANT-0905"/>
    <n v="38"/>
    <s v="Résolu"/>
    <x v="1"/>
    <s v=" non répertoriées"/>
    <s v=" non répertoriées"/>
    <x v="1"/>
    <s v=" non répertoriées"/>
    <n v="1"/>
    <n v="38"/>
    <d v="2023-10-28T05:04:00"/>
  </r>
  <r>
    <d v="2023-10-20T02:43:00"/>
    <s v="ANT-0708"/>
    <n v="19"/>
    <s v="Résolu"/>
    <x v="4"/>
    <n v="-9.7712979999999998"/>
    <n v="19.827895999999999"/>
    <x v="3"/>
    <s v="ZTE"/>
    <n v="3"/>
    <n v="139"/>
    <d v="2023-10-25T00:15:00"/>
  </r>
  <r>
    <d v="2023-10-28T07:25:00"/>
    <s v="ANT-0926"/>
    <n v="118"/>
    <s v="En Cours"/>
    <x v="8"/>
    <n v="-10.914952"/>
    <n v="26.409648000000001"/>
    <x v="0"/>
    <s v="Huawei"/>
    <n v="3"/>
    <n v="289"/>
    <d v="2023-10-28T07:25:00"/>
  </r>
  <r>
    <d v="2023-10-04T18:15:00"/>
    <s v="ANT-0153"/>
    <n v="18"/>
    <s v="En Cours"/>
    <x v="6"/>
    <n v="0.94539899999999999"/>
    <n v="14.401821999999999"/>
    <x v="2"/>
    <s v="Nokia"/>
    <n v="2"/>
    <n v="29"/>
    <d v="2023-10-31T00:13:00"/>
  </r>
  <r>
    <d v="2023-10-19T19:02:00"/>
    <s v="ANT-0559"/>
    <n v="100"/>
    <s v="En Cours"/>
    <x v="1"/>
    <s v=" non répertoriées"/>
    <s v=" non répertoriées"/>
    <x v="1"/>
    <s v=" non répertoriées"/>
    <n v="2"/>
    <n v="207"/>
    <d v="2023-10-19T21:24:00"/>
  </r>
  <r>
    <d v="2023-10-20T02:26:00"/>
    <s v="ANT-0037"/>
    <n v="75"/>
    <s v="Résolu"/>
    <x v="18"/>
    <n v="-7.0076900000000002"/>
    <n v="27.367121999999998"/>
    <x v="3"/>
    <s v="Nokia"/>
    <n v="2"/>
    <n v="189"/>
    <d v="2023-10-20T02:26:00"/>
  </r>
  <r>
    <d v="2023-10-22T18:36:00"/>
    <s v="ANT-0855"/>
    <n v="24"/>
    <s v="Résolu"/>
    <x v="19"/>
    <n v="-11.514188000000001"/>
    <n v="15.971181"/>
    <x v="2"/>
    <s v="Ericsson"/>
    <n v="2"/>
    <n v="98"/>
    <d v="2023-10-22T18:36:00"/>
  </r>
  <r>
    <d v="2023-10-17T10:59:00"/>
    <s v="ANT-0379"/>
    <n v="39"/>
    <s v="Résolu"/>
    <x v="3"/>
    <n v="-9.5266249999999992"/>
    <n v="27.889690999999999"/>
    <x v="0"/>
    <s v="Ericsson"/>
    <n v="1"/>
    <n v="39"/>
    <d v="2023-10-17T10:59:00"/>
  </r>
  <r>
    <d v="2023-10-09T06:42:00"/>
    <s v="ANT-0597"/>
    <n v="41"/>
    <s v="Non Résolu"/>
    <x v="6"/>
    <n v="-9.3066320000000005"/>
    <n v="20.470889"/>
    <x v="2"/>
    <s v="ZTE"/>
    <n v="1"/>
    <n v="41"/>
    <d v="2023-10-09T06:42:00"/>
  </r>
  <r>
    <d v="2023-10-23T10:15:00"/>
    <s v="ANT-0566"/>
    <n v="82"/>
    <s v="Résolu"/>
    <x v="20"/>
    <n v="-4.4697000000000001E-2"/>
    <n v="22.943373000000001"/>
    <x v="3"/>
    <s v="Huawei"/>
    <n v="1"/>
    <n v="82"/>
    <d v="2023-10-23T10:15:00"/>
  </r>
  <r>
    <d v="2023-10-09T12:08:00"/>
    <s v="ANT-0152"/>
    <n v="31"/>
    <s v="En Cours"/>
    <x v="1"/>
    <s v=" non répertoriées"/>
    <s v=" non répertoriées"/>
    <x v="1"/>
    <s v=" non répertoriées"/>
    <n v="2"/>
    <n v="101"/>
    <d v="2023-10-28T11:06:00"/>
  </r>
  <r>
    <d v="2023-10-22T20:19:00"/>
    <s v="ANT-0441"/>
    <n v="96"/>
    <s v="En Cours"/>
    <x v="13"/>
    <n v="-5.2526849999999996"/>
    <n v="12.374528"/>
    <x v="3"/>
    <s v="Nokia"/>
    <n v="3"/>
    <n v="195"/>
    <d v="2023-10-22T20:19:00"/>
  </r>
  <r>
    <d v="2023-10-15T10:59:00"/>
    <s v="ANT-0131"/>
    <n v="48"/>
    <s v="En Cours"/>
    <x v="8"/>
    <n v="-9.3652239999999995"/>
    <n v="22.593423999999999"/>
    <x v="2"/>
    <s v="Nokia"/>
    <n v="2"/>
    <n v="97"/>
    <d v="2023-10-21T11:44:00"/>
  </r>
  <r>
    <d v="2023-10-25T02:00:00"/>
    <s v="ANT-0043"/>
    <n v="31"/>
    <s v="Résolu"/>
    <x v="1"/>
    <s v=" non répertoriées"/>
    <s v=" non répertoriées"/>
    <x v="1"/>
    <s v=" non répertoriées"/>
    <n v="2"/>
    <n v="140"/>
    <d v="2023-10-29T06:28:00"/>
  </r>
  <r>
    <d v="2023-10-15T19:36:00"/>
    <s v="ANT-0316"/>
    <n v="92"/>
    <s v="En Cours"/>
    <x v="1"/>
    <s v=" non répertoriées"/>
    <s v=" non répertoriées"/>
    <x v="1"/>
    <s v=" non répertoriées"/>
    <n v="2"/>
    <n v="207"/>
    <d v="2023-10-15T19:36:00"/>
  </r>
  <r>
    <d v="2023-10-31T00:07:00"/>
    <s v="ANT-0573"/>
    <n v="58"/>
    <s v="Résolu"/>
    <x v="16"/>
    <n v="-7.4608439999999998"/>
    <n v="23.268619999999999"/>
    <x v="0"/>
    <s v="Huawei"/>
    <n v="1"/>
    <n v="58"/>
    <d v="2023-10-31T00:07:00"/>
  </r>
  <r>
    <d v="2023-10-29T08:11:00"/>
    <s v="ANT-0610"/>
    <n v="118"/>
    <s v="En Cours"/>
    <x v="1"/>
    <s v=" non répertoriées"/>
    <s v=" non répertoriées"/>
    <x v="1"/>
    <s v=" non répertoriées"/>
    <n v="1"/>
    <n v="118"/>
    <d v="2023-10-29T08:11:00"/>
  </r>
  <r>
    <d v="2023-10-19T08:02:00"/>
    <s v="ANT-0325"/>
    <n v="85"/>
    <s v="En Cours"/>
    <x v="1"/>
    <s v=" non répertoriées"/>
    <s v=" non répertoriées"/>
    <x v="1"/>
    <s v=" non répertoriées"/>
    <n v="2"/>
    <n v="121"/>
    <d v="2023-10-26T03:06:00"/>
  </r>
  <r>
    <d v="2023-10-04T19:27:00"/>
    <s v="ANT-0973"/>
    <n v="78"/>
    <s v="En Cours"/>
    <x v="1"/>
    <s v=" non répertoriées"/>
    <s v=" non répertoriées"/>
    <x v="1"/>
    <s v=" non répertoriées"/>
    <n v="1"/>
    <n v="78"/>
    <d v="2023-10-04T19:27:00"/>
  </r>
  <r>
    <d v="2023-10-12T23:50:00"/>
    <s v="ANT-0774"/>
    <n v="29"/>
    <s v="Non Résolu"/>
    <x v="1"/>
    <s v=" non répertoriées"/>
    <s v=" non répertoriées"/>
    <x v="1"/>
    <s v=" non répertoriées"/>
    <n v="1"/>
    <n v="29"/>
    <d v="2023-10-12T23:50:00"/>
  </r>
  <r>
    <d v="2023-10-11T13:38:00"/>
    <s v="ANT-0913"/>
    <n v="96"/>
    <s v="Résolu"/>
    <x v="21"/>
    <n v="-5.4126279999999998"/>
    <n v="25.498235999999999"/>
    <x v="2"/>
    <s v="ZTE"/>
    <n v="1"/>
    <n v="96"/>
    <d v="2023-10-11T13:38:00"/>
  </r>
  <r>
    <d v="2023-10-17T03:24:00"/>
    <s v="ANT-0454"/>
    <n v="94"/>
    <s v="Résolu"/>
    <x v="9"/>
    <n v="1.8103860000000001"/>
    <n v="15.175582"/>
    <x v="3"/>
    <s v="Huawei"/>
    <n v="1"/>
    <n v="94"/>
    <d v="2023-10-17T03:24:00"/>
  </r>
  <r>
    <d v="2023-10-29T18:12:00"/>
    <s v="ANT-0628"/>
    <n v="54"/>
    <s v="Résolu"/>
    <x v="1"/>
    <s v=" non répertoriées"/>
    <s v=" non répertoriées"/>
    <x v="1"/>
    <s v=" non répertoriées"/>
    <n v="1"/>
    <n v="54"/>
    <d v="2023-10-29T18:12:00"/>
  </r>
  <r>
    <d v="2023-10-09T01:45:00"/>
    <s v="ANT-0835"/>
    <n v="68"/>
    <s v="Résolu"/>
    <x v="9"/>
    <n v="1.017161"/>
    <n v="16.519689"/>
    <x v="3"/>
    <s v="Nokia"/>
    <n v="2"/>
    <n v="153"/>
    <d v="2023-10-11T09:24:00"/>
  </r>
  <r>
    <d v="2023-10-14T00:33:00"/>
    <s v="ANT-0737"/>
    <n v="56"/>
    <s v="En Cours"/>
    <x v="2"/>
    <n v="-2.8211520000000001"/>
    <n v="20.651419000000001"/>
    <x v="2"/>
    <s v="Ericsson"/>
    <n v="5"/>
    <n v="389"/>
    <d v="2023-10-20T11:26:00"/>
  </r>
  <r>
    <d v="2023-10-30T17:43:00"/>
    <s v="ANT-0914"/>
    <n v="36"/>
    <s v="Non Résolu"/>
    <x v="5"/>
    <n v="-11.218453999999999"/>
    <n v="28.230025000000001"/>
    <x v="2"/>
    <s v="ZTE"/>
    <n v="2"/>
    <n v="155"/>
    <d v="2023-10-30T17:43:00"/>
  </r>
  <r>
    <d v="2023-10-24T23:47:00"/>
    <s v="ANT-0517"/>
    <n v="23"/>
    <s v="Résolu"/>
    <x v="17"/>
    <n v="-8.0922239999999999"/>
    <n v="15.483708"/>
    <x v="2"/>
    <s v="Nokia"/>
    <n v="1"/>
    <n v="23"/>
    <d v="2023-10-24T23:47:00"/>
  </r>
  <r>
    <d v="2023-10-22T06:23:00"/>
    <s v="ANT-0437"/>
    <n v="88"/>
    <s v="Non Résolu"/>
    <x v="21"/>
    <n v="-1.339734"/>
    <n v="15.243098"/>
    <x v="3"/>
    <s v="Nokia"/>
    <n v="1"/>
    <n v="88"/>
    <d v="2023-10-22T06:23:00"/>
  </r>
  <r>
    <d v="2023-10-14T02:42:00"/>
    <s v="ANT-0851"/>
    <n v="93"/>
    <s v="Résolu"/>
    <x v="1"/>
    <s v=" non répertoriées"/>
    <s v=" non répertoriées"/>
    <x v="1"/>
    <s v=" non répertoriées"/>
    <n v="3"/>
    <n v="303"/>
    <d v="2023-10-21T23:15:00"/>
  </r>
  <r>
    <d v="2023-10-30T10:39:00"/>
    <s v="ANT-0929"/>
    <n v="5"/>
    <s v="Résolu"/>
    <x v="3"/>
    <n v="-6.6803710000000001"/>
    <n v="21.955673000000001"/>
    <x v="0"/>
    <s v="Nokia"/>
    <n v="1"/>
    <n v="5"/>
    <d v="2023-10-30T10:39:00"/>
  </r>
  <r>
    <d v="2023-10-11T21:54:00"/>
    <s v="ANT-0562"/>
    <n v="119"/>
    <s v="En Cours"/>
    <x v="1"/>
    <s v=" non répertoriées"/>
    <s v=" non répertoriées"/>
    <x v="1"/>
    <s v=" non répertoriées"/>
    <n v="2"/>
    <n v="129"/>
    <d v="2023-10-21T19:01:00"/>
  </r>
  <r>
    <d v="2023-10-04T23:57:00"/>
    <s v="ANT-0457"/>
    <n v="101"/>
    <s v="En Cours"/>
    <x v="9"/>
    <n v="-6.3148239999999998"/>
    <n v="24.507498999999999"/>
    <x v="3"/>
    <s v="ZTE"/>
    <n v="1"/>
    <n v="101"/>
    <d v="2023-10-04T23:57:00"/>
  </r>
  <r>
    <d v="2023-10-10T16:19:00"/>
    <s v="ANT-0919"/>
    <n v="115"/>
    <s v="En Cours"/>
    <x v="1"/>
    <s v=" non répertoriées"/>
    <s v=" non répertoriées"/>
    <x v="1"/>
    <s v=" non répertoriées"/>
    <n v="2"/>
    <n v="213"/>
    <d v="2023-10-29T00:21:00"/>
  </r>
  <r>
    <d v="2023-10-22T13:20:00"/>
    <s v="ANT-0163"/>
    <n v="103"/>
    <s v="Non Résolu"/>
    <x v="1"/>
    <s v=" non répertoriées"/>
    <s v=" non répertoriées"/>
    <x v="1"/>
    <s v=" non répertoriées"/>
    <n v="2"/>
    <n v="148"/>
    <d v="2023-10-28T18:37:00"/>
  </r>
  <r>
    <d v="2023-10-13T22:18:00"/>
    <s v="ANT-0762"/>
    <n v="118"/>
    <s v="En Cours"/>
    <x v="1"/>
    <s v=" non répertoriées"/>
    <s v=" non répertoriées"/>
    <x v="1"/>
    <s v=" non répertoriées"/>
    <n v="1"/>
    <n v="118"/>
    <d v="2023-10-13T22:18:00"/>
  </r>
  <r>
    <d v="2023-10-18T04:12:00"/>
    <s v="ANT-0883"/>
    <n v="18"/>
    <s v="En Cours"/>
    <x v="13"/>
    <n v="-9.4702129999999993"/>
    <n v="12.826158"/>
    <x v="3"/>
    <s v="Ericsson"/>
    <n v="3"/>
    <n v="164"/>
    <d v="2023-10-19T00:11:00"/>
  </r>
  <r>
    <d v="2023-10-14T21:24:00"/>
    <s v="ANT-0487"/>
    <n v="104"/>
    <s v="Résolu"/>
    <x v="1"/>
    <s v=" non répertoriées"/>
    <s v=" non répertoriées"/>
    <x v="1"/>
    <s v=" non répertoriées"/>
    <n v="2"/>
    <n v="120"/>
    <d v="2023-10-14T21:24:00"/>
  </r>
  <r>
    <d v="2023-10-22T23:57:00"/>
    <s v="ANT-0461"/>
    <n v="59"/>
    <s v="Résolu"/>
    <x v="1"/>
    <s v=" non répertoriées"/>
    <s v=" non répertoriées"/>
    <x v="1"/>
    <s v=" non répertoriées"/>
    <n v="3"/>
    <n v="221"/>
    <d v="2023-10-23T02:35:00"/>
  </r>
  <r>
    <d v="2023-10-06T19:36:00"/>
    <s v="ANT-0266"/>
    <n v="33"/>
    <s v="En Cours"/>
    <x v="1"/>
    <s v=" non répertoriées"/>
    <s v=" non répertoriées"/>
    <x v="1"/>
    <s v=" non répertoriées"/>
    <n v="1"/>
    <n v="33"/>
    <d v="2023-10-06T19:36:00"/>
  </r>
  <r>
    <d v="2023-10-10T12:35:00"/>
    <s v="ANT-0770"/>
    <n v="27"/>
    <s v="En Cours"/>
    <x v="12"/>
    <n v="2.4741019999999998"/>
    <n v="29.297391000000001"/>
    <x v="0"/>
    <s v="Ericsson"/>
    <n v="3"/>
    <n v="217"/>
    <d v="2023-10-22T04:01:00"/>
  </r>
  <r>
    <d v="2023-10-27T00:19:00"/>
    <s v="ANT-0254"/>
    <n v="107"/>
    <s v="Non Résolu"/>
    <x v="1"/>
    <s v=" non répertoriées"/>
    <s v=" non répertoriées"/>
    <x v="1"/>
    <s v=" non répertoriées"/>
    <n v="4"/>
    <n v="329"/>
    <d v="2023-10-27T00:19:00"/>
  </r>
  <r>
    <d v="2023-10-10T06:27:00"/>
    <s v="ANT-0861"/>
    <n v="94"/>
    <s v="Non Résolu"/>
    <x v="1"/>
    <s v=" non répertoriées"/>
    <s v=" non répertoriées"/>
    <x v="1"/>
    <s v=" non répertoriées"/>
    <n v="2"/>
    <n v="207"/>
    <d v="2023-10-10T06:27:00"/>
  </r>
  <r>
    <d v="2023-10-26T18:38:00"/>
    <s v="ANT-0653"/>
    <n v="71"/>
    <s v="Résolu"/>
    <x v="9"/>
    <n v="0.82868600000000003"/>
    <n v="26.958843999999999"/>
    <x v="2"/>
    <s v="ZTE"/>
    <n v="5"/>
    <n v="385"/>
    <d v="2023-10-30T01:35:00"/>
  </r>
  <r>
    <d v="2023-10-21T10:29:00"/>
    <s v="ANT-0284"/>
    <n v="64"/>
    <s v="Non Résolu"/>
    <x v="7"/>
    <n v="-5.5445120000000001"/>
    <n v="27.547335"/>
    <x v="0"/>
    <s v="Ericsson"/>
    <n v="4"/>
    <n v="222"/>
    <d v="2023-10-26T17:06:00"/>
  </r>
  <r>
    <d v="2023-10-15T14:43:00"/>
    <s v="ANT-0785"/>
    <n v="11"/>
    <s v="En Cours"/>
    <x v="1"/>
    <s v=" non répertoriées"/>
    <s v=" non répertoriées"/>
    <x v="1"/>
    <s v=" non répertoriées"/>
    <n v="2"/>
    <n v="78"/>
    <d v="2023-10-16T11:30:00"/>
  </r>
  <r>
    <d v="2023-10-07T16:30:00"/>
    <s v="ANT-0797"/>
    <n v="76"/>
    <s v="En Cours"/>
    <x v="22"/>
    <n v="-12.100756000000001"/>
    <n v="21.938649999999999"/>
    <x v="0"/>
    <s v="Huawei"/>
    <n v="2"/>
    <n v="100"/>
    <d v="2023-10-17T16:39:00"/>
  </r>
  <r>
    <d v="2023-10-26T23:10:00"/>
    <s v="ANT-0534"/>
    <n v="36"/>
    <s v="Résolu"/>
    <x v="0"/>
    <n v="-9.002459"/>
    <n v="25.182109000000001"/>
    <x v="2"/>
    <s v="Huawei"/>
    <n v="2"/>
    <n v="64"/>
    <d v="2023-10-26T23:10:00"/>
  </r>
  <r>
    <d v="2023-10-22T02:18:00"/>
    <s v="ANT-0497"/>
    <n v="113"/>
    <s v="En Cours"/>
    <x v="1"/>
    <s v=" non répertoriées"/>
    <s v=" non répertoriées"/>
    <x v="1"/>
    <s v=" non répertoriées"/>
    <n v="2"/>
    <n v="154"/>
    <d v="2023-10-22T02:18:00"/>
  </r>
  <r>
    <d v="2023-10-17T21:40:00"/>
    <s v="ANT-0642"/>
    <n v="20"/>
    <s v="En Cours"/>
    <x v="12"/>
    <n v="-4.2408359999999998"/>
    <n v="26.210014000000001"/>
    <x v="0"/>
    <s v="Huawei"/>
    <n v="1"/>
    <n v="20"/>
    <d v="2023-10-17T21:40:00"/>
  </r>
  <r>
    <d v="2023-10-20T10:05:00"/>
    <s v="ANT-0245"/>
    <n v="63"/>
    <s v="En Cours"/>
    <x v="5"/>
    <n v="-9.9875139999999991"/>
    <n v="12.013676999999999"/>
    <x v="3"/>
    <s v="ZTE"/>
    <n v="1"/>
    <n v="63"/>
    <d v="2023-10-20T10:05:00"/>
  </r>
  <r>
    <d v="2023-10-27T07:43:00"/>
    <s v="ANT-0282"/>
    <n v="22"/>
    <s v="En Cours"/>
    <x v="9"/>
    <n v="-10.25074"/>
    <n v="26.099086"/>
    <x v="0"/>
    <s v="Huawei"/>
    <n v="5"/>
    <n v="237"/>
    <d v="2023-10-28T22:09:00"/>
  </r>
  <r>
    <d v="2023-10-10T07:51:00"/>
    <s v="ANT-0451"/>
    <n v="107"/>
    <s v="Non Résolu"/>
    <x v="14"/>
    <n v="-5.0402180000000003"/>
    <n v="13.892471"/>
    <x v="3"/>
    <s v="ZTE"/>
    <n v="1"/>
    <n v="107"/>
    <d v="2023-10-10T07:51:00"/>
  </r>
  <r>
    <d v="2023-10-07T04:01:00"/>
    <s v="ANT-0080"/>
    <n v="64"/>
    <s v="Non Résolu"/>
    <x v="18"/>
    <n v="0.24202000000000001"/>
    <n v="17.396256999999999"/>
    <x v="0"/>
    <s v="Huawei"/>
    <n v="1"/>
    <n v="64"/>
    <d v="2023-10-07T04:01:00"/>
  </r>
  <r>
    <d v="2023-10-02T07:30:00"/>
    <s v="ANT-0731"/>
    <n v="90"/>
    <s v="Non Résolu"/>
    <x v="23"/>
    <n v="-12.333232000000001"/>
    <n v="25.229620000000001"/>
    <x v="2"/>
    <s v="Nokia"/>
    <n v="1"/>
    <n v="90"/>
    <d v="2023-10-02T07:30:00"/>
  </r>
  <r>
    <d v="2023-10-20T02:29:00"/>
    <s v="ANT-0293"/>
    <n v="72"/>
    <s v="Non Résolu"/>
    <x v="5"/>
    <n v="-5.7035130000000001"/>
    <n v="14.331479"/>
    <x v="2"/>
    <s v="Nokia"/>
    <n v="2"/>
    <n v="111"/>
    <d v="2023-10-31T05:29:00"/>
  </r>
  <r>
    <d v="2023-10-01T12:21:00"/>
    <s v="ANT-0287"/>
    <n v="24"/>
    <s v="En Cours"/>
    <x v="15"/>
    <n v="-11.622688999999999"/>
    <n v="18.483874"/>
    <x v="2"/>
    <s v="ZTE"/>
    <n v="2"/>
    <n v="104"/>
    <d v="2023-10-17T16:50:00"/>
  </r>
  <r>
    <d v="2023-10-22T21:51:00"/>
    <s v="ANT-0902"/>
    <n v="60"/>
    <s v="Non Résolu"/>
    <x v="3"/>
    <n v="-10.414493"/>
    <n v="12.333356999999999"/>
    <x v="3"/>
    <s v="Ericsson"/>
    <n v="4"/>
    <n v="273"/>
    <d v="2023-10-22T21:51:00"/>
  </r>
  <r>
    <d v="2023-10-13T23:10:00"/>
    <s v="ANT-0611"/>
    <n v="27"/>
    <s v="En Cours"/>
    <x v="2"/>
    <n v="0.79124300000000003"/>
    <n v="25.273389000000002"/>
    <x v="0"/>
    <s v="Nokia"/>
    <n v="1"/>
    <n v="27"/>
    <d v="2023-10-13T23:10:00"/>
  </r>
  <r>
    <d v="2023-10-27T14:58:00"/>
    <s v="ANT-0719"/>
    <n v="98"/>
    <s v="En Cours"/>
    <x v="6"/>
    <n v="-7.9987219999999999"/>
    <n v="12.779335"/>
    <x v="2"/>
    <s v="Nokia"/>
    <n v="2"/>
    <n v="154"/>
    <d v="2023-10-27T14:58:00"/>
  </r>
  <r>
    <d v="2023-10-05T19:34:00"/>
    <s v="ANT-0902"/>
    <n v="71"/>
    <s v="En Cours"/>
    <x v="3"/>
    <n v="-10.414493"/>
    <n v="12.333356999999999"/>
    <x v="3"/>
    <s v="Ericsson"/>
    <n v="4"/>
    <n v="273"/>
    <d v="2023-10-22T21:51:00"/>
  </r>
  <r>
    <d v="2023-10-01T12:37:00"/>
    <s v="ANT-0283"/>
    <n v="88"/>
    <s v="En Cours"/>
    <x v="21"/>
    <n v="-1.6097570000000001"/>
    <n v="30.661662"/>
    <x v="0"/>
    <s v="Ericsson"/>
    <n v="2"/>
    <n v="141"/>
    <d v="2023-10-18T04:10:00"/>
  </r>
  <r>
    <d v="2023-10-19T21:01:00"/>
    <s v="ANT-0570"/>
    <n v="39"/>
    <s v="Résolu"/>
    <x v="1"/>
    <s v=" non répertoriées"/>
    <s v=" non répertoriées"/>
    <x v="1"/>
    <s v=" non répertoriées"/>
    <n v="2"/>
    <n v="92"/>
    <d v="2023-10-19T21:01:00"/>
  </r>
  <r>
    <d v="2023-10-03T20:27:00"/>
    <s v="ANT-0011"/>
    <n v="83"/>
    <s v="Résolu"/>
    <x v="24"/>
    <n v="-1.607639"/>
    <n v="17.003636"/>
    <x v="0"/>
    <s v="Ericsson"/>
    <n v="1"/>
    <n v="83"/>
    <d v="2023-10-03T20:27:00"/>
  </r>
  <r>
    <d v="2023-10-05T14:11:00"/>
    <s v="ANT-0530"/>
    <n v="108"/>
    <s v="Non Résolu"/>
    <x v="12"/>
    <n v="-8.5675749999999997"/>
    <n v="26.994581"/>
    <x v="3"/>
    <s v="Nokia"/>
    <n v="3"/>
    <n v="183"/>
    <d v="2023-10-18T11:22:00"/>
  </r>
  <r>
    <d v="2023-10-02T08:24:00"/>
    <s v="ANT-0971"/>
    <n v="73"/>
    <s v="Résolu"/>
    <x v="1"/>
    <s v=" non répertoriées"/>
    <s v=" non répertoriées"/>
    <x v="1"/>
    <s v=" non répertoriées"/>
    <n v="4"/>
    <n v="347"/>
    <d v="2023-10-18T19:39:00"/>
  </r>
  <r>
    <d v="2023-10-11T06:29:00"/>
    <s v="ANT-0196"/>
    <n v="104"/>
    <s v="En Cours"/>
    <x v="1"/>
    <s v=" non répertoriées"/>
    <s v=" non répertoriées"/>
    <x v="1"/>
    <s v=" non répertoriées"/>
    <n v="1"/>
    <n v="104"/>
    <d v="2023-10-11T06:29:00"/>
  </r>
  <r>
    <d v="2023-10-11T10:48:00"/>
    <s v="ANT-0088"/>
    <n v="66"/>
    <s v="Résolu"/>
    <x v="16"/>
    <n v="-9.7803979999999999"/>
    <n v="17.686595000000001"/>
    <x v="0"/>
    <s v="Ericsson"/>
    <n v="2"/>
    <n v="151"/>
    <d v="2023-10-21T18:06:00"/>
  </r>
  <r>
    <d v="2023-10-29T12:17:00"/>
    <s v="ANT-0248"/>
    <n v="64"/>
    <s v="Non Résolu"/>
    <x v="22"/>
    <n v="-4.4351269999999996"/>
    <n v="24.825467"/>
    <x v="0"/>
    <s v="Huawei"/>
    <n v="2"/>
    <n v="169"/>
    <d v="2023-10-31T07:46:00"/>
  </r>
  <r>
    <d v="2023-10-25T13:16:00"/>
    <s v="ANT-0738"/>
    <n v="60"/>
    <s v="Non Résolu"/>
    <x v="0"/>
    <n v="-10.439686999999999"/>
    <n v="20.714210000000001"/>
    <x v="0"/>
    <s v="ZTE"/>
    <n v="1"/>
    <n v="60"/>
    <d v="2023-10-25T13:16:00"/>
  </r>
  <r>
    <d v="2023-10-27T02:30:00"/>
    <s v="ANT-0417"/>
    <n v="110"/>
    <s v="Non Résolu"/>
    <x v="15"/>
    <n v="-2.3677800000000002"/>
    <n v="18.790323999999998"/>
    <x v="2"/>
    <s v="Huawei"/>
    <n v="2"/>
    <n v="151"/>
    <d v="2023-10-27T02:30:00"/>
  </r>
  <r>
    <d v="2023-10-01T23:34:00"/>
    <s v="ANT-0501"/>
    <n v="98"/>
    <s v="Résolu"/>
    <x v="1"/>
    <s v=" non répertoriées"/>
    <s v=" non répertoriées"/>
    <x v="1"/>
    <s v=" non répertoriées"/>
    <n v="3"/>
    <n v="259"/>
    <d v="2023-10-20T20:10:00"/>
  </r>
  <r>
    <d v="2023-10-02T11:14:00"/>
    <s v="ANT-0569"/>
    <n v="80"/>
    <s v="Résolu"/>
    <x v="7"/>
    <n v="-3.3890790000000002"/>
    <n v="18.374571"/>
    <x v="2"/>
    <s v="ZTE"/>
    <n v="1"/>
    <n v="80"/>
    <d v="2023-10-02T11:14:00"/>
  </r>
  <r>
    <d v="2023-10-21T02:49:00"/>
    <s v="ANT-0777"/>
    <n v="39"/>
    <s v="Résolu"/>
    <x v="1"/>
    <s v=" non répertoriées"/>
    <s v=" non répertoriées"/>
    <x v="1"/>
    <s v=" non répertoriées"/>
    <n v="1"/>
    <n v="39"/>
    <d v="2023-10-21T02:49:00"/>
  </r>
  <r>
    <d v="2023-10-31T20:02:00"/>
    <s v="ANT-0247"/>
    <n v="46"/>
    <s v="Non Résolu"/>
    <x v="1"/>
    <s v=" non répertoriées"/>
    <s v=" non répertoriées"/>
    <x v="1"/>
    <s v=" non répertoriées"/>
    <n v="6"/>
    <n v="330"/>
    <d v="2023-10-31T20:02:00"/>
  </r>
  <r>
    <d v="2023-10-25T00:15:00"/>
    <s v="ANT-0708"/>
    <n v="114"/>
    <s v="En Cours"/>
    <x v="4"/>
    <n v="-9.7712979999999998"/>
    <n v="19.827895999999999"/>
    <x v="3"/>
    <s v="ZTE"/>
    <n v="3"/>
    <n v="139"/>
    <d v="2023-10-25T00:15:00"/>
  </r>
  <r>
    <d v="2023-10-07T00:39:00"/>
    <s v="ANT-0488"/>
    <n v="36"/>
    <s v="En Cours"/>
    <x v="3"/>
    <n v="-3.111418"/>
    <n v="14.144854"/>
    <x v="0"/>
    <s v="ZTE"/>
    <n v="3"/>
    <n v="152"/>
    <d v="2023-10-07T00:39:00"/>
  </r>
  <r>
    <d v="2023-10-05T07:08:00"/>
    <s v="ANT-0662"/>
    <n v="111"/>
    <s v="Non Résolu"/>
    <x v="6"/>
    <n v="-1.342476"/>
    <n v="15.986086"/>
    <x v="0"/>
    <s v="Ericsson"/>
    <n v="4"/>
    <n v="352"/>
    <d v="2023-10-30T17:21:00"/>
  </r>
  <r>
    <d v="2023-10-16T21:07:00"/>
    <s v="ANT-0729"/>
    <n v="16"/>
    <s v="Non Résolu"/>
    <x v="1"/>
    <s v=" non répertoriées"/>
    <s v=" non répertoriées"/>
    <x v="1"/>
    <s v=" non répertoriées"/>
    <n v="4"/>
    <n v="208"/>
    <d v="2023-10-17T11:01:00"/>
  </r>
  <r>
    <d v="2023-10-19T06:29:00"/>
    <s v="ANT-0503"/>
    <n v="40"/>
    <s v="Non Résolu"/>
    <x v="22"/>
    <n v="-1.8045979999999999"/>
    <n v="12.511096999999999"/>
    <x v="3"/>
    <s v="Huawei"/>
    <n v="4"/>
    <n v="211"/>
    <d v="2023-10-29T13:51:00"/>
  </r>
  <r>
    <d v="2023-10-23T08:49:00"/>
    <s v="ANT-0459"/>
    <n v="117"/>
    <s v="Non Résolu"/>
    <x v="1"/>
    <s v=" non répertoriées"/>
    <s v=" non répertoriées"/>
    <x v="1"/>
    <s v=" non répertoriées"/>
    <n v="1"/>
    <n v="117"/>
    <d v="2023-10-23T08:49:00"/>
  </r>
  <r>
    <d v="2023-10-12T05:38:00"/>
    <s v="ANT-0812"/>
    <n v="62"/>
    <s v="En Cours"/>
    <x v="9"/>
    <n v="-2.3102109999999998"/>
    <n v="12.362488000000001"/>
    <x v="2"/>
    <s v="Nokia"/>
    <n v="1"/>
    <n v="62"/>
    <d v="2023-10-12T05:38:00"/>
  </r>
  <r>
    <d v="2023-10-20T23:45:00"/>
    <s v="ANT-0018"/>
    <n v="36"/>
    <s v="Résolu"/>
    <x v="1"/>
    <s v=" non répertoriées"/>
    <s v=" non répertoriées"/>
    <x v="1"/>
    <s v=" non répertoriées"/>
    <n v="3"/>
    <n v="208"/>
    <d v="2023-10-31T13:35:00"/>
  </r>
  <r>
    <d v="2023-10-04T05:19:00"/>
    <s v="ANT-0096"/>
    <n v="101"/>
    <s v="Résolu"/>
    <x v="10"/>
    <n v="3.0603760000000002"/>
    <n v="19.708034000000001"/>
    <x v="3"/>
    <s v="ZTE"/>
    <n v="2"/>
    <n v="169"/>
    <d v="2023-10-27T23:16:00"/>
  </r>
  <r>
    <d v="2023-10-04T18:01:00"/>
    <s v="ANT-0302"/>
    <n v="64"/>
    <s v="En Cours"/>
    <x v="25"/>
    <n v="-4.6818410000000004"/>
    <n v="17.541618"/>
    <x v="0"/>
    <s v="Ericsson"/>
    <n v="2"/>
    <n v="107"/>
    <d v="2023-10-25T04:50:00"/>
  </r>
  <r>
    <d v="2023-10-30T09:36:00"/>
    <s v="ANT-0227"/>
    <n v="77"/>
    <s v="Résolu"/>
    <x v="1"/>
    <s v=" non répertoriées"/>
    <s v=" non répertoriées"/>
    <x v="1"/>
    <s v=" non répertoriées"/>
    <n v="2"/>
    <n v="91"/>
    <d v="2023-10-30T09:36:00"/>
  </r>
  <r>
    <d v="2023-10-22T12:25:00"/>
    <s v="ANT-0415"/>
    <n v="83"/>
    <s v="En Cours"/>
    <x v="13"/>
    <n v="-2.9651529999999999"/>
    <n v="29.79908"/>
    <x v="0"/>
    <s v="Ericsson"/>
    <n v="2"/>
    <n v="120"/>
    <d v="2023-10-22T12:25:00"/>
  </r>
  <r>
    <d v="2023-10-31T22:12:00"/>
    <s v="ANT-0709"/>
    <n v="90"/>
    <s v="Résolu"/>
    <x v="1"/>
    <s v=" non répertoriées"/>
    <s v=" non répertoriées"/>
    <x v="1"/>
    <s v=" non répertoriées"/>
    <n v="1"/>
    <n v="90"/>
    <d v="2023-10-31T22:12:00"/>
  </r>
  <r>
    <d v="2023-10-03T18:44:00"/>
    <s v="ANT-0250"/>
    <n v="53"/>
    <s v="En Cours"/>
    <x v="25"/>
    <n v="-2.3743210000000001"/>
    <n v="22.399491000000001"/>
    <x v="2"/>
    <s v="Ericsson"/>
    <n v="3"/>
    <n v="227"/>
    <d v="2023-10-18T18:37:00"/>
  </r>
  <r>
    <d v="2023-10-27T20:15:00"/>
    <s v="ANT-0314"/>
    <n v="48"/>
    <s v="Résolu"/>
    <x v="1"/>
    <s v=" non répertoriées"/>
    <s v=" non répertoriées"/>
    <x v="1"/>
    <s v=" non répertoriées"/>
    <n v="1"/>
    <n v="48"/>
    <d v="2023-10-27T20:15:00"/>
  </r>
  <r>
    <d v="2023-10-04T22:49:00"/>
    <s v="ANT-0680"/>
    <n v="8"/>
    <s v="Non Résolu"/>
    <x v="15"/>
    <n v="-0.79406600000000005"/>
    <n v="12.534793000000001"/>
    <x v="3"/>
    <s v="Huawei"/>
    <n v="1"/>
    <n v="8"/>
    <d v="2023-10-04T22:49:00"/>
  </r>
  <r>
    <d v="2023-10-10T21:38:00"/>
    <s v="ANT-0596"/>
    <n v="68"/>
    <s v="Non Résolu"/>
    <x v="8"/>
    <n v="-8.3241560000000003"/>
    <n v="19.543866000000001"/>
    <x v="0"/>
    <s v="ZTE"/>
    <n v="1"/>
    <n v="68"/>
    <d v="2023-10-10T21:38:00"/>
  </r>
  <r>
    <d v="2023-10-26T03:50:00"/>
    <s v="ANT-0378"/>
    <n v="113"/>
    <s v="Résolu"/>
    <x v="1"/>
    <s v=" non répertoriées"/>
    <s v=" non répertoriées"/>
    <x v="1"/>
    <s v=" non répertoriées"/>
    <n v="1"/>
    <n v="113"/>
    <d v="2023-10-26T03:50:00"/>
  </r>
  <r>
    <d v="2023-10-19T01:22:00"/>
    <s v="ANT-0485"/>
    <n v="46"/>
    <s v="En Cours"/>
    <x v="1"/>
    <s v=" non répertoriées"/>
    <s v=" non répertoriées"/>
    <x v="1"/>
    <s v=" non répertoriées"/>
    <n v="2"/>
    <n v="146"/>
    <d v="2023-10-20T01:00:00"/>
  </r>
  <r>
    <d v="2023-10-18T13:42:00"/>
    <s v="ANT-0567"/>
    <n v="28"/>
    <s v="Résolu"/>
    <x v="1"/>
    <s v=" non répertoriées"/>
    <s v=" non répertoriées"/>
    <x v="1"/>
    <s v=" non répertoriées"/>
    <n v="2"/>
    <n v="43"/>
    <d v="2023-10-18T13:42:00"/>
  </r>
  <r>
    <d v="2023-10-12T02:32:00"/>
    <s v="ANT-0544"/>
    <n v="67"/>
    <s v="Résolu"/>
    <x v="1"/>
    <s v=" non répertoriées"/>
    <s v=" non répertoriées"/>
    <x v="1"/>
    <s v=" non répertoriées"/>
    <n v="5"/>
    <n v="390"/>
    <d v="2023-10-28T07:21:00"/>
  </r>
  <r>
    <d v="2023-10-21T10:00:00"/>
    <s v="ANT-0353"/>
    <n v="32"/>
    <s v="Non Résolu"/>
    <x v="21"/>
    <n v="-11.991020000000001"/>
    <n v="22.514747"/>
    <x v="2"/>
    <s v="ZTE"/>
    <n v="2"/>
    <n v="98"/>
    <d v="2023-10-21T10:00:00"/>
  </r>
  <r>
    <d v="2023-10-28T13:52:00"/>
    <s v="ANT-0436"/>
    <n v="50"/>
    <s v="En Cours"/>
    <x v="10"/>
    <n v="-4.5603610000000003"/>
    <n v="24.113918999999999"/>
    <x v="2"/>
    <s v="ZTE"/>
    <n v="2"/>
    <n v="107"/>
    <d v="2023-10-28T13:52:00"/>
  </r>
  <r>
    <d v="2023-10-16T03:27:00"/>
    <s v="ANT-0764"/>
    <n v="107"/>
    <s v="Non Résolu"/>
    <x v="1"/>
    <s v=" non répertoriées"/>
    <s v=" non répertoriées"/>
    <x v="1"/>
    <s v=" non répertoriées"/>
    <n v="2"/>
    <n v="114"/>
    <d v="2023-10-16T19:28:00"/>
  </r>
  <r>
    <d v="2023-10-31T11:40:00"/>
    <s v="ANT-0564"/>
    <n v="38"/>
    <s v="Résolu"/>
    <x v="9"/>
    <n v="-12.336202"/>
    <n v="13.693683999999999"/>
    <x v="2"/>
    <s v="Huawei"/>
    <n v="4"/>
    <n v="190"/>
    <d v="2023-10-31T11:40:00"/>
  </r>
  <r>
    <d v="2023-10-29T14:45:00"/>
    <s v="ANT-0339"/>
    <n v="48"/>
    <s v="Non Résolu"/>
    <x v="20"/>
    <n v="-3.6945459999999999"/>
    <n v="16.809108999999999"/>
    <x v="2"/>
    <s v="ZTE"/>
    <n v="4"/>
    <n v="258"/>
    <d v="2023-10-29T14:45:00"/>
  </r>
  <r>
    <d v="2023-10-16T14:21:00"/>
    <s v="ANT-0259"/>
    <n v="7"/>
    <s v="En Cours"/>
    <x v="1"/>
    <s v=" non répertoriées"/>
    <s v=" non répertoriées"/>
    <x v="1"/>
    <s v=" non répertoriées"/>
    <n v="4"/>
    <n v="162"/>
    <d v="2023-10-21T15:38:00"/>
  </r>
  <r>
    <d v="2023-10-06T01:16:00"/>
    <s v="ANT-0332"/>
    <n v="102"/>
    <s v="Non Résolu"/>
    <x v="11"/>
    <n v="-4.9789079999999997"/>
    <n v="28.506295000000001"/>
    <x v="0"/>
    <s v="Huawei"/>
    <n v="2"/>
    <n v="108"/>
    <d v="2023-10-22T20:04:00"/>
  </r>
  <r>
    <d v="2023-10-31T15:07:00"/>
    <s v="ANT-0119"/>
    <n v="91"/>
    <s v="Résolu"/>
    <x v="1"/>
    <s v=" non répertoriées"/>
    <s v=" non répertoriées"/>
    <x v="1"/>
    <s v=" non répertoriées"/>
    <n v="2"/>
    <n v="141"/>
    <d v="2023-10-31T15:07:00"/>
  </r>
  <r>
    <d v="2023-10-27T02:25:00"/>
    <s v="ANT-0994"/>
    <n v="110"/>
    <s v="Non Résolu"/>
    <x v="5"/>
    <n v="-2.2681789999999999"/>
    <n v="25.699068"/>
    <x v="3"/>
    <s v="ZTE"/>
    <n v="2"/>
    <n v="219"/>
    <d v="2023-10-27T02:25:00"/>
  </r>
  <r>
    <d v="2023-10-16T02:36:00"/>
    <s v="ANT-0792"/>
    <n v="39"/>
    <s v="En Cours"/>
    <x v="1"/>
    <s v=" non répertoriées"/>
    <s v=" non répertoriées"/>
    <x v="1"/>
    <s v=" non répertoriées"/>
    <n v="2"/>
    <n v="65"/>
    <d v="2023-10-16T02:36:00"/>
  </r>
  <r>
    <d v="2023-10-21T21:03:00"/>
    <s v="ANT-0414"/>
    <n v="78"/>
    <s v="Résolu"/>
    <x v="21"/>
    <n v="-7.5418399999999997"/>
    <n v="16.931206"/>
    <x v="3"/>
    <s v="Nokia"/>
    <n v="2"/>
    <n v="191"/>
    <d v="2023-10-28T04:42:00"/>
  </r>
  <r>
    <d v="2023-10-05T04:51:00"/>
    <s v="ANT-0886"/>
    <n v="10"/>
    <s v="Résolu"/>
    <x v="1"/>
    <s v=" non répertoriées"/>
    <s v=" non répertoriées"/>
    <x v="1"/>
    <s v=" non répertoriées"/>
    <n v="1"/>
    <n v="10"/>
    <d v="2023-10-05T04:51:00"/>
  </r>
  <r>
    <d v="2023-10-19T09:05:00"/>
    <s v="ANT-0527"/>
    <n v="102"/>
    <s v="Résolu"/>
    <x v="3"/>
    <n v="-4.4451280000000004"/>
    <n v="16.536944999999999"/>
    <x v="0"/>
    <s v="Ericsson"/>
    <n v="2"/>
    <n v="209"/>
    <d v="2023-10-22T18:32:00"/>
  </r>
  <r>
    <d v="2023-10-08T03:35:00"/>
    <s v="ANT-0845"/>
    <n v="101"/>
    <s v="En Cours"/>
    <x v="16"/>
    <n v="-10.872631999999999"/>
    <n v="12.773279"/>
    <x v="3"/>
    <s v="ZTE"/>
    <n v="3"/>
    <n v="163"/>
    <d v="2023-10-10T21:34:00"/>
  </r>
  <r>
    <d v="2023-10-25T13:38:00"/>
    <s v="ANT-0002"/>
    <n v="27"/>
    <s v="Résolu"/>
    <x v="24"/>
    <n v="-10.442425"/>
    <n v="23.243632000000002"/>
    <x v="0"/>
    <s v="Nokia"/>
    <n v="1"/>
    <n v="27"/>
    <d v="2023-10-25T13:38:00"/>
  </r>
  <r>
    <d v="2023-10-20T19:14:00"/>
    <s v="ANT-0674"/>
    <n v="65"/>
    <s v="Non Résolu"/>
    <x v="15"/>
    <n v="0.52897499999999997"/>
    <n v="13.849651"/>
    <x v="3"/>
    <s v="ZTE"/>
    <n v="1"/>
    <n v="65"/>
    <d v="2023-10-20T19:14:00"/>
  </r>
  <r>
    <d v="2023-10-25T16:24:00"/>
    <s v="ANT-0891"/>
    <n v="71"/>
    <s v="Résolu"/>
    <x v="1"/>
    <s v=" non répertoriées"/>
    <s v=" non répertoriées"/>
    <x v="1"/>
    <s v=" non répertoriées"/>
    <n v="2"/>
    <n v="125"/>
    <d v="2023-10-25T16:24:00"/>
  </r>
  <r>
    <d v="2023-10-15T14:19:00"/>
    <s v="ANT-0556"/>
    <n v="88"/>
    <s v="En Cours"/>
    <x v="1"/>
    <s v=" non répertoriées"/>
    <s v=" non répertoriées"/>
    <x v="1"/>
    <s v=" non répertoriées"/>
    <n v="3"/>
    <n v="254"/>
    <d v="2023-10-20T19:39:00"/>
  </r>
  <r>
    <d v="2023-10-28T18:27:00"/>
    <s v="ANT-0474"/>
    <n v="61"/>
    <s v="Non Résolu"/>
    <x v="1"/>
    <s v=" non répertoriées"/>
    <s v=" non répertoriées"/>
    <x v="1"/>
    <s v=" non répertoriées"/>
    <n v="1"/>
    <n v="61"/>
    <d v="2023-10-28T18:27:00"/>
  </r>
  <r>
    <d v="2023-10-10T18:39:00"/>
    <s v="ANT-0424"/>
    <n v="40"/>
    <s v="En Cours"/>
    <x v="16"/>
    <n v="-9.5243310000000001"/>
    <n v="30.541212000000002"/>
    <x v="3"/>
    <s v="Ericsson"/>
    <n v="3"/>
    <n v="126"/>
    <d v="2023-10-31T02:52:00"/>
  </r>
  <r>
    <d v="2023-10-02T19:47:00"/>
    <s v="ANT-0056"/>
    <n v="28"/>
    <s v="Non Résolu"/>
    <x v="24"/>
    <n v="-9.3652280000000001"/>
    <n v="18.674116000000001"/>
    <x v="0"/>
    <s v="Huawei"/>
    <n v="4"/>
    <n v="177"/>
    <d v="2023-10-25T23:36:00"/>
  </r>
  <r>
    <d v="2023-10-04T06:40:00"/>
    <s v="ANT-0193"/>
    <n v="79"/>
    <s v="Non Résolu"/>
    <x v="1"/>
    <s v=" non répertoriées"/>
    <s v=" non répertoriées"/>
    <x v="1"/>
    <s v=" non répertoriées"/>
    <n v="3"/>
    <n v="217"/>
    <d v="2023-10-27T23:25:00"/>
  </r>
  <r>
    <d v="2023-10-07T08:42:00"/>
    <s v="ANT-0531"/>
    <n v="60"/>
    <s v="En Cours"/>
    <x v="25"/>
    <n v="-4.2645619999999997"/>
    <n v="18.960726000000001"/>
    <x v="0"/>
    <s v="Huawei"/>
    <n v="2"/>
    <n v="145"/>
    <d v="2023-10-11T09:21:00"/>
  </r>
  <r>
    <d v="2023-10-03T05:15:00"/>
    <s v="ANT-0371"/>
    <n v="86"/>
    <s v="En Cours"/>
    <x v="26"/>
    <n v="-12.112682"/>
    <n v="19.972052000000001"/>
    <x v="0"/>
    <s v="Huawei"/>
    <n v="2"/>
    <n v="181"/>
    <d v="2023-10-11T11:00:00"/>
  </r>
  <r>
    <d v="2023-10-06T17:04:00"/>
    <s v="ANT-0638"/>
    <n v="109"/>
    <s v="En Cours"/>
    <x v="1"/>
    <s v=" non répertoriées"/>
    <s v=" non répertoriées"/>
    <x v="1"/>
    <s v=" non répertoriées"/>
    <n v="2"/>
    <n v="118"/>
    <d v="2023-10-06T17:04:00"/>
  </r>
  <r>
    <d v="2023-10-06T00:26:00"/>
    <s v="ANT-0775"/>
    <n v="67"/>
    <s v="En Cours"/>
    <x v="20"/>
    <n v="1.5278670000000001"/>
    <n v="13.899388999999999"/>
    <x v="3"/>
    <s v="Huawei"/>
    <n v="5"/>
    <n v="273"/>
    <d v="2023-10-24T10:28:00"/>
  </r>
  <r>
    <d v="2023-10-15T22:38:00"/>
    <s v="ANT-0511"/>
    <n v="16"/>
    <s v="Résolu"/>
    <x v="26"/>
    <n v="1.210869"/>
    <n v="25.598741"/>
    <x v="0"/>
    <s v="Ericsson"/>
    <n v="3"/>
    <n v="106"/>
    <d v="2023-10-15T22:38:00"/>
  </r>
  <r>
    <d v="2023-10-16T09:02:00"/>
    <s v="ANT-0641"/>
    <n v="65"/>
    <s v="En Cours"/>
    <x v="5"/>
    <n v="-2.2371569999999998"/>
    <n v="25.926188"/>
    <x v="3"/>
    <s v="Nokia"/>
    <n v="3"/>
    <n v="171"/>
    <d v="2023-10-25T11:35:00"/>
  </r>
  <r>
    <d v="2023-10-08T09:45:00"/>
    <s v="ANT-0453"/>
    <n v="49"/>
    <s v="Non Résolu"/>
    <x v="1"/>
    <s v=" non répertoriées"/>
    <s v=" non répertoriées"/>
    <x v="1"/>
    <s v=" non répertoriées"/>
    <n v="2"/>
    <n v="55"/>
    <d v="2023-10-26T17:42:00"/>
  </r>
  <r>
    <d v="2023-10-10T22:55:00"/>
    <s v="ANT-0779"/>
    <n v="57"/>
    <s v="Résolu"/>
    <x v="1"/>
    <s v=" non répertoriées"/>
    <s v=" non répertoriées"/>
    <x v="1"/>
    <s v=" non répertoriées"/>
    <n v="2"/>
    <n v="111"/>
    <d v="2023-10-19T13:24:00"/>
  </r>
  <r>
    <d v="2023-10-15T02:43:00"/>
    <s v="ANT-0053"/>
    <n v="47"/>
    <s v="En Cours"/>
    <x v="1"/>
    <s v=" non répertoriées"/>
    <s v=" non répertoriées"/>
    <x v="1"/>
    <s v=" non répertoriées"/>
    <n v="3"/>
    <n v="171"/>
    <d v="2023-10-28T03:15:00"/>
  </r>
  <r>
    <d v="2023-10-08T08:50:00"/>
    <s v="ANT-0209"/>
    <n v="46"/>
    <s v="Résolu"/>
    <x v="0"/>
    <n v="-10.481026999999999"/>
    <n v="18.160464000000001"/>
    <x v="2"/>
    <s v="Huawei"/>
    <n v="1"/>
    <n v="46"/>
    <d v="2023-10-08T08:50:00"/>
  </r>
  <r>
    <d v="2023-10-26T20:37:00"/>
    <s v="ANT-0274"/>
    <n v="90"/>
    <s v="Non Résolu"/>
    <x v="1"/>
    <s v=" non répertoriées"/>
    <s v=" non répertoriées"/>
    <x v="1"/>
    <s v=" non répertoriées"/>
    <n v="3"/>
    <n v="221"/>
    <d v="2023-10-26T20:37:00"/>
  </r>
  <r>
    <d v="2023-10-22T06:27:00"/>
    <s v="ANT-0563"/>
    <n v="18"/>
    <s v="Non Résolu"/>
    <x v="9"/>
    <n v="-1.8555980000000001"/>
    <n v="30.421918000000002"/>
    <x v="3"/>
    <s v="ZTE"/>
    <n v="5"/>
    <n v="226"/>
    <d v="2023-10-23T14:20:00"/>
  </r>
  <r>
    <d v="2023-10-04T17:14:00"/>
    <s v="ANT-0135"/>
    <n v="114"/>
    <s v="Non Résolu"/>
    <x v="1"/>
    <s v=" non répertoriées"/>
    <s v=" non répertoriées"/>
    <x v="1"/>
    <s v=" non répertoriées"/>
    <n v="2"/>
    <n v="154"/>
    <d v="2023-10-31T10:40:00"/>
  </r>
  <r>
    <d v="2023-10-21T04:58:00"/>
    <s v="ANT-0950"/>
    <n v="25"/>
    <s v="Résolu"/>
    <x v="14"/>
    <n v="3.3289240000000002"/>
    <n v="24.412261000000001"/>
    <x v="2"/>
    <s v="Nokia"/>
    <n v="1"/>
    <n v="25"/>
    <d v="2023-10-21T04:58:00"/>
  </r>
  <r>
    <d v="2023-10-09T04:04:00"/>
    <s v="ANT-0295"/>
    <n v="47"/>
    <s v="Résolu"/>
    <x v="11"/>
    <n v="-4.351254"/>
    <n v="30.097408999999999"/>
    <x v="2"/>
    <s v="Nokia"/>
    <n v="2"/>
    <n v="157"/>
    <d v="2023-10-11T21:30:00"/>
  </r>
  <r>
    <d v="2023-10-02T05:50:00"/>
    <s v="ANT-0449"/>
    <n v="57"/>
    <s v="En Cours"/>
    <x v="1"/>
    <s v=" non répertoriées"/>
    <s v=" non répertoriées"/>
    <x v="1"/>
    <s v=" non répertoriées"/>
    <n v="3"/>
    <n v="144"/>
    <d v="2023-10-18T16:26:00"/>
  </r>
  <r>
    <d v="2023-10-10T19:47:00"/>
    <s v="ANT-0902"/>
    <n v="93"/>
    <s v="En Cours"/>
    <x v="3"/>
    <n v="-10.414493"/>
    <n v="12.333356999999999"/>
    <x v="3"/>
    <s v="Ericsson"/>
    <n v="4"/>
    <n v="273"/>
    <d v="2023-10-22T21:51:00"/>
  </r>
  <r>
    <d v="2023-10-27T18:58:00"/>
    <s v="ANT-0716"/>
    <n v="68"/>
    <s v="En Cours"/>
    <x v="14"/>
    <n v="-0.37665700000000002"/>
    <n v="25.154807999999999"/>
    <x v="3"/>
    <s v="Nokia"/>
    <n v="1"/>
    <n v="68"/>
    <d v="2023-10-27T18:58:00"/>
  </r>
  <r>
    <d v="2023-10-10T14:07:00"/>
    <s v="ANT-0497"/>
    <n v="41"/>
    <s v="Non Résolu"/>
    <x v="1"/>
    <s v=" non répertoriées"/>
    <s v=" non répertoriées"/>
    <x v="1"/>
    <s v=" non répertoriées"/>
    <n v="2"/>
    <n v="154"/>
    <d v="2023-10-22T02:18:00"/>
  </r>
  <r>
    <d v="2023-10-15T22:19:00"/>
    <s v="ANT-0125"/>
    <n v="89"/>
    <s v="En Cours"/>
    <x v="1"/>
    <s v=" non répertoriées"/>
    <s v=" non répertoriées"/>
    <x v="1"/>
    <s v=" non répertoriées"/>
    <n v="1"/>
    <n v="89"/>
    <d v="2023-10-15T22:19:00"/>
  </r>
  <r>
    <d v="2023-10-23T12:17:00"/>
    <s v="ANT-0030"/>
    <n v="56"/>
    <s v="Résolu"/>
    <x v="1"/>
    <s v=" non répertoriées"/>
    <s v=" non répertoriées"/>
    <x v="1"/>
    <s v=" non répertoriées"/>
    <n v="1"/>
    <n v="56"/>
    <d v="2023-10-23T12:17:00"/>
  </r>
  <r>
    <d v="2023-10-17T17:31:00"/>
    <s v="ANT-0997"/>
    <n v="109"/>
    <s v="En Cours"/>
    <x v="23"/>
    <n v="0.639208"/>
    <n v="20.701739"/>
    <x v="0"/>
    <s v="Huawei"/>
    <n v="1"/>
    <n v="109"/>
    <d v="2023-10-17T17:31:00"/>
  </r>
  <r>
    <d v="2023-10-15T02:38:00"/>
    <s v="ANT-0646"/>
    <n v="102"/>
    <s v="Non Résolu"/>
    <x v="1"/>
    <s v=" non répertoriées"/>
    <s v=" non répertoriées"/>
    <x v="1"/>
    <s v=" non répertoriées"/>
    <n v="2"/>
    <n v="109"/>
    <d v="2023-10-15T02:38:00"/>
  </r>
  <r>
    <d v="2023-10-02T13:47:00"/>
    <s v="ANT-0624"/>
    <n v="75"/>
    <s v="En Cours"/>
    <x v="7"/>
    <n v="0.172153"/>
    <n v="21.091376"/>
    <x v="3"/>
    <s v="Ericsson"/>
    <n v="3"/>
    <n v="165"/>
    <d v="2023-10-25T10:17:00"/>
  </r>
  <r>
    <d v="2023-10-11T19:16:00"/>
    <s v="ANT-0819"/>
    <n v="9"/>
    <s v="Non Résolu"/>
    <x v="1"/>
    <s v=" non répertoriées"/>
    <s v=" non répertoriées"/>
    <x v="1"/>
    <s v=" non répertoriées"/>
    <n v="2"/>
    <n v="85"/>
    <d v="2023-10-22T13:53:00"/>
  </r>
  <r>
    <d v="2023-10-01T02:14:00"/>
    <s v="ANT-0246"/>
    <n v="63"/>
    <s v="Non Résolu"/>
    <x v="1"/>
    <s v=" non répertoriées"/>
    <s v=" non répertoriées"/>
    <x v="1"/>
    <s v=" non répertoriées"/>
    <n v="3"/>
    <n v="251"/>
    <d v="2023-10-31T18:56:00"/>
  </r>
  <r>
    <d v="2023-10-31T21:53:00"/>
    <s v="ANT-0727"/>
    <n v="16"/>
    <s v="Non Résolu"/>
    <x v="1"/>
    <s v=" non répertoriées"/>
    <s v=" non répertoriées"/>
    <x v="1"/>
    <s v=" non répertoriées"/>
    <n v="3"/>
    <n v="96"/>
    <d v="2023-10-31T21:53:00"/>
  </r>
  <r>
    <d v="2023-10-28T18:37:00"/>
    <s v="ANT-0163"/>
    <n v="45"/>
    <s v="En Cours"/>
    <x v="1"/>
    <s v=" non répertoriées"/>
    <s v=" non répertoriées"/>
    <x v="1"/>
    <s v=" non répertoriées"/>
    <n v="2"/>
    <n v="148"/>
    <d v="2023-10-28T18:37:00"/>
  </r>
  <r>
    <d v="2023-10-13T14:59:00"/>
    <s v="ANT-0739"/>
    <n v="113"/>
    <s v="En Cours"/>
    <x v="1"/>
    <s v=" non répertoriées"/>
    <s v=" non répertoriées"/>
    <x v="1"/>
    <s v=" non répertoriées"/>
    <n v="3"/>
    <n v="268"/>
    <d v="2023-10-19T05:49:00"/>
  </r>
  <r>
    <d v="2023-10-11T06:44:00"/>
    <s v="ANT-0786"/>
    <n v="43"/>
    <s v="Non Résolu"/>
    <x v="8"/>
    <n v="-12.342053999999999"/>
    <n v="18.756862000000002"/>
    <x v="3"/>
    <s v="Ericsson"/>
    <n v="2"/>
    <n v="88"/>
    <d v="2023-10-12T21:43:00"/>
  </r>
  <r>
    <d v="2023-10-08T13:02:00"/>
    <s v="ANT-0698"/>
    <n v="54"/>
    <s v="Résolu"/>
    <x v="1"/>
    <s v=" non répertoriées"/>
    <s v=" non répertoriées"/>
    <x v="1"/>
    <s v=" non répertoriées"/>
    <n v="2"/>
    <n v="109"/>
    <d v="2023-10-26T23:55:00"/>
  </r>
  <r>
    <d v="2023-10-11T23:30:00"/>
    <s v="ANT-0859"/>
    <n v="114"/>
    <s v="En Cours"/>
    <x v="1"/>
    <s v=" non répertoriées"/>
    <s v=" non répertoriées"/>
    <x v="1"/>
    <s v=" non répertoriées"/>
    <n v="1"/>
    <n v="114"/>
    <d v="2023-10-11T23:30:00"/>
  </r>
  <r>
    <d v="2023-10-23T12:24:00"/>
    <s v="ANT-0141"/>
    <n v="66"/>
    <s v="Résolu"/>
    <x v="1"/>
    <s v=" non répertoriées"/>
    <s v=" non répertoriées"/>
    <x v="1"/>
    <s v=" non répertoriées"/>
    <n v="3"/>
    <n v="201"/>
    <d v="2023-10-23T12:24:00"/>
  </r>
  <r>
    <d v="2023-10-22T20:09:00"/>
    <s v="ANT-0644"/>
    <n v="18"/>
    <s v="Résolu"/>
    <x v="1"/>
    <s v=" non répertoriées"/>
    <s v=" non répertoriées"/>
    <x v="1"/>
    <s v=" non répertoriées"/>
    <n v="1"/>
    <n v="18"/>
    <d v="2023-10-22T20:09:00"/>
  </r>
  <r>
    <d v="2023-10-16T01:08:00"/>
    <s v="ANT-0100"/>
    <n v="35"/>
    <s v="Résolu"/>
    <x v="1"/>
    <s v=" non répertoriées"/>
    <s v=" non répertoriées"/>
    <x v="1"/>
    <s v=" non répertoriées"/>
    <n v="3"/>
    <n v="211"/>
    <d v="2023-10-30T19:14:00"/>
  </r>
  <r>
    <d v="2023-10-17T18:21:00"/>
    <s v="ANT-0926"/>
    <n v="53"/>
    <s v="Non Résolu"/>
    <x v="8"/>
    <n v="-10.914952"/>
    <n v="26.409648000000001"/>
    <x v="0"/>
    <s v="Huawei"/>
    <n v="3"/>
    <n v="289"/>
    <d v="2023-10-28T07:25:00"/>
  </r>
  <r>
    <d v="2023-10-28T03:55:00"/>
    <s v="ANT-0643"/>
    <n v="78"/>
    <s v="Non Résolu"/>
    <x v="1"/>
    <s v=" non répertoriées"/>
    <s v=" non répertoriées"/>
    <x v="1"/>
    <s v=" non répertoriées"/>
    <n v="1"/>
    <n v="78"/>
    <d v="2023-10-28T03:55:00"/>
  </r>
  <r>
    <d v="2023-10-28T14:06:00"/>
    <s v="ANT-0662"/>
    <n v="50"/>
    <s v="Non Résolu"/>
    <x v="6"/>
    <n v="-1.342476"/>
    <n v="15.986086"/>
    <x v="0"/>
    <s v="Ericsson"/>
    <n v="4"/>
    <n v="352"/>
    <d v="2023-10-30T17:21:00"/>
  </r>
  <r>
    <d v="2023-10-17T14:00:00"/>
    <s v="ANT-0041"/>
    <n v="78"/>
    <s v="En Cours"/>
    <x v="7"/>
    <n v="0.16841400000000001"/>
    <n v="30.029876999999999"/>
    <x v="2"/>
    <s v="Huawei"/>
    <n v="2"/>
    <n v="194"/>
    <d v="2023-10-24T17:40:00"/>
  </r>
  <r>
    <d v="2023-10-24T04:26:00"/>
    <s v="ANT-0317"/>
    <n v="42"/>
    <s v="Non Résolu"/>
    <x v="1"/>
    <s v=" non répertoriées"/>
    <s v=" non répertoriées"/>
    <x v="1"/>
    <s v=" non répertoriées"/>
    <n v="2"/>
    <n v="54"/>
    <d v="2023-10-24T04:26:00"/>
  </r>
  <r>
    <d v="2023-10-28T20:09:00"/>
    <s v="ANT-0808"/>
    <n v="94"/>
    <s v="En Cours"/>
    <x v="1"/>
    <s v=" non répertoriées"/>
    <s v=" non répertoriées"/>
    <x v="1"/>
    <s v=" non répertoriées"/>
    <n v="1"/>
    <n v="94"/>
    <d v="2023-10-28T20:09:00"/>
  </r>
  <r>
    <d v="2023-10-03T15:50:00"/>
    <s v="ANT-0452"/>
    <n v="42"/>
    <s v="Résolu"/>
    <x v="1"/>
    <s v=" non répertoriées"/>
    <s v=" non répertoriées"/>
    <x v="1"/>
    <s v=" non répertoriées"/>
    <n v="3"/>
    <n v="195"/>
    <d v="2023-10-07T08:48:00"/>
  </r>
  <r>
    <d v="2023-10-09T10:39:00"/>
    <s v="ANT-0035"/>
    <n v="7"/>
    <s v="En Cours"/>
    <x v="26"/>
    <n v="-6.3324319999999998"/>
    <n v="24.887858000000001"/>
    <x v="0"/>
    <s v="ZTE"/>
    <n v="1"/>
    <n v="7"/>
    <d v="2023-10-09T10:39:00"/>
  </r>
  <r>
    <d v="2023-10-23T12:41:00"/>
    <s v="ANT-0594"/>
    <n v="111"/>
    <s v="Résolu"/>
    <x v="1"/>
    <s v=" non répertoriées"/>
    <s v=" non répertoriées"/>
    <x v="1"/>
    <s v=" non répertoriées"/>
    <n v="1"/>
    <n v="111"/>
    <d v="2023-10-23T12:41:00"/>
  </r>
  <r>
    <d v="2023-10-03T10:54:00"/>
    <s v="ANT-0374"/>
    <n v="89"/>
    <s v="En Cours"/>
    <x v="1"/>
    <s v=" non répertoriées"/>
    <s v=" non répertoriées"/>
    <x v="1"/>
    <s v=" non répertoriées"/>
    <n v="2"/>
    <n v="94"/>
    <d v="2023-10-25T19:38:00"/>
  </r>
  <r>
    <d v="2023-10-22T17:24:00"/>
    <s v="ANT-0750"/>
    <n v="55"/>
    <s v="Non Résolu"/>
    <x v="23"/>
    <n v="-1.3976519999999999"/>
    <n v="14.098819000000001"/>
    <x v="3"/>
    <s v="Ericsson"/>
    <n v="1"/>
    <n v="55"/>
    <d v="2023-10-22T17:24:00"/>
  </r>
  <r>
    <d v="2023-10-31T10:40:00"/>
    <s v="ANT-0135"/>
    <n v="40"/>
    <s v="Résolu"/>
    <x v="1"/>
    <s v=" non répertoriées"/>
    <s v=" non répertoriées"/>
    <x v="1"/>
    <s v=" non répertoriées"/>
    <n v="2"/>
    <n v="154"/>
    <d v="2023-10-31T10:40:00"/>
  </r>
  <r>
    <d v="2023-10-23T15:55:00"/>
    <s v="ANT-0093"/>
    <n v="6"/>
    <s v="En Cours"/>
    <x v="2"/>
    <n v="2.975352"/>
    <n v="22.535886000000001"/>
    <x v="0"/>
    <s v="Huawei"/>
    <n v="3"/>
    <n v="140"/>
    <d v="2023-10-23T15:55:00"/>
  </r>
  <r>
    <d v="2023-10-18T01:39:00"/>
    <s v="ANT-0932"/>
    <n v="77"/>
    <s v="En Cours"/>
    <x v="1"/>
    <s v=" non répertoriées"/>
    <s v=" non répertoriées"/>
    <x v="1"/>
    <s v=" non répertoriées"/>
    <n v="3"/>
    <n v="105"/>
    <d v="2023-10-31T17:26:00"/>
  </r>
  <r>
    <d v="2023-10-03T07:40:00"/>
    <s v="ANT-0303"/>
    <n v="115"/>
    <s v="Non Résolu"/>
    <x v="1"/>
    <s v=" non répertoriées"/>
    <s v=" non répertoriées"/>
    <x v="1"/>
    <s v=" non répertoriées"/>
    <n v="2"/>
    <n v="176"/>
    <d v="2023-10-04T05:28:00"/>
  </r>
  <r>
    <d v="2023-10-22T09:14:00"/>
    <s v="ANT-0335"/>
    <n v="92"/>
    <s v="Non Résolu"/>
    <x v="1"/>
    <s v=" non répertoriées"/>
    <s v=" non répertoriées"/>
    <x v="1"/>
    <s v=" non répertoriées"/>
    <n v="1"/>
    <n v="92"/>
    <d v="2023-10-22T09:14:00"/>
  </r>
  <r>
    <d v="2023-10-24T02:27:00"/>
    <s v="ANT-0766"/>
    <n v="104"/>
    <s v="Non Résolu"/>
    <x v="1"/>
    <s v=" non répertoriées"/>
    <s v=" non répertoriées"/>
    <x v="1"/>
    <s v=" non répertoriées"/>
    <n v="3"/>
    <n v="195"/>
    <d v="2023-10-24T02:27:00"/>
  </r>
  <r>
    <d v="2023-10-04T20:45:00"/>
    <s v="ANT-0426"/>
    <n v="100"/>
    <s v="En Cours"/>
    <x v="1"/>
    <s v=" non répertoriées"/>
    <s v=" non répertoriées"/>
    <x v="1"/>
    <s v=" non répertoriées"/>
    <n v="1"/>
    <n v="100"/>
    <d v="2023-10-04T20:45:00"/>
  </r>
  <r>
    <d v="2023-10-28T03:28:00"/>
    <s v="ANT-0180"/>
    <n v="11"/>
    <s v="Non Résolu"/>
    <x v="10"/>
    <n v="2.4425979999999998"/>
    <n v="24.924308"/>
    <x v="2"/>
    <s v="Ericsson"/>
    <n v="2"/>
    <n v="113"/>
    <d v="2023-10-28T03:28:00"/>
  </r>
  <r>
    <d v="2023-10-06T22:19:00"/>
    <s v="ANT-0206"/>
    <n v="82"/>
    <s v="En Cours"/>
    <x v="16"/>
    <n v="4.0157999999999996"/>
    <n v="21.430246"/>
    <x v="2"/>
    <s v="Nokia"/>
    <n v="1"/>
    <n v="82"/>
    <d v="2023-10-06T22:19:00"/>
  </r>
  <r>
    <d v="2023-10-29T00:02:00"/>
    <s v="ANT-0136"/>
    <n v="100"/>
    <s v="Non Résolu"/>
    <x v="13"/>
    <n v="-9.3900009999999998"/>
    <n v="30.001517"/>
    <x v="3"/>
    <s v="Nokia"/>
    <n v="2"/>
    <n v="175"/>
    <d v="2023-10-29T00:02:00"/>
  </r>
  <r>
    <d v="2023-10-11T01:18:00"/>
    <s v="ANT-0806"/>
    <n v="68"/>
    <s v="En Cours"/>
    <x v="1"/>
    <s v=" non répertoriées"/>
    <s v=" non répertoriées"/>
    <x v="1"/>
    <s v=" non répertoriées"/>
    <n v="1"/>
    <n v="68"/>
    <d v="2023-10-11T01:18:00"/>
  </r>
  <r>
    <d v="2023-10-12T11:27:00"/>
    <s v="ANT-0553"/>
    <n v="111"/>
    <s v="Résolu"/>
    <x v="9"/>
    <n v="4.6287159999999998"/>
    <n v="19.407077999999998"/>
    <x v="0"/>
    <s v="Ericsson"/>
    <n v="2"/>
    <n v="165"/>
    <d v="2023-10-12T11:27:00"/>
  </r>
  <r>
    <d v="2023-10-05T07:33:00"/>
    <s v="ANT-0898"/>
    <n v="120"/>
    <s v="Non Résolu"/>
    <x v="1"/>
    <s v=" non répertoriées"/>
    <s v=" non répertoriées"/>
    <x v="1"/>
    <s v=" non répertoriées"/>
    <n v="1"/>
    <n v="120"/>
    <d v="2023-10-05T07:33:00"/>
  </r>
  <r>
    <d v="2023-10-14T18:43:00"/>
    <s v="ANT-0995"/>
    <n v="120"/>
    <s v="Résolu"/>
    <x v="17"/>
    <n v="-7.5969509999999998"/>
    <n v="22.153986"/>
    <x v="3"/>
    <s v="Ericsson"/>
    <n v="2"/>
    <n v="151"/>
    <d v="2023-10-23T21:40:00"/>
  </r>
  <r>
    <d v="2023-10-26T05:10:00"/>
    <s v="ANT-0375"/>
    <n v="41"/>
    <s v="En Cours"/>
    <x v="24"/>
    <n v="-4.9552579999999997"/>
    <n v="22.008103999999999"/>
    <x v="0"/>
    <s v="Huawei"/>
    <n v="1"/>
    <n v="41"/>
    <d v="2023-10-26T05:10:00"/>
  </r>
  <r>
    <d v="2023-10-06T02:39:00"/>
    <s v="ANT-0544"/>
    <n v="104"/>
    <s v="Résolu"/>
    <x v="1"/>
    <s v=" non répertoriées"/>
    <s v=" non répertoriées"/>
    <x v="1"/>
    <s v=" non répertoriées"/>
    <n v="5"/>
    <n v="390"/>
    <d v="2023-10-28T07:21:00"/>
  </r>
  <r>
    <d v="2023-10-28T12:39:00"/>
    <s v="ANT-0514"/>
    <n v="107"/>
    <s v="Non Résolu"/>
    <x v="0"/>
    <n v="-1.50664"/>
    <n v="27.795642000000001"/>
    <x v="2"/>
    <s v="ZTE"/>
    <n v="1"/>
    <n v="107"/>
    <d v="2023-10-28T12:39:00"/>
  </r>
  <r>
    <d v="2023-10-22T07:31:00"/>
    <s v="ANT-0936"/>
    <n v="34"/>
    <s v="Non Résolu"/>
    <x v="11"/>
    <n v="-10.165072"/>
    <n v="29.428024000000001"/>
    <x v="2"/>
    <s v="Huawei"/>
    <n v="3"/>
    <n v="160"/>
    <d v="2023-10-26T14:57:00"/>
  </r>
  <r>
    <d v="2023-10-30T18:09:00"/>
    <s v="ANT-0280"/>
    <n v="82"/>
    <s v="En Cours"/>
    <x v="1"/>
    <s v=" non répertoriées"/>
    <s v=" non répertoriées"/>
    <x v="1"/>
    <s v=" non répertoriées"/>
    <n v="1"/>
    <n v="82"/>
    <d v="2023-10-30T18:09:00"/>
  </r>
  <r>
    <d v="2023-10-08T14:40:00"/>
    <s v="ANT-0851"/>
    <n v="107"/>
    <s v="Non Résolu"/>
    <x v="1"/>
    <s v=" non répertoriées"/>
    <s v=" non répertoriées"/>
    <x v="1"/>
    <s v=" non répertoriées"/>
    <n v="3"/>
    <n v="303"/>
    <d v="2023-10-21T23:15:00"/>
  </r>
  <r>
    <d v="2023-10-09T14:16:00"/>
    <s v="ANT-0169"/>
    <n v="50"/>
    <s v="Résolu"/>
    <x v="1"/>
    <s v=" non répertoriées"/>
    <s v=" non répertoriées"/>
    <x v="1"/>
    <s v=" non répertoriées"/>
    <n v="1"/>
    <n v="50"/>
    <d v="2023-10-09T14:16:00"/>
  </r>
  <r>
    <d v="2023-10-22T00:57:00"/>
    <s v="ANT-0264"/>
    <n v="33"/>
    <s v="Non Résolu"/>
    <x v="21"/>
    <n v="0.48965500000000001"/>
    <n v="26.176860000000001"/>
    <x v="0"/>
    <s v="Huawei"/>
    <n v="1"/>
    <n v="33"/>
    <d v="2023-10-22T00:57:00"/>
  </r>
  <r>
    <d v="2023-10-26T14:57:00"/>
    <s v="ANT-0936"/>
    <n v="86"/>
    <s v="Résolu"/>
    <x v="11"/>
    <n v="-10.165072"/>
    <n v="29.428024000000001"/>
    <x v="2"/>
    <s v="Huawei"/>
    <n v="3"/>
    <n v="160"/>
    <d v="2023-10-26T14:57:00"/>
  </r>
  <r>
    <d v="2023-10-10T21:34:00"/>
    <s v="ANT-0845"/>
    <n v="29"/>
    <s v="Non Résolu"/>
    <x v="16"/>
    <n v="-10.872631999999999"/>
    <n v="12.773279"/>
    <x v="3"/>
    <s v="ZTE"/>
    <n v="3"/>
    <n v="163"/>
    <d v="2023-10-10T21:34:00"/>
  </r>
  <r>
    <d v="2023-10-06T02:28:00"/>
    <s v="ANT-0967"/>
    <n v="84"/>
    <s v="En Cours"/>
    <x v="1"/>
    <s v=" non répertoriées"/>
    <s v=" non répertoriées"/>
    <x v="1"/>
    <s v=" non répertoriées"/>
    <n v="1"/>
    <n v="84"/>
    <d v="2023-10-06T02:28:00"/>
  </r>
  <r>
    <d v="2023-10-31T11:37:00"/>
    <s v="ANT-0494"/>
    <n v="37"/>
    <s v="Non Résolu"/>
    <x v="2"/>
    <n v="-12.564277000000001"/>
    <n v="28.480798"/>
    <x v="2"/>
    <s v="ZTE"/>
    <n v="2"/>
    <n v="144"/>
    <d v="2023-10-31T11:37:00"/>
  </r>
  <r>
    <d v="2023-10-10T20:27:00"/>
    <s v="ANT-0991"/>
    <n v="91"/>
    <s v="En Cours"/>
    <x v="4"/>
    <n v="-12.431227"/>
    <n v="18.414290999999999"/>
    <x v="2"/>
    <s v="Huawei"/>
    <n v="1"/>
    <n v="91"/>
    <d v="2023-10-10T20:27:00"/>
  </r>
  <r>
    <d v="2023-10-23T08:29:00"/>
    <s v="ANT-0826"/>
    <n v="101"/>
    <s v="Non Résolu"/>
    <x v="9"/>
    <n v="-10.846306999999999"/>
    <n v="19.201827999999999"/>
    <x v="0"/>
    <s v="Ericsson"/>
    <n v="3"/>
    <n v="121"/>
    <d v="2023-10-24T06:03:00"/>
  </r>
  <r>
    <d v="2023-10-08T17:08:00"/>
    <s v="ANT-0111"/>
    <n v="99"/>
    <s v="Non Résolu"/>
    <x v="1"/>
    <s v=" non répertoriées"/>
    <s v=" non répertoriées"/>
    <x v="1"/>
    <s v=" non répertoriées"/>
    <n v="2"/>
    <n v="180"/>
    <d v="2023-10-27T13:47:00"/>
  </r>
  <r>
    <d v="2023-10-13T14:23:00"/>
    <s v="ANT-0503"/>
    <n v="58"/>
    <s v="Non Résolu"/>
    <x v="22"/>
    <n v="-1.8045979999999999"/>
    <n v="12.511096999999999"/>
    <x v="3"/>
    <s v="Huawei"/>
    <n v="4"/>
    <n v="211"/>
    <d v="2023-10-29T13:51:00"/>
  </r>
  <r>
    <d v="2023-10-22T23:44:00"/>
    <s v="ANT-0730"/>
    <n v="72"/>
    <s v="Non Résolu"/>
    <x v="1"/>
    <s v=" non répertoriées"/>
    <s v=" non répertoriées"/>
    <x v="1"/>
    <s v=" non répertoriées"/>
    <n v="2"/>
    <n v="170"/>
    <d v="2023-10-22T23:44:00"/>
  </r>
  <r>
    <d v="2023-10-31T17:26:00"/>
    <s v="ANT-0932"/>
    <n v="19"/>
    <s v="Non Résolu"/>
    <x v="1"/>
    <s v=" non répertoriées"/>
    <s v=" non répertoriées"/>
    <x v="1"/>
    <s v=" non répertoriées"/>
    <n v="3"/>
    <n v="105"/>
    <d v="2023-10-31T17:26:00"/>
  </r>
  <r>
    <d v="2023-10-19T23:46:00"/>
    <s v="ANT-0455"/>
    <n v="100"/>
    <s v="Résolu"/>
    <x v="1"/>
    <s v=" non répertoriées"/>
    <s v=" non répertoriées"/>
    <x v="1"/>
    <s v=" non répertoriées"/>
    <n v="3"/>
    <n v="247"/>
    <d v="2023-10-19T23:46:00"/>
  </r>
  <r>
    <d v="2023-10-05T13:41:00"/>
    <s v="ANT-0076"/>
    <n v="13"/>
    <s v="En Cours"/>
    <x v="1"/>
    <s v=" non répertoriées"/>
    <s v=" non répertoriées"/>
    <x v="1"/>
    <s v=" non répertoriées"/>
    <n v="1"/>
    <n v="13"/>
    <d v="2023-10-05T13:41:00"/>
  </r>
  <r>
    <d v="2023-10-04T15:39:00"/>
    <s v="ANT-0921"/>
    <n v="65"/>
    <s v="En Cours"/>
    <x v="7"/>
    <n v="2.016505"/>
    <n v="14.294164"/>
    <x v="2"/>
    <s v="Huawei"/>
    <n v="2"/>
    <n v="138"/>
    <d v="2023-10-08T22:56:00"/>
  </r>
  <r>
    <d v="2023-10-14T08:02:00"/>
    <s v="ANT-0083"/>
    <n v="62"/>
    <s v="Résolu"/>
    <x v="1"/>
    <s v=" non répertoriées"/>
    <s v=" non répertoriées"/>
    <x v="1"/>
    <s v=" non répertoriées"/>
    <n v="2"/>
    <n v="69"/>
    <d v="2023-10-27T15:46:00"/>
  </r>
  <r>
    <d v="2023-10-23T11:13:00"/>
    <s v="ANT-0330"/>
    <n v="104"/>
    <s v="En Cours"/>
    <x v="1"/>
    <s v=" non répertoriées"/>
    <s v=" non répertoriées"/>
    <x v="1"/>
    <s v=" non répertoriées"/>
    <n v="1"/>
    <n v="104"/>
    <d v="2023-10-23T11:13:00"/>
  </r>
  <r>
    <d v="2023-10-15T14:15:00"/>
    <s v="ANT-0623"/>
    <n v="51"/>
    <s v="En Cours"/>
    <x v="1"/>
    <s v=" non répertoriées"/>
    <s v=" non répertoriées"/>
    <x v="1"/>
    <s v=" non répertoriées"/>
    <n v="3"/>
    <n v="120"/>
    <d v="2023-10-29T02:25:00"/>
  </r>
  <r>
    <d v="2023-10-28T11:06:00"/>
    <s v="ANT-0152"/>
    <n v="70"/>
    <s v="En Cours"/>
    <x v="1"/>
    <s v=" non répertoriées"/>
    <s v=" non répertoriées"/>
    <x v="1"/>
    <s v=" non répertoriées"/>
    <n v="2"/>
    <n v="101"/>
    <d v="2023-10-28T11:06:00"/>
  </r>
  <r>
    <d v="2023-10-22T11:34:00"/>
    <s v="ANT-0068"/>
    <n v="80"/>
    <s v="En Cours"/>
    <x v="1"/>
    <s v=" non répertoriées"/>
    <s v=" non répertoriées"/>
    <x v="1"/>
    <s v=" non répertoriées"/>
    <n v="1"/>
    <n v="80"/>
    <d v="2023-10-22T11:34:00"/>
  </r>
  <r>
    <d v="2023-10-29T20:22:00"/>
    <s v="ANT-0130"/>
    <n v="18"/>
    <s v="En Cours"/>
    <x v="1"/>
    <s v=" non répertoriées"/>
    <s v=" non répertoriées"/>
    <x v="1"/>
    <s v=" non répertoriées"/>
    <n v="2"/>
    <n v="100"/>
    <d v="2023-10-29T20:22:00"/>
  </r>
  <r>
    <d v="2023-10-02T12:17:00"/>
    <s v="ANT-0282"/>
    <n v="62"/>
    <s v="Non Résolu"/>
    <x v="9"/>
    <n v="-10.25074"/>
    <n v="26.099086"/>
    <x v="0"/>
    <s v="Huawei"/>
    <n v="5"/>
    <n v="237"/>
    <d v="2023-10-28T22:09:00"/>
  </r>
  <r>
    <d v="2023-10-07T03:54:00"/>
    <s v="ANT-0640"/>
    <n v="69"/>
    <s v="Résolu"/>
    <x v="1"/>
    <s v=" non répertoriées"/>
    <s v=" non répertoriées"/>
    <x v="1"/>
    <s v=" non répertoriées"/>
    <n v="1"/>
    <n v="69"/>
    <d v="2023-10-07T03:54:00"/>
  </r>
  <r>
    <d v="2023-10-27T14:05:00"/>
    <s v="ANT-0649"/>
    <n v="33"/>
    <s v="En Cours"/>
    <x v="6"/>
    <n v="-7.7839049999999999"/>
    <n v="14.114281999999999"/>
    <x v="3"/>
    <s v="ZTE"/>
    <n v="3"/>
    <n v="156"/>
    <d v="2023-10-27T14:05:00"/>
  </r>
  <r>
    <d v="2023-10-22T06:41:00"/>
    <s v="ANT-0600"/>
    <n v="83"/>
    <s v="En Cours"/>
    <x v="15"/>
    <n v="-12.292039000000001"/>
    <n v="27.538202999999999"/>
    <x v="3"/>
    <s v="Huawei"/>
    <n v="1"/>
    <n v="83"/>
    <d v="2023-10-22T06:41:00"/>
  </r>
  <r>
    <d v="2023-10-21T19:01:00"/>
    <s v="ANT-0562"/>
    <n v="10"/>
    <s v="En Cours"/>
    <x v="1"/>
    <s v=" non répertoriées"/>
    <s v=" non répertoriées"/>
    <x v="1"/>
    <s v=" non répertoriées"/>
    <n v="2"/>
    <n v="129"/>
    <d v="2023-10-21T19:01:00"/>
  </r>
  <r>
    <d v="2023-10-02T10:15:00"/>
    <s v="ANT-0730"/>
    <n v="98"/>
    <s v="Non Résolu"/>
    <x v="1"/>
    <s v=" non répertoriées"/>
    <s v=" non répertoriées"/>
    <x v="1"/>
    <s v=" non répertoriées"/>
    <n v="2"/>
    <n v="170"/>
    <d v="2023-10-22T23:44:00"/>
  </r>
  <r>
    <d v="2023-10-05T18:13:00"/>
    <s v="ANT-0333"/>
    <n v="105"/>
    <s v="En Cours"/>
    <x v="1"/>
    <s v=" non répertoriées"/>
    <s v=" non répertoriées"/>
    <x v="1"/>
    <s v=" non répertoriées"/>
    <n v="3"/>
    <n v="233"/>
    <d v="2023-10-28T17:23:00"/>
  </r>
  <r>
    <d v="2023-10-03T17:13:00"/>
    <s v="ANT-0391"/>
    <n v="115"/>
    <s v="En Cours"/>
    <x v="0"/>
    <n v="-1.5936220000000001"/>
    <n v="14.928856"/>
    <x v="2"/>
    <s v="Ericsson"/>
    <n v="1"/>
    <n v="115"/>
    <d v="2023-10-03T17:13:00"/>
  </r>
  <r>
    <d v="2023-10-19T06:52:00"/>
    <s v="ANT-0612"/>
    <n v="89"/>
    <s v="Résolu"/>
    <x v="4"/>
    <n v="-7.5129409999999996"/>
    <n v="18.701522000000001"/>
    <x v="0"/>
    <s v="Nokia"/>
    <n v="2"/>
    <n v="150"/>
    <d v="2023-10-22T04:45:00"/>
  </r>
  <r>
    <d v="2023-10-28T07:21:00"/>
    <s v="ANT-0544"/>
    <n v="71"/>
    <s v="Non Résolu"/>
    <x v="1"/>
    <s v=" non répertoriées"/>
    <s v=" non répertoriées"/>
    <x v="1"/>
    <s v=" non répertoriées"/>
    <n v="5"/>
    <n v="390"/>
    <d v="2023-10-28T07:21:00"/>
  </r>
  <r>
    <d v="2023-10-25T04:50:00"/>
    <s v="ANT-0302"/>
    <n v="43"/>
    <s v="En Cours"/>
    <x v="25"/>
    <n v="-4.6818410000000004"/>
    <n v="17.541618"/>
    <x v="0"/>
    <s v="Ericsson"/>
    <n v="2"/>
    <n v="107"/>
    <d v="2023-10-25T04:50:00"/>
  </r>
  <r>
    <d v="2023-10-29T19:00:00"/>
    <s v="ANT-0465"/>
    <n v="63"/>
    <s v="Résolu"/>
    <x v="0"/>
    <n v="-11.144149000000001"/>
    <n v="27.244658999999999"/>
    <x v="0"/>
    <s v="Nokia"/>
    <n v="2"/>
    <n v="136"/>
    <d v="2023-10-29T19:00:00"/>
  </r>
  <r>
    <d v="2023-10-09T04:08:00"/>
    <s v="ANT-0518"/>
    <n v="87"/>
    <s v="Résolu"/>
    <x v="1"/>
    <s v=" non répertoriées"/>
    <s v=" non répertoriées"/>
    <x v="1"/>
    <s v=" non répertoriées"/>
    <n v="3"/>
    <n v="205"/>
    <d v="2023-10-09T04:08:00"/>
  </r>
  <r>
    <d v="2023-10-18T08:51:00"/>
    <s v="ANT-0620"/>
    <n v="8"/>
    <s v="Résolu"/>
    <x v="9"/>
    <n v="-4.1754939999999996"/>
    <n v="16.704664999999999"/>
    <x v="3"/>
    <s v="Ericsson"/>
    <n v="2"/>
    <n v="105"/>
    <d v="2023-10-20T04:21:00"/>
  </r>
  <r>
    <d v="2023-10-06T03:42:00"/>
    <s v="ANT-0441"/>
    <n v="12"/>
    <s v="Résolu"/>
    <x v="13"/>
    <n v="-5.2526849999999996"/>
    <n v="12.374528"/>
    <x v="3"/>
    <s v="Nokia"/>
    <n v="3"/>
    <n v="195"/>
    <d v="2023-10-22T20:19:00"/>
  </r>
  <r>
    <d v="2023-10-28T00:08:00"/>
    <s v="ANT-0102"/>
    <n v="66"/>
    <s v="En Cours"/>
    <x v="1"/>
    <s v=" non répertoriées"/>
    <s v=" non répertoriées"/>
    <x v="1"/>
    <s v=" non répertoriées"/>
    <n v="1"/>
    <n v="66"/>
    <d v="2023-10-28T00:08:00"/>
  </r>
  <r>
    <d v="2023-10-01T11:50:00"/>
    <s v="ANT-0813"/>
    <n v="113"/>
    <s v="Résolu"/>
    <x v="13"/>
    <n v="-1.5419050000000001"/>
    <n v="14.730632999999999"/>
    <x v="3"/>
    <s v="ZTE"/>
    <n v="2"/>
    <n v="130"/>
    <d v="2023-10-21T11:16:00"/>
  </r>
  <r>
    <d v="2023-10-26T07:37:00"/>
    <s v="ANT-0719"/>
    <n v="56"/>
    <s v="Non Résolu"/>
    <x v="6"/>
    <n v="-7.9987219999999999"/>
    <n v="12.779335"/>
    <x v="2"/>
    <s v="Nokia"/>
    <n v="2"/>
    <n v="154"/>
    <d v="2023-10-27T14:58:00"/>
  </r>
  <r>
    <d v="2023-10-11T00:11:00"/>
    <s v="ANT-0118"/>
    <n v="59"/>
    <s v="Non Résolu"/>
    <x v="1"/>
    <s v=" non répertoriées"/>
    <s v=" non répertoriées"/>
    <x v="1"/>
    <s v=" non répertoriées"/>
    <n v="3"/>
    <n v="167"/>
    <d v="2023-10-11T00:11:00"/>
  </r>
  <r>
    <d v="2023-10-09T01:08:00"/>
    <s v="ANT-0874"/>
    <n v="92"/>
    <s v="En Cours"/>
    <x v="1"/>
    <s v=" non répertoriées"/>
    <s v=" non répertoriées"/>
    <x v="1"/>
    <s v=" non répertoriées"/>
    <n v="2"/>
    <n v="106"/>
    <d v="2023-10-26T15:51:00"/>
  </r>
  <r>
    <d v="2023-10-22T03:26:00"/>
    <s v="ANT-0727"/>
    <n v="43"/>
    <s v="Résolu"/>
    <x v="1"/>
    <s v=" non répertoriées"/>
    <s v=" non répertoriées"/>
    <x v="1"/>
    <s v=" non répertoriées"/>
    <n v="3"/>
    <n v="96"/>
    <d v="2023-10-31T21:53:00"/>
  </r>
  <r>
    <d v="2023-10-12T21:48:00"/>
    <s v="ANT-0656"/>
    <n v="32"/>
    <s v="Non Résolu"/>
    <x v="1"/>
    <s v=" non répertoriées"/>
    <s v=" non répertoriées"/>
    <x v="1"/>
    <s v=" non répertoriées"/>
    <n v="2"/>
    <n v="114"/>
    <d v="2023-10-13T04:49:00"/>
  </r>
  <r>
    <d v="2023-10-14T23:03:00"/>
    <s v="ANT-0428"/>
    <n v="103"/>
    <s v="Non Résolu"/>
    <x v="1"/>
    <s v=" non répertoriées"/>
    <s v=" non répertoriées"/>
    <x v="1"/>
    <s v=" non répertoriées"/>
    <n v="1"/>
    <n v="103"/>
    <d v="2023-10-14T23:03:00"/>
  </r>
  <r>
    <d v="2023-10-10T11:06:00"/>
    <s v="ANT-0118"/>
    <n v="102"/>
    <s v="En Cours"/>
    <x v="1"/>
    <s v=" non répertoriées"/>
    <s v=" non répertoriées"/>
    <x v="1"/>
    <s v=" non répertoriées"/>
    <n v="3"/>
    <n v="167"/>
    <d v="2023-10-11T00:11:00"/>
  </r>
  <r>
    <d v="2023-10-19T16:13:00"/>
    <s v="ANT-0415"/>
    <n v="37"/>
    <s v="En Cours"/>
    <x v="13"/>
    <n v="-2.9651529999999999"/>
    <n v="29.79908"/>
    <x v="0"/>
    <s v="Ericsson"/>
    <n v="2"/>
    <n v="120"/>
    <d v="2023-10-22T12:25:00"/>
  </r>
  <r>
    <d v="2023-10-05T21:30:00"/>
    <s v="ANT-0022"/>
    <n v="42"/>
    <s v="Non Résolu"/>
    <x v="1"/>
    <s v=" non répertoriées"/>
    <s v=" non répertoriées"/>
    <x v="1"/>
    <s v=" non répertoriées"/>
    <n v="1"/>
    <n v="42"/>
    <d v="2023-10-05T21:30:00"/>
  </r>
  <r>
    <d v="2023-10-08T03:22:00"/>
    <s v="ANT-0990"/>
    <n v="46"/>
    <s v="Non Résolu"/>
    <x v="2"/>
    <n v="-12.112399999999999"/>
    <n v="15.872226"/>
    <x v="0"/>
    <s v="Nokia"/>
    <n v="4"/>
    <n v="237"/>
    <d v="2023-10-21T20:21:00"/>
  </r>
  <r>
    <d v="2023-10-28T17:23:00"/>
    <s v="ANT-0333"/>
    <n v="20"/>
    <s v="Résolu"/>
    <x v="1"/>
    <s v=" non répertoriées"/>
    <s v=" non répertoriées"/>
    <x v="1"/>
    <s v=" non répertoriées"/>
    <n v="3"/>
    <n v="233"/>
    <d v="2023-10-28T17:23:00"/>
  </r>
  <r>
    <d v="2023-10-04T08:36:00"/>
    <s v="ANT-0176"/>
    <n v="5"/>
    <s v="Résolu"/>
    <x v="1"/>
    <s v=" non répertoriées"/>
    <s v=" non répertoriées"/>
    <x v="1"/>
    <s v=" non répertoriées"/>
    <n v="1"/>
    <n v="5"/>
    <d v="2023-10-04T08:36:00"/>
  </r>
  <r>
    <d v="2023-10-08T13:54:00"/>
    <s v="ANT-0821"/>
    <n v="68"/>
    <s v="Résolu"/>
    <x v="18"/>
    <n v="-3.7720639999999999"/>
    <n v="16.006277999999998"/>
    <x v="2"/>
    <s v="ZTE"/>
    <n v="3"/>
    <n v="176"/>
    <d v="2023-10-28T21:58:00"/>
  </r>
  <r>
    <d v="2023-10-18T19:39:00"/>
    <s v="ANT-0971"/>
    <n v="100"/>
    <s v="Résolu"/>
    <x v="1"/>
    <s v=" non répertoriées"/>
    <s v=" non répertoriées"/>
    <x v="1"/>
    <s v=" non répertoriées"/>
    <n v="4"/>
    <n v="347"/>
    <d v="2023-10-18T19:39:00"/>
  </r>
  <r>
    <d v="2023-10-22T20:35:00"/>
    <s v="ANT-0633"/>
    <n v="60"/>
    <s v="En Cours"/>
    <x v="1"/>
    <s v=" non répertoriées"/>
    <s v=" non répertoriées"/>
    <x v="1"/>
    <s v=" non répertoriées"/>
    <n v="2"/>
    <n v="71"/>
    <d v="2023-10-22T20:35:00"/>
  </r>
  <r>
    <d v="2023-10-01T19:59:00"/>
    <s v="ANT-0472"/>
    <n v="27"/>
    <s v="Résolu"/>
    <x v="13"/>
    <n v="1.2419519999999999"/>
    <n v="25.261382999999999"/>
    <x v="0"/>
    <s v="Huawei"/>
    <n v="2"/>
    <n v="85"/>
    <d v="2023-10-19T03:03:00"/>
  </r>
  <r>
    <d v="2023-10-22T22:17:00"/>
    <s v="ANT-0852"/>
    <n v="21"/>
    <s v="Résolu"/>
    <x v="13"/>
    <n v="4.2493650000000001"/>
    <n v="28.355039999999999"/>
    <x v="3"/>
    <s v="ZTE"/>
    <n v="3"/>
    <n v="215"/>
    <d v="2023-10-27T01:51:00"/>
  </r>
  <r>
    <d v="2023-10-01T05:17:00"/>
    <s v="ANT-0707"/>
    <n v="53"/>
    <s v="Non Résolu"/>
    <x v="1"/>
    <s v=" non répertoriées"/>
    <s v=" non répertoriées"/>
    <x v="1"/>
    <s v=" non répertoriées"/>
    <n v="2"/>
    <n v="120"/>
    <d v="2023-10-28T09:26:00"/>
  </r>
  <r>
    <d v="2023-10-23T09:58:00"/>
    <s v="ANT-0942"/>
    <n v="73"/>
    <s v="Résolu"/>
    <x v="6"/>
    <n v="-4.8128659999999996"/>
    <n v="18.559304999999998"/>
    <x v="2"/>
    <s v="ZTE"/>
    <n v="1"/>
    <n v="73"/>
    <d v="2023-10-23T09:58:00"/>
  </r>
  <r>
    <d v="2023-10-11T11:00:00"/>
    <s v="ANT-0371"/>
    <n v="95"/>
    <s v="Non Résolu"/>
    <x v="26"/>
    <n v="-12.112682"/>
    <n v="19.972052000000001"/>
    <x v="0"/>
    <s v="Huawei"/>
    <n v="2"/>
    <n v="181"/>
    <d v="2023-10-11T11:00:00"/>
  </r>
  <r>
    <d v="2023-10-06T04:36:00"/>
    <s v="ANT-0091"/>
    <n v="34"/>
    <s v="Résolu"/>
    <x v="17"/>
    <n v="-4.7886769999999999"/>
    <n v="23.600221999999999"/>
    <x v="3"/>
    <s v="ZTE"/>
    <n v="1"/>
    <n v="34"/>
    <d v="2023-10-06T04:36:00"/>
  </r>
  <r>
    <d v="2023-10-22T12:04:00"/>
    <s v="ANT-0448"/>
    <n v="69"/>
    <s v="Résolu"/>
    <x v="1"/>
    <s v=" non répertoriées"/>
    <s v=" non répertoriées"/>
    <x v="1"/>
    <s v=" non répertoriées"/>
    <n v="1"/>
    <n v="69"/>
    <d v="2023-10-22T12:04:00"/>
  </r>
  <r>
    <d v="2023-10-05T23:40:00"/>
    <s v="ANT-0865"/>
    <n v="76"/>
    <s v="Non Résolu"/>
    <x v="22"/>
    <n v="-4.869434"/>
    <n v="22.326522000000001"/>
    <x v="2"/>
    <s v="Ericsson"/>
    <n v="2"/>
    <n v="92"/>
    <d v="2023-10-11T16:33:00"/>
  </r>
  <r>
    <d v="2023-10-01T02:47:00"/>
    <s v="ANT-0109"/>
    <n v="111"/>
    <s v="En Cours"/>
    <x v="1"/>
    <s v=" non répertoriées"/>
    <s v=" non répertoriées"/>
    <x v="1"/>
    <s v=" non répertoriées"/>
    <n v="3"/>
    <n v="143"/>
    <d v="2023-10-26T05:44:00"/>
  </r>
  <r>
    <d v="2023-10-17T06:24:00"/>
    <s v="ANT-0250"/>
    <n v="90"/>
    <s v="En Cours"/>
    <x v="25"/>
    <n v="-2.3743210000000001"/>
    <n v="22.399491000000001"/>
    <x v="2"/>
    <s v="Ericsson"/>
    <n v="3"/>
    <n v="227"/>
    <d v="2023-10-18T18:37:00"/>
  </r>
  <r>
    <d v="2023-10-14T14:21:00"/>
    <s v="ANT-0447"/>
    <n v="108"/>
    <s v="Non Résolu"/>
    <x v="1"/>
    <s v=" non répertoriées"/>
    <s v=" non répertoriées"/>
    <x v="1"/>
    <s v=" non répertoriées"/>
    <n v="1"/>
    <n v="108"/>
    <d v="2023-10-14T14:21:00"/>
  </r>
  <r>
    <d v="2023-10-06T11:19:00"/>
    <s v="ANT-0604"/>
    <n v="50"/>
    <s v="Non Résolu"/>
    <x v="26"/>
    <n v="2.628638"/>
    <n v="28.420582"/>
    <x v="0"/>
    <s v="Huawei"/>
    <n v="2"/>
    <n v="136"/>
    <d v="2023-10-06T11:19:00"/>
  </r>
  <r>
    <d v="2023-10-24T10:49:00"/>
    <s v="ANT-0411"/>
    <n v="14"/>
    <s v="En Cours"/>
    <x v="15"/>
    <n v="-2.571777"/>
    <n v="12.120642"/>
    <x v="3"/>
    <s v="Huawei"/>
    <n v="1"/>
    <n v="14"/>
    <d v="2023-10-24T10:49:00"/>
  </r>
  <r>
    <d v="2023-10-31T18:38:00"/>
    <s v="ANT-0537"/>
    <n v="55"/>
    <s v="Non Résolu"/>
    <x v="1"/>
    <s v=" non répertoriées"/>
    <s v=" non répertoriées"/>
    <x v="1"/>
    <s v=" non répertoriées"/>
    <n v="2"/>
    <n v="145"/>
    <d v="2023-10-31T18:38:00"/>
  </r>
  <r>
    <d v="2023-10-03T01:09:00"/>
    <s v="ANT-0081"/>
    <n v="115"/>
    <s v="Non Résolu"/>
    <x v="15"/>
    <n v="-10.577049000000001"/>
    <n v="23.721854"/>
    <x v="0"/>
    <s v="ZTE"/>
    <n v="3"/>
    <n v="239"/>
    <d v="2023-10-26T23:30:00"/>
  </r>
  <r>
    <d v="2023-10-06T19:03:00"/>
    <s v="ANT-0406"/>
    <n v="99"/>
    <s v="Non Résolu"/>
    <x v="1"/>
    <s v=" non répertoriées"/>
    <s v=" non répertoriées"/>
    <x v="1"/>
    <s v=" non répertoriées"/>
    <n v="1"/>
    <n v="99"/>
    <d v="2023-10-06T19:03:00"/>
  </r>
  <r>
    <d v="2023-10-15T21:27:00"/>
    <s v="ANT-0318"/>
    <n v="60"/>
    <s v="Non Résolu"/>
    <x v="1"/>
    <s v=" non répertoriées"/>
    <s v=" non répertoriées"/>
    <x v="1"/>
    <s v=" non répertoriées"/>
    <n v="1"/>
    <n v="60"/>
    <d v="2023-10-15T21:27:00"/>
  </r>
  <r>
    <d v="2023-10-16T19:28:00"/>
    <s v="ANT-0764"/>
    <n v="7"/>
    <s v="En Cours"/>
    <x v="1"/>
    <s v=" non répertoriées"/>
    <s v=" non répertoriées"/>
    <x v="1"/>
    <s v=" non répertoriées"/>
    <n v="2"/>
    <n v="114"/>
    <d v="2023-10-16T19:28:00"/>
  </r>
  <r>
    <d v="2023-10-14T08:13:00"/>
    <s v="ANT-0348"/>
    <n v="63"/>
    <s v="Non Résolu"/>
    <x v="13"/>
    <n v="0.31740800000000002"/>
    <n v="27.197666999999999"/>
    <x v="2"/>
    <s v="Nokia"/>
    <n v="1"/>
    <n v="63"/>
    <d v="2023-10-14T08:13:00"/>
  </r>
  <r>
    <d v="2023-10-25T16:07:00"/>
    <s v="ANT-0227"/>
    <n v="14"/>
    <s v="En Cours"/>
    <x v="1"/>
    <s v=" non répertoriées"/>
    <s v=" non répertoriées"/>
    <x v="1"/>
    <s v=" non répertoriées"/>
    <n v="2"/>
    <n v="91"/>
    <d v="2023-10-30T09:36:00"/>
  </r>
  <r>
    <d v="2023-10-12T13:07:00"/>
    <s v="ANT-0342"/>
    <n v="115"/>
    <s v="Résolu"/>
    <x v="1"/>
    <s v=" non répertoriées"/>
    <s v=" non répertoriées"/>
    <x v="1"/>
    <s v=" non répertoriées"/>
    <n v="2"/>
    <n v="189"/>
    <d v="2023-10-30T07:10:00"/>
  </r>
  <r>
    <d v="2023-10-10T21:43:00"/>
    <s v="ANT-0798"/>
    <n v="45"/>
    <s v="En Cours"/>
    <x v="1"/>
    <s v=" non répertoriées"/>
    <s v=" non répertoriées"/>
    <x v="1"/>
    <s v=" non répertoriées"/>
    <n v="4"/>
    <n v="224"/>
    <d v="2023-10-28T07:55:00"/>
  </r>
  <r>
    <d v="2023-10-19T15:33:00"/>
    <s v="ANT-0173"/>
    <n v="78"/>
    <s v="Résolu"/>
    <x v="1"/>
    <s v=" non répertoriées"/>
    <s v=" non répertoriées"/>
    <x v="1"/>
    <s v=" non répertoriées"/>
    <n v="2"/>
    <n v="151"/>
    <d v="2023-10-19T15:33:00"/>
  </r>
  <r>
    <d v="2023-10-22T09:02:00"/>
    <s v="ANT-0079"/>
    <n v="59"/>
    <s v="En Cours"/>
    <x v="25"/>
    <n v="-8.4824669999999998"/>
    <n v="21.897777999999999"/>
    <x v="2"/>
    <s v="Ericsson"/>
    <n v="1"/>
    <n v="59"/>
    <d v="2023-10-22T09:02:00"/>
  </r>
  <r>
    <d v="2023-10-08T12:38:00"/>
    <s v="ANT-0523"/>
    <n v="78"/>
    <s v="En Cours"/>
    <x v="7"/>
    <n v="-9.4229749999999992"/>
    <n v="29.375005999999999"/>
    <x v="3"/>
    <s v="Ericsson"/>
    <n v="1"/>
    <n v="78"/>
    <d v="2023-10-08T12:38:00"/>
  </r>
  <r>
    <d v="2023-10-02T00:13:00"/>
    <s v="ANT-0649"/>
    <n v="56"/>
    <s v="Non Résolu"/>
    <x v="6"/>
    <n v="-7.7839049999999999"/>
    <n v="14.114281999999999"/>
    <x v="3"/>
    <s v="ZTE"/>
    <n v="3"/>
    <n v="156"/>
    <d v="2023-10-27T14:05:00"/>
  </r>
  <r>
    <d v="2023-10-02T01:23:00"/>
    <s v="ANT-0989"/>
    <n v="103"/>
    <s v="Résolu"/>
    <x v="7"/>
    <n v="-11.594525000000001"/>
    <n v="29.744895"/>
    <x v="3"/>
    <s v="ZTE"/>
    <n v="2"/>
    <n v="168"/>
    <d v="2023-10-27T15:50:00"/>
  </r>
  <r>
    <d v="2023-10-27T09:04:00"/>
    <s v="ANT-0829"/>
    <n v="74"/>
    <s v="En Cours"/>
    <x v="19"/>
    <n v="4.6809229999999999"/>
    <n v="28.934242000000001"/>
    <x v="2"/>
    <s v="Nokia"/>
    <n v="1"/>
    <n v="74"/>
    <d v="2023-10-27T09:04:00"/>
  </r>
  <r>
    <d v="2023-10-21T02:39:00"/>
    <s v="ANT-0804"/>
    <n v="111"/>
    <s v="En Cours"/>
    <x v="18"/>
    <n v="-4.1250960000000001"/>
    <n v="27.799897999999999"/>
    <x v="3"/>
    <s v="Nokia"/>
    <n v="2"/>
    <n v="223"/>
    <d v="2023-10-29T21:08:00"/>
  </r>
  <r>
    <d v="2023-10-20T16:24:00"/>
    <s v="ANT-0481"/>
    <n v="99"/>
    <s v="Non Résolu"/>
    <x v="2"/>
    <n v="-9.5840350000000001"/>
    <n v="15.966024000000001"/>
    <x v="2"/>
    <s v="Nokia"/>
    <n v="1"/>
    <n v="99"/>
    <d v="2023-10-20T16:24:00"/>
  </r>
  <r>
    <d v="2023-10-15T18:35:00"/>
    <s v="ANT-0926"/>
    <n v="118"/>
    <s v="Résolu"/>
    <x v="8"/>
    <n v="-10.914952"/>
    <n v="26.409648000000001"/>
    <x v="0"/>
    <s v="Huawei"/>
    <n v="3"/>
    <n v="289"/>
    <d v="2023-10-28T07:25:00"/>
  </r>
  <r>
    <d v="2023-10-31T23:57:00"/>
    <s v="ANT-0856"/>
    <n v="72"/>
    <s v="En Cours"/>
    <x v="18"/>
    <n v="-1.9120569999999999"/>
    <n v="15.236072999999999"/>
    <x v="2"/>
    <s v="Huawei"/>
    <n v="1"/>
    <n v="72"/>
    <d v="2023-10-31T23:57:00"/>
  </r>
  <r>
    <d v="2023-10-02T14:58:00"/>
    <s v="ANT-0199"/>
    <n v="9"/>
    <s v="Résolu"/>
    <x v="1"/>
    <s v=" non répertoriées"/>
    <s v=" non répertoriées"/>
    <x v="1"/>
    <s v=" non répertoriées"/>
    <n v="2"/>
    <n v="61"/>
    <d v="2023-10-31T17:34:00"/>
  </r>
  <r>
    <d v="2023-10-26T18:41:00"/>
    <s v="ANT-0377"/>
    <n v="89"/>
    <s v="Résolu"/>
    <x v="1"/>
    <s v=" non répertoriées"/>
    <s v=" non répertoriées"/>
    <x v="1"/>
    <s v=" non répertoriées"/>
    <n v="1"/>
    <n v="89"/>
    <d v="2023-10-26T18:41:00"/>
  </r>
  <r>
    <d v="2023-10-07T10:38:00"/>
    <s v="ANT-0695"/>
    <n v="48"/>
    <s v="En Cours"/>
    <x v="26"/>
    <n v="0.16327700000000001"/>
    <n v="14.871577"/>
    <x v="0"/>
    <s v="Huawei"/>
    <n v="2"/>
    <n v="137"/>
    <d v="2023-10-26T06:56:00"/>
  </r>
  <r>
    <d v="2023-10-16T16:09:00"/>
    <s v="ANT-0970"/>
    <n v="117"/>
    <s v="En Cours"/>
    <x v="9"/>
    <n v="-11.866133"/>
    <n v="27.068932"/>
    <x v="3"/>
    <s v="Huawei"/>
    <n v="2"/>
    <n v="142"/>
    <d v="2023-10-16T16:09:00"/>
  </r>
  <r>
    <d v="2023-10-31T01:28:00"/>
    <s v="ANT-0585"/>
    <n v="103"/>
    <s v="Résolu"/>
    <x v="1"/>
    <s v=" non répertoriées"/>
    <s v=" non répertoriées"/>
    <x v="1"/>
    <s v=" non répertoriées"/>
    <n v="2"/>
    <n v="164"/>
    <d v="2023-10-31T01:28:00"/>
  </r>
  <r>
    <d v="2023-10-04T10:45:00"/>
    <s v="ANT-0452"/>
    <n v="84"/>
    <s v="En Cours"/>
    <x v="1"/>
    <s v=" non répertoriées"/>
    <s v=" non répertoriées"/>
    <x v="1"/>
    <s v=" non répertoriées"/>
    <n v="3"/>
    <n v="195"/>
    <d v="2023-10-07T08:48:00"/>
  </r>
  <r>
    <d v="2023-10-03T16:41:00"/>
    <s v="ANT-0473"/>
    <n v="21"/>
    <s v="Résolu"/>
    <x v="1"/>
    <s v=" non répertoriées"/>
    <s v=" non répertoriées"/>
    <x v="1"/>
    <s v=" non répertoriées"/>
    <n v="3"/>
    <n v="209"/>
    <d v="2023-10-03T16:41:00"/>
  </r>
  <r>
    <d v="2023-10-06T01:15:00"/>
    <s v="ANT-0788"/>
    <n v="81"/>
    <s v="En Cours"/>
    <x v="11"/>
    <n v="1.5802860000000001"/>
    <n v="20.99053"/>
    <x v="0"/>
    <s v="ZTE"/>
    <n v="2"/>
    <n v="103"/>
    <d v="2023-10-21T22:16:00"/>
  </r>
  <r>
    <d v="2023-10-23T14:28:00"/>
    <s v="ANT-0289"/>
    <n v="53"/>
    <s v="Non Résolu"/>
    <x v="1"/>
    <s v=" non répertoriées"/>
    <s v=" non répertoriées"/>
    <x v="1"/>
    <s v=" non répertoriées"/>
    <n v="1"/>
    <n v="53"/>
    <d v="2023-10-23T14:28:00"/>
  </r>
  <r>
    <d v="2023-10-17T16:39:00"/>
    <s v="ANT-0797"/>
    <n v="24"/>
    <s v="En Cours"/>
    <x v="22"/>
    <n v="-12.100756000000001"/>
    <n v="21.938649999999999"/>
    <x v="0"/>
    <s v="Huawei"/>
    <n v="2"/>
    <n v="100"/>
    <d v="2023-10-17T16:39:00"/>
  </r>
  <r>
    <d v="2023-10-06T11:23:00"/>
    <s v="ANT-0392"/>
    <n v="25"/>
    <s v="Résolu"/>
    <x v="22"/>
    <n v="-1.013558"/>
    <n v="17.346937"/>
    <x v="2"/>
    <s v="Huawei"/>
    <n v="1"/>
    <n v="25"/>
    <d v="2023-10-06T11:23:00"/>
  </r>
  <r>
    <d v="2023-10-30T09:24:00"/>
    <s v="ANT-0515"/>
    <n v="28"/>
    <s v="En Cours"/>
    <x v="16"/>
    <n v="-10.967288"/>
    <n v="17.617781000000001"/>
    <x v="0"/>
    <s v="Ericsson"/>
    <n v="3"/>
    <n v="133"/>
    <d v="2023-10-30T09:24:00"/>
  </r>
  <r>
    <d v="2023-10-14T10:43:00"/>
    <s v="ANT-0541"/>
    <n v="111"/>
    <s v="Résolu"/>
    <x v="1"/>
    <s v=" non répertoriées"/>
    <s v=" non répertoriées"/>
    <x v="1"/>
    <s v=" non répertoriées"/>
    <n v="2"/>
    <n v="133"/>
    <d v="2023-10-14T10:43:00"/>
  </r>
  <r>
    <d v="2023-10-20T01:50:00"/>
    <s v="ANT-0429"/>
    <n v="93"/>
    <s v="En Cours"/>
    <x v="1"/>
    <s v=" non répertoriées"/>
    <s v=" non répertoriées"/>
    <x v="1"/>
    <s v=" non répertoriées"/>
    <n v="3"/>
    <n v="204"/>
    <d v="2023-10-20T01:50:00"/>
  </r>
  <r>
    <d v="2023-10-21T20:21:00"/>
    <s v="ANT-0990"/>
    <n v="103"/>
    <s v="Résolu"/>
    <x v="2"/>
    <n v="-12.112399999999999"/>
    <n v="15.872226"/>
    <x v="0"/>
    <s v="Nokia"/>
    <n v="4"/>
    <n v="237"/>
    <d v="2023-10-21T20:21:00"/>
  </r>
  <r>
    <d v="2023-10-03T10:06:00"/>
    <s v="ANT-0166"/>
    <n v="84"/>
    <s v="Résolu"/>
    <x v="8"/>
    <n v="-10.56448"/>
    <n v="19.792876"/>
    <x v="2"/>
    <s v="Ericsson"/>
    <n v="3"/>
    <n v="185"/>
    <d v="2023-10-30T14:18:00"/>
  </r>
  <r>
    <d v="2023-10-18T21:24:00"/>
    <s v="ANT-0837"/>
    <n v="108"/>
    <s v="En Cours"/>
    <x v="19"/>
    <n v="-5.3762689999999997"/>
    <n v="28.189575999999999"/>
    <x v="2"/>
    <s v="Huawei"/>
    <n v="4"/>
    <n v="237"/>
    <d v="2023-10-24T18:14:00"/>
  </r>
  <r>
    <d v="2023-10-10T08:46:00"/>
    <s v="ANT-0205"/>
    <n v="120"/>
    <s v="Résolu"/>
    <x v="17"/>
    <n v="-1.4110389999999999"/>
    <n v="21.261644"/>
    <x v="0"/>
    <s v="ZTE"/>
    <n v="3"/>
    <n v="270"/>
    <d v="2023-10-16T23:46:00"/>
  </r>
  <r>
    <d v="2023-10-28T21:58:00"/>
    <s v="ANT-0821"/>
    <n v="26"/>
    <s v="Non Résolu"/>
    <x v="18"/>
    <n v="-3.7720639999999999"/>
    <n v="16.006277999999998"/>
    <x v="2"/>
    <s v="ZTE"/>
    <n v="3"/>
    <n v="176"/>
    <d v="2023-10-28T21:58:00"/>
  </r>
  <r>
    <d v="2023-10-20T04:21:00"/>
    <s v="ANT-0620"/>
    <n v="97"/>
    <s v="Non Résolu"/>
    <x v="9"/>
    <n v="-4.1754939999999996"/>
    <n v="16.704664999999999"/>
    <x v="3"/>
    <s v="Ericsson"/>
    <n v="2"/>
    <n v="105"/>
    <d v="2023-10-20T04:21:00"/>
  </r>
  <r>
    <d v="2023-10-03T18:42:00"/>
    <s v="ANT-0142"/>
    <n v="61"/>
    <s v="En Cours"/>
    <x v="0"/>
    <n v="-12.229338"/>
    <n v="29.587834999999998"/>
    <x v="0"/>
    <s v="Nokia"/>
    <n v="1"/>
    <n v="61"/>
    <d v="2023-10-03T18:42:00"/>
  </r>
  <r>
    <d v="2023-10-05T11:19:00"/>
    <s v="ANT-0894"/>
    <n v="10"/>
    <s v="Résolu"/>
    <x v="9"/>
    <n v="4.9455159999999996"/>
    <n v="23.647746000000001"/>
    <x v="2"/>
    <s v="Huawei"/>
    <n v="1"/>
    <n v="10"/>
    <d v="2023-10-05T11:19:00"/>
  </r>
  <r>
    <d v="2023-10-31T20:44:00"/>
    <s v="ANT-0257"/>
    <n v="57"/>
    <s v="Résolu"/>
    <x v="13"/>
    <n v="-4.1694589999999998"/>
    <n v="23.376487000000001"/>
    <x v="3"/>
    <s v="Nokia"/>
    <n v="2"/>
    <n v="177"/>
    <d v="2023-10-31T20:44:00"/>
  </r>
  <r>
    <d v="2023-10-22T12:08:00"/>
    <s v="ANT-0054"/>
    <n v="51"/>
    <s v="Résolu"/>
    <x v="19"/>
    <n v="-1.231033"/>
    <n v="28.851388"/>
    <x v="3"/>
    <s v="Ericsson"/>
    <n v="2"/>
    <n v="92"/>
    <d v="2023-10-24T09:37:00"/>
  </r>
  <r>
    <d v="2023-10-20T22:05:00"/>
    <s v="ANT-0657"/>
    <n v="91"/>
    <s v="En Cours"/>
    <x v="1"/>
    <s v=" non répertoriées"/>
    <s v=" non répertoriées"/>
    <x v="1"/>
    <s v=" non répertoriées"/>
    <n v="1"/>
    <n v="91"/>
    <d v="2023-10-20T22:05:00"/>
  </r>
  <r>
    <d v="2023-10-10T17:24:00"/>
    <s v="ANT-0493"/>
    <n v="97"/>
    <s v="En Cours"/>
    <x v="1"/>
    <s v=" non répertoriées"/>
    <s v=" non répertoriées"/>
    <x v="1"/>
    <s v=" non répertoriées"/>
    <n v="1"/>
    <n v="97"/>
    <d v="2023-10-10T17:24:00"/>
  </r>
  <r>
    <d v="2023-10-21T10:52:00"/>
    <s v="ANT-0896"/>
    <n v="35"/>
    <s v="Non Résolu"/>
    <x v="1"/>
    <s v=" non répertoriées"/>
    <s v=" non répertoriées"/>
    <x v="1"/>
    <s v=" non répertoriées"/>
    <n v="2"/>
    <n v="61"/>
    <d v="2023-10-27T21:45:00"/>
  </r>
  <r>
    <d v="2023-10-05T21:44:00"/>
    <s v="ANT-0381"/>
    <n v="61"/>
    <s v="Résolu"/>
    <x v="20"/>
    <n v="4.497306"/>
    <n v="12.857251"/>
    <x v="2"/>
    <s v="Ericsson"/>
    <n v="1"/>
    <n v="61"/>
    <d v="2023-10-05T21:44:00"/>
  </r>
  <r>
    <d v="2023-10-27T23:43:00"/>
    <s v="ANT-0568"/>
    <n v="83"/>
    <s v="Non Résolu"/>
    <x v="1"/>
    <s v=" non répertoriées"/>
    <s v=" non répertoriées"/>
    <x v="1"/>
    <s v=" non répertoriées"/>
    <n v="1"/>
    <n v="83"/>
    <d v="2023-10-27T23:43:00"/>
  </r>
  <r>
    <d v="2023-10-30T16:05:00"/>
    <s v="ANT-0957"/>
    <n v="41"/>
    <s v="En Cours"/>
    <x v="26"/>
    <n v="-7.1785899999999998"/>
    <n v="24.4404"/>
    <x v="0"/>
    <s v="Nokia"/>
    <n v="3"/>
    <n v="114"/>
    <d v="2023-10-30T16:05:00"/>
  </r>
  <r>
    <d v="2023-10-21T21:27:00"/>
    <s v="ANT-0106"/>
    <n v="101"/>
    <s v="En Cours"/>
    <x v="20"/>
    <n v="-2.2876210000000001"/>
    <n v="27.582545"/>
    <x v="0"/>
    <s v="Huawei"/>
    <n v="2"/>
    <n v="170"/>
    <d v="2023-10-21T21:27:00"/>
  </r>
  <r>
    <d v="2023-10-17T11:01:00"/>
    <s v="ANT-0729"/>
    <n v="100"/>
    <s v="Non Résolu"/>
    <x v="1"/>
    <s v=" non répertoriées"/>
    <s v=" non répertoriées"/>
    <x v="1"/>
    <s v=" non répertoriées"/>
    <n v="4"/>
    <n v="208"/>
    <d v="2023-10-17T11:01:00"/>
  </r>
  <r>
    <d v="2023-10-12T09:11:00"/>
    <s v="ANT-0867"/>
    <n v="105"/>
    <s v="Résolu"/>
    <x v="1"/>
    <s v=" non répertoriées"/>
    <s v=" non répertoriées"/>
    <x v="1"/>
    <s v=" non répertoriées"/>
    <n v="3"/>
    <n v="267"/>
    <d v="2023-10-24T10:51:00"/>
  </r>
  <r>
    <d v="2023-10-31T06:21:00"/>
    <s v="ANT-0529"/>
    <n v="62"/>
    <s v="Résolu"/>
    <x v="19"/>
    <n v="3.6344850000000002"/>
    <n v="12.158348999999999"/>
    <x v="2"/>
    <s v="Ericsson"/>
    <n v="1"/>
    <n v="62"/>
    <d v="2023-10-31T06:21:00"/>
  </r>
  <r>
    <d v="2023-10-31T15:12:00"/>
    <s v="ANT-0872"/>
    <n v="34"/>
    <s v="Résolu"/>
    <x v="23"/>
    <n v="2.486888"/>
    <n v="23.798074"/>
    <x v="2"/>
    <s v="ZTE"/>
    <n v="2"/>
    <n v="39"/>
    <d v="2023-10-31T15:12:00"/>
  </r>
  <r>
    <d v="2023-10-08T04:09:00"/>
    <s v="ANT-0128"/>
    <n v="73"/>
    <s v="En Cours"/>
    <x v="1"/>
    <s v=" non répertoriées"/>
    <s v=" non répertoriées"/>
    <x v="1"/>
    <s v=" non répertoriées"/>
    <n v="1"/>
    <n v="73"/>
    <d v="2023-10-08T04:09:00"/>
  </r>
  <r>
    <d v="2023-10-03T09:54:00"/>
    <s v="ANT-0292"/>
    <n v="35"/>
    <s v="Résolu"/>
    <x v="20"/>
    <n v="-6.4197189999999997"/>
    <n v="22.287264"/>
    <x v="3"/>
    <s v="Ericsson"/>
    <n v="3"/>
    <n v="159"/>
    <d v="2023-10-17T23:17:00"/>
  </r>
  <r>
    <d v="2023-10-26T03:32:00"/>
    <s v="ANT-0086"/>
    <n v="44"/>
    <s v="Résolu"/>
    <x v="13"/>
    <n v="4.2904629999999999"/>
    <n v="26.354195000000001"/>
    <x v="3"/>
    <s v="Ericsson"/>
    <n v="1"/>
    <n v="44"/>
    <d v="2023-10-26T03:32:00"/>
  </r>
  <r>
    <d v="2023-10-08T09:07:00"/>
    <s v="ANT-0455"/>
    <n v="118"/>
    <s v="En Cours"/>
    <x v="1"/>
    <s v=" non répertoriées"/>
    <s v=" non répertoriées"/>
    <x v="1"/>
    <s v=" non répertoriées"/>
    <n v="3"/>
    <n v="247"/>
    <d v="2023-10-19T23:46:00"/>
  </r>
  <r>
    <d v="2023-10-02T07:26:00"/>
    <s v="ANT-0360"/>
    <n v="56"/>
    <s v="En Cours"/>
    <x v="1"/>
    <s v=" non répertoriées"/>
    <s v=" non répertoriées"/>
    <x v="1"/>
    <s v=" non répertoriées"/>
    <n v="1"/>
    <n v="56"/>
    <d v="2023-10-02T07:26:00"/>
  </r>
  <r>
    <d v="2023-10-21T19:29:00"/>
    <s v="ANT-0458"/>
    <n v="100"/>
    <s v="En Cours"/>
    <x v="12"/>
    <n v="-0.98830399999999996"/>
    <n v="28.099966999999999"/>
    <x v="3"/>
    <s v="Huawei"/>
    <n v="1"/>
    <n v="100"/>
    <d v="2023-10-21T19:29:00"/>
  </r>
  <r>
    <d v="2023-10-03T03:53:00"/>
    <s v="ANT-0044"/>
    <n v="61"/>
    <s v="Non Résolu"/>
    <x v="9"/>
    <n v="-6.5529849999999996"/>
    <n v="21.990606"/>
    <x v="3"/>
    <s v="Huawei"/>
    <n v="1"/>
    <n v="61"/>
    <d v="2023-10-03T03:53:00"/>
  </r>
  <r>
    <d v="2023-10-29T15:38:00"/>
    <s v="ant-0745"/>
    <n v="119"/>
    <s v="Résolu"/>
    <x v="13"/>
    <n v="2.453036"/>
    <n v="20.555484"/>
    <x v="2"/>
    <s v="Ericsson"/>
    <n v="1"/>
    <n v="119"/>
    <d v="2023-10-29T15:38:00"/>
  </r>
  <r>
    <d v="2023-10-18T00:40:00"/>
    <s v="ANT-0891"/>
    <n v="54"/>
    <s v="Non Résolu"/>
    <x v="1"/>
    <s v=" non répertoriées"/>
    <s v=" non répertoriées"/>
    <x v="1"/>
    <s v=" non répertoriées"/>
    <n v="2"/>
    <n v="125"/>
    <d v="2023-10-25T16:24:00"/>
  </r>
  <r>
    <d v="2023-10-17T18:15:00"/>
    <s v="ANT-0934"/>
    <n v="48"/>
    <s v="Résolu"/>
    <x v="18"/>
    <n v="-11.002602"/>
    <n v="23.918247999999998"/>
    <x v="2"/>
    <s v="ZTE"/>
    <n v="1"/>
    <n v="48"/>
    <d v="2023-10-17T18:15:00"/>
  </r>
  <r>
    <d v="2023-10-23T04:18:00"/>
    <s v="ANT-0362"/>
    <n v="28"/>
    <s v="Non Résolu"/>
    <x v="21"/>
    <n v="-0.90854400000000002"/>
    <n v="17.154896999999998"/>
    <x v="3"/>
    <s v="Huawei"/>
    <n v="1"/>
    <n v="28"/>
    <d v="2023-10-23T04:18:00"/>
  </r>
  <r>
    <d v="2023-10-14T00:39:00"/>
    <s v="ANT-0630"/>
    <n v="68"/>
    <s v="En Cours"/>
    <x v="4"/>
    <n v="-8.1210620000000002"/>
    <n v="21.094390000000001"/>
    <x v="2"/>
    <s v="ZTE"/>
    <n v="1"/>
    <n v="68"/>
    <d v="2023-10-14T00:39:00"/>
  </r>
  <r>
    <d v="2023-10-12T07:36:00"/>
    <s v="ANT-0446"/>
    <n v="93"/>
    <s v="En Cours"/>
    <x v="16"/>
    <n v="1.286548"/>
    <n v="29.823702999999998"/>
    <x v="0"/>
    <s v="ZTE"/>
    <n v="2"/>
    <n v="146"/>
    <d v="2023-10-22T01:11:00"/>
  </r>
  <r>
    <d v="2023-10-14T05:42:00"/>
    <s v="ANT-0282"/>
    <n v="68"/>
    <s v="En Cours"/>
    <x v="9"/>
    <n v="-10.25074"/>
    <n v="26.099086"/>
    <x v="0"/>
    <s v="Huawei"/>
    <n v="5"/>
    <n v="237"/>
    <d v="2023-10-28T22:09:00"/>
  </r>
  <r>
    <d v="2023-10-22T02:33:00"/>
    <s v="ANT-0655"/>
    <n v="52"/>
    <s v="En Cours"/>
    <x v="1"/>
    <s v=" non répertoriées"/>
    <s v=" non répertoriées"/>
    <x v="1"/>
    <s v=" non répertoriées"/>
    <n v="2"/>
    <n v="76"/>
    <d v="2023-10-28T11:38:00"/>
  </r>
  <r>
    <d v="2023-10-12T02:33:00"/>
    <s v="ANT-0811"/>
    <n v="107"/>
    <s v="Résolu"/>
    <x v="11"/>
    <n v="-5.125"/>
    <n v="23.513119"/>
    <x v="2"/>
    <s v="Huawei"/>
    <n v="2"/>
    <n v="174"/>
    <d v="2023-10-28T15:51:00"/>
  </r>
  <r>
    <d v="2023-10-18T16:50:00"/>
    <s v="ANT-0971"/>
    <n v="71"/>
    <s v="Non Résolu"/>
    <x v="1"/>
    <s v=" non répertoriées"/>
    <s v=" non répertoriées"/>
    <x v="1"/>
    <s v=" non répertoriées"/>
    <n v="4"/>
    <n v="347"/>
    <d v="2023-10-18T19:39:00"/>
  </r>
  <r>
    <d v="2023-10-17T17:01:00"/>
    <s v="ANT-0059"/>
    <n v="39"/>
    <s v="Résolu"/>
    <x v="18"/>
    <n v="-0.34051900000000002"/>
    <n v="17.079799000000001"/>
    <x v="2"/>
    <s v="Ericsson"/>
    <n v="2"/>
    <n v="130"/>
    <d v="2023-10-17T17:01:00"/>
  </r>
  <r>
    <d v="2023-10-13T15:02:00"/>
    <s v="ANT-0077"/>
    <n v="107"/>
    <s v="Non Résolu"/>
    <x v="1"/>
    <s v=" non répertoriées"/>
    <s v=" non répertoriées"/>
    <x v="1"/>
    <s v=" non répertoriées"/>
    <n v="2"/>
    <n v="154"/>
    <d v="2023-10-13T15:02:00"/>
  </r>
  <r>
    <d v="2023-10-21T12:23:00"/>
    <s v="ANT-0688"/>
    <n v="15"/>
    <s v="En Cours"/>
    <x v="1"/>
    <s v=" non répertoriées"/>
    <s v=" non répertoriées"/>
    <x v="1"/>
    <s v=" non répertoriées"/>
    <n v="5"/>
    <n v="312"/>
    <d v="2023-10-25T06:55:00"/>
  </r>
  <r>
    <d v="2023-10-09T23:01:00"/>
    <s v="ANT-0653"/>
    <n v="98"/>
    <s v="En Cours"/>
    <x v="9"/>
    <n v="0.82868600000000003"/>
    <n v="26.958843999999999"/>
    <x v="2"/>
    <s v="ZTE"/>
    <n v="5"/>
    <n v="385"/>
    <d v="2023-10-30T01:35:00"/>
  </r>
  <r>
    <d v="2023-10-12T02:22:00"/>
    <s v="ANT-0416"/>
    <n v="59"/>
    <s v="En Cours"/>
    <x v="8"/>
    <n v="-11.387295999999999"/>
    <n v="19.384257999999999"/>
    <x v="3"/>
    <s v="Huawei"/>
    <n v="2"/>
    <n v="122"/>
    <d v="2023-10-14T01:36:00"/>
  </r>
  <r>
    <d v="2023-10-08T23:42:00"/>
    <s v="ANT-0373"/>
    <n v="15"/>
    <s v="Non Résolu"/>
    <x v="4"/>
    <n v="-9.0798120000000004"/>
    <n v="14.945484"/>
    <x v="2"/>
    <s v="Ericsson"/>
    <n v="2"/>
    <n v="78"/>
    <d v="2023-10-11T00:45:00"/>
  </r>
  <r>
    <d v="2023-10-21T03:49:00"/>
    <s v="ANT-0526"/>
    <n v="60"/>
    <s v="En Cours"/>
    <x v="10"/>
    <n v="-9.4133639999999996"/>
    <n v="15.682482"/>
    <x v="0"/>
    <s v="Huawei"/>
    <n v="1"/>
    <n v="60"/>
    <d v="2023-10-21T03:49:00"/>
  </r>
  <r>
    <d v="2023-10-19T23:48:00"/>
    <s v="ANT-0821"/>
    <n v="82"/>
    <s v="Résolu"/>
    <x v="18"/>
    <n v="-3.7720639999999999"/>
    <n v="16.006277999999998"/>
    <x v="2"/>
    <s v="ZTE"/>
    <n v="3"/>
    <n v="176"/>
    <d v="2023-10-28T21:58:00"/>
  </r>
  <r>
    <d v="2023-10-11T04:02:00"/>
    <s v="ANT-0768"/>
    <n v="110"/>
    <s v="Résolu"/>
    <x v="0"/>
    <n v="-9.9565739999999998"/>
    <n v="21.017202000000001"/>
    <x v="0"/>
    <s v="Huawei"/>
    <n v="1"/>
    <n v="110"/>
    <d v="2023-10-11T04:02:00"/>
  </r>
  <r>
    <d v="2023-10-12T17:21:00"/>
    <s v="ANT-0696"/>
    <n v="28"/>
    <s v="Résolu"/>
    <x v="22"/>
    <n v="-6.9624990000000002"/>
    <n v="20.759834999999999"/>
    <x v="0"/>
    <s v="Huawei"/>
    <n v="1"/>
    <n v="28"/>
    <d v="2023-10-12T17:21:00"/>
  </r>
  <r>
    <d v="2023-10-27T20:11:00"/>
    <s v="ANT-0164"/>
    <n v="74"/>
    <s v="Non Résolu"/>
    <x v="21"/>
    <n v="-11.389362"/>
    <n v="22.240174"/>
    <x v="2"/>
    <s v="ZTE"/>
    <n v="3"/>
    <n v="109"/>
    <d v="2023-10-27T20:11:00"/>
  </r>
  <r>
    <d v="2023-10-27T21:29:00"/>
    <s v="ANT-0976"/>
    <n v="42"/>
    <s v="Résolu"/>
    <x v="1"/>
    <s v=" non répertoriées"/>
    <s v=" non répertoriées"/>
    <x v="1"/>
    <s v=" non répertoriées"/>
    <n v="3"/>
    <n v="210"/>
    <d v="2023-10-27T21:29:00"/>
  </r>
  <r>
    <d v="2023-10-23T15:40:00"/>
    <s v="ANT-0032"/>
    <n v="46"/>
    <s v="En Cours"/>
    <x v="5"/>
    <n v="-11.266565999999999"/>
    <n v="26.245055000000001"/>
    <x v="3"/>
    <s v="Ericsson"/>
    <n v="1"/>
    <n v="46"/>
    <d v="2023-10-23T15:40:00"/>
  </r>
  <r>
    <d v="2023-10-06T04:04:00"/>
    <s v="ANT-0147"/>
    <n v="18"/>
    <s v="Non Résolu"/>
    <x v="11"/>
    <n v="4.8689660000000003"/>
    <n v="25.112373000000002"/>
    <x v="3"/>
    <s v="Huawei"/>
    <n v="1"/>
    <n v="18"/>
    <d v="2023-10-06T04:04:00"/>
  </r>
  <r>
    <d v="2023-10-23T14:02:00"/>
    <s v="ANT-0870"/>
    <n v="15"/>
    <s v="En Cours"/>
    <x v="14"/>
    <n v="-9.1215879999999991"/>
    <n v="16.457916999999998"/>
    <x v="0"/>
    <s v="Nokia"/>
    <n v="1"/>
    <n v="15"/>
    <d v="2023-10-23T14:02:00"/>
  </r>
  <r>
    <d v="2023-10-10T06:02:00"/>
    <s v="ANT-0623"/>
    <n v="46"/>
    <s v="Non Résolu"/>
    <x v="1"/>
    <s v=" non répertoriées"/>
    <s v=" non répertoriées"/>
    <x v="1"/>
    <s v=" non répertoriées"/>
    <n v="3"/>
    <n v="120"/>
    <d v="2023-10-29T02:25:00"/>
  </r>
  <r>
    <d v="2023-10-26T06:56:00"/>
    <s v="ANT-0695"/>
    <n v="89"/>
    <s v="Résolu"/>
    <x v="26"/>
    <n v="0.16327700000000001"/>
    <n v="14.871577"/>
    <x v="0"/>
    <s v="Huawei"/>
    <n v="2"/>
    <n v="137"/>
    <d v="2023-10-26T06:56:00"/>
  </r>
  <r>
    <d v="2023-10-02T10:59:00"/>
    <s v="ANT-0801"/>
    <n v="42"/>
    <s v="En Cours"/>
    <x v="1"/>
    <s v=" non répertoriées"/>
    <s v=" non répertoriées"/>
    <x v="1"/>
    <s v=" non répertoriées"/>
    <n v="1"/>
    <n v="42"/>
    <d v="2023-10-02T10:59:00"/>
  </r>
  <r>
    <d v="2023-10-10T16:25:00"/>
    <s v="ANT-0449"/>
    <n v="44"/>
    <s v="En Cours"/>
    <x v="1"/>
    <s v=" non répertoriées"/>
    <s v=" non répertoriées"/>
    <x v="1"/>
    <s v=" non répertoriées"/>
    <n v="3"/>
    <n v="144"/>
    <d v="2023-10-18T16:26:00"/>
  </r>
  <r>
    <d v="2023-10-27T17:30:00"/>
    <s v="ANT-0036"/>
    <n v="62"/>
    <s v="Non Résolu"/>
    <x v="1"/>
    <s v=" non répertoriées"/>
    <s v=" non répertoriées"/>
    <x v="1"/>
    <s v=" non répertoriées"/>
    <n v="2"/>
    <n v="72"/>
    <d v="2023-10-27T17:30:00"/>
  </r>
  <r>
    <d v="2023-10-09T01:48:00"/>
    <s v="ANT-0130"/>
    <n v="82"/>
    <s v="En Cours"/>
    <x v="1"/>
    <s v=" non répertoriées"/>
    <s v=" non répertoriées"/>
    <x v="1"/>
    <s v=" non répertoriées"/>
    <n v="2"/>
    <n v="100"/>
    <d v="2023-10-29T20:22:00"/>
  </r>
  <r>
    <d v="2023-10-21T06:18:00"/>
    <s v="ANT-0069"/>
    <n v="96"/>
    <s v="Résolu"/>
    <x v="1"/>
    <s v=" non répertoriées"/>
    <s v=" non répertoriées"/>
    <x v="1"/>
    <s v=" non répertoriées"/>
    <n v="2"/>
    <n v="195"/>
    <d v="2023-10-21T06:18:00"/>
  </r>
  <r>
    <d v="2023-10-12T01:55:00"/>
    <s v="ANT-0242"/>
    <n v="59"/>
    <s v="Non Résolu"/>
    <x v="1"/>
    <s v=" non répertoriées"/>
    <s v=" non répertoriées"/>
    <x v="1"/>
    <s v=" non répertoriées"/>
    <n v="2"/>
    <n v="113"/>
    <d v="2023-10-13T05:46:00"/>
  </r>
  <r>
    <d v="2023-10-21T10:17:00"/>
    <s v="ANT-0798"/>
    <n v="26"/>
    <s v="En Cours"/>
    <x v="1"/>
    <s v=" non répertoriées"/>
    <s v=" non répertoriées"/>
    <x v="1"/>
    <s v=" non répertoriées"/>
    <n v="4"/>
    <n v="224"/>
    <d v="2023-10-28T07:55:00"/>
  </r>
  <r>
    <d v="2023-10-04T11:27:00"/>
    <s v="ANT-0661"/>
    <n v="93"/>
    <s v="Non Résolu"/>
    <x v="1"/>
    <s v=" non répertoriées"/>
    <s v=" non répertoriées"/>
    <x v="1"/>
    <s v=" non répertoriées"/>
    <n v="2"/>
    <n v="168"/>
    <d v="2023-10-09T17:04:00"/>
  </r>
  <r>
    <d v="2023-10-03T21:54:00"/>
    <s v="ANT-0126"/>
    <n v="68"/>
    <s v="En Cours"/>
    <x v="1"/>
    <s v=" non répertoriées"/>
    <s v=" non répertoriées"/>
    <x v="1"/>
    <s v=" non répertoriées"/>
    <n v="1"/>
    <n v="68"/>
    <d v="2023-10-03T21:54:00"/>
  </r>
  <r>
    <d v="2023-10-11T21:22:00"/>
    <s v="ANT-0274"/>
    <n v="118"/>
    <s v="Résolu"/>
    <x v="1"/>
    <s v=" non répertoriées"/>
    <s v=" non répertoriées"/>
    <x v="1"/>
    <s v=" non répertoriées"/>
    <n v="3"/>
    <n v="221"/>
    <d v="2023-10-26T20:37:00"/>
  </r>
  <r>
    <d v="2023-10-23T02:35:00"/>
    <s v="ANT-0461"/>
    <n v="85"/>
    <s v="Résolu"/>
    <x v="1"/>
    <s v=" non répertoriées"/>
    <s v=" non répertoriées"/>
    <x v="1"/>
    <s v=" non répertoriées"/>
    <n v="3"/>
    <n v="221"/>
    <d v="2023-10-23T02:35:00"/>
  </r>
  <r>
    <d v="2023-10-18T09:57:00"/>
    <s v="ANT-0254"/>
    <n v="74"/>
    <s v="En Cours"/>
    <x v="1"/>
    <s v=" non répertoriées"/>
    <s v=" non répertoriées"/>
    <x v="1"/>
    <s v=" non répertoriées"/>
    <n v="4"/>
    <n v="329"/>
    <d v="2023-10-27T00:19:00"/>
  </r>
  <r>
    <d v="2023-10-10T05:45:00"/>
    <s v="ANT-0145"/>
    <n v="42"/>
    <s v="En Cours"/>
    <x v="1"/>
    <s v=" non répertoriées"/>
    <s v=" non répertoriées"/>
    <x v="1"/>
    <s v=" non répertoriées"/>
    <n v="1"/>
    <n v="42"/>
    <d v="2023-10-10T05:45:00"/>
  </r>
  <r>
    <d v="2023-10-23T22:40:00"/>
    <s v="ANT-0100"/>
    <n v="87"/>
    <s v="Non Résolu"/>
    <x v="1"/>
    <s v=" non répertoriées"/>
    <s v=" non répertoriées"/>
    <x v="1"/>
    <s v=" non répertoriées"/>
    <n v="3"/>
    <n v="211"/>
    <d v="2023-10-30T19:14:00"/>
  </r>
  <r>
    <d v="2023-10-06T11:32:00"/>
    <s v="ANT-0052"/>
    <n v="43"/>
    <s v="Non Résolu"/>
    <x v="1"/>
    <s v=" non répertoriées"/>
    <s v=" non répertoriées"/>
    <x v="1"/>
    <s v=" non répertoriées"/>
    <n v="2"/>
    <n v="88"/>
    <d v="2023-10-06T11:32:00"/>
  </r>
  <r>
    <d v="2023-10-08T03:12:00"/>
    <s v="ANT-0298"/>
    <n v="66"/>
    <s v="Non Résolu"/>
    <x v="23"/>
    <n v="-5.4073029999999997"/>
    <n v="29.762294000000001"/>
    <x v="3"/>
    <s v="Ericsson"/>
    <n v="2"/>
    <n v="97"/>
    <d v="2023-10-15T20:25:00"/>
  </r>
  <r>
    <d v="2023-10-26T04:15:00"/>
    <s v="ANT-0969"/>
    <n v="36"/>
    <s v="En Cours"/>
    <x v="1"/>
    <s v=" non répertoriées"/>
    <s v=" non répertoriées"/>
    <x v="1"/>
    <s v=" non répertoriées"/>
    <n v="1"/>
    <n v="36"/>
    <d v="2023-10-26T04:15:00"/>
  </r>
  <r>
    <d v="2023-10-26T15:01:00"/>
    <s v="ANT-0394"/>
    <n v="108"/>
    <s v="En Cours"/>
    <x v="8"/>
    <n v="-10.611184"/>
    <n v="23.022268"/>
    <x v="2"/>
    <s v="ZTE"/>
    <n v="1"/>
    <n v="108"/>
    <d v="2023-10-26T15:01:00"/>
  </r>
  <r>
    <d v="2023-10-12T17:36:00"/>
    <s v="ANT-0885"/>
    <n v="108"/>
    <s v="Non Résolu"/>
    <x v="1"/>
    <s v=" non répertoriées"/>
    <s v=" non répertoriées"/>
    <x v="1"/>
    <s v=" non répertoriées"/>
    <n v="1"/>
    <n v="108"/>
    <d v="2023-10-12T17:36:00"/>
  </r>
  <r>
    <d v="2023-10-12T14:51:00"/>
    <s v="ANT-0631"/>
    <n v="92"/>
    <s v="Résolu"/>
    <x v="10"/>
    <n v="-0.85624699999999998"/>
    <n v="28.624870000000001"/>
    <x v="3"/>
    <s v="Ericsson"/>
    <n v="2"/>
    <n v="187"/>
    <d v="2023-10-16T18:36:00"/>
  </r>
  <r>
    <d v="2023-10-18T04:39:00"/>
    <s v="ANT-0429"/>
    <n v="56"/>
    <s v="Résolu"/>
    <x v="1"/>
    <s v=" non répertoriées"/>
    <s v=" non répertoriées"/>
    <x v="1"/>
    <s v=" non répertoriées"/>
    <n v="3"/>
    <n v="204"/>
    <d v="2023-10-20T01:50:00"/>
  </r>
  <r>
    <d v="2023-10-29T02:04:00"/>
    <s v="ANT-0255"/>
    <n v="43"/>
    <s v="En Cours"/>
    <x v="17"/>
    <n v="-6.4883290000000002"/>
    <n v="25.103404000000001"/>
    <x v="2"/>
    <s v="ZTE"/>
    <n v="1"/>
    <n v="43"/>
    <d v="2023-10-29T02:04:00"/>
  </r>
  <r>
    <d v="2023-10-10T12:45:00"/>
    <s v="ANT-0986"/>
    <n v="63"/>
    <s v="Résolu"/>
    <x v="25"/>
    <n v="1.727095"/>
    <n v="22.099651999999999"/>
    <x v="0"/>
    <s v="Huawei"/>
    <n v="1"/>
    <n v="63"/>
    <d v="2023-10-10T12:45:00"/>
  </r>
  <r>
    <d v="2023-10-24T15:33:00"/>
    <s v="ANT-0887"/>
    <n v="14"/>
    <s v="En Cours"/>
    <x v="1"/>
    <s v=" non répertoriées"/>
    <s v=" non répertoriées"/>
    <x v="1"/>
    <s v=" non répertoriées"/>
    <n v="1"/>
    <n v="14"/>
    <d v="2023-10-24T15:33:00"/>
  </r>
  <r>
    <d v="2023-10-14T13:52:00"/>
    <s v="ANT-0924"/>
    <n v="93"/>
    <s v="Non Résolu"/>
    <x v="1"/>
    <s v=" non répertoriées"/>
    <s v=" non répertoriées"/>
    <x v="1"/>
    <s v=" non répertoriées"/>
    <n v="1"/>
    <n v="93"/>
    <d v="2023-10-14T13:52:00"/>
  </r>
  <r>
    <d v="2023-10-19T02:08:00"/>
    <s v="ANT-0164"/>
    <n v="12"/>
    <s v="En Cours"/>
    <x v="21"/>
    <n v="-11.389362"/>
    <n v="22.240174"/>
    <x v="2"/>
    <s v="ZTE"/>
    <n v="3"/>
    <n v="109"/>
    <d v="2023-10-27T20:11:00"/>
  </r>
  <r>
    <d v="2023-10-11T20:04:00"/>
    <s v="ANT-0834"/>
    <n v="25"/>
    <s v="En Cours"/>
    <x v="1"/>
    <s v=" non répertoriées"/>
    <s v=" non répertoriées"/>
    <x v="1"/>
    <s v=" non répertoriées"/>
    <n v="1"/>
    <n v="25"/>
    <d v="2023-10-11T20:04:00"/>
  </r>
  <r>
    <d v="2023-10-15T14:43:00"/>
    <s v="ANT-0336"/>
    <n v="61"/>
    <s v="En Cours"/>
    <x v="1"/>
    <s v=" non répertoriées"/>
    <s v=" non répertoriées"/>
    <x v="1"/>
    <s v=" non répertoriées"/>
    <n v="1"/>
    <n v="61"/>
    <d v="2023-10-15T14:43:00"/>
  </r>
  <r>
    <d v="2023-10-17T11:08:00"/>
    <s v="ANT-0957"/>
    <n v="58"/>
    <s v="Résolu"/>
    <x v="26"/>
    <n v="-7.1785899999999998"/>
    <n v="24.4404"/>
    <x v="0"/>
    <s v="Nokia"/>
    <n v="3"/>
    <n v="114"/>
    <d v="2023-10-30T16:05:00"/>
  </r>
  <r>
    <d v="2023-10-29T17:40:00"/>
    <s v="ANT-0592"/>
    <n v="66"/>
    <s v="En Cours"/>
    <x v="23"/>
    <n v="-4.4831099999999999"/>
    <n v="25.406548000000001"/>
    <x v="2"/>
    <s v="Nokia"/>
    <n v="1"/>
    <n v="66"/>
    <d v="2023-10-29T17:40:00"/>
  </r>
  <r>
    <d v="2023-10-19T05:49:00"/>
    <s v="ANT-0739"/>
    <n v="64"/>
    <s v="Résolu"/>
    <x v="1"/>
    <s v=" non répertoriées"/>
    <s v=" non répertoriées"/>
    <x v="1"/>
    <s v=" non répertoriées"/>
    <n v="3"/>
    <n v="268"/>
    <d v="2023-10-19T05:49:00"/>
  </r>
  <r>
    <d v="2023-10-31T04:27:00"/>
    <s v="ANT-0321"/>
    <n v="31"/>
    <s v="Non Résolu"/>
    <x v="1"/>
    <s v=" non répertoriées"/>
    <s v=" non répertoriées"/>
    <x v="1"/>
    <s v=" non répertoriées"/>
    <n v="1"/>
    <n v="31"/>
    <d v="2023-10-31T04:27:00"/>
  </r>
  <r>
    <d v="2023-10-17T01:53:00"/>
    <s v="ANT-0195"/>
    <n v="48"/>
    <s v="Non Résolu"/>
    <x v="8"/>
    <n v="-8.0864899999999995"/>
    <n v="14.555277"/>
    <x v="3"/>
    <s v="Ericsson"/>
    <n v="1"/>
    <n v="48"/>
    <d v="2023-10-17T01:53:00"/>
  </r>
  <r>
    <d v="2023-10-04T16:09:00"/>
    <s v="ANT-0782"/>
    <n v="82"/>
    <s v="Résolu"/>
    <x v="1"/>
    <s v=" non répertoriées"/>
    <s v=" non répertoriées"/>
    <x v="1"/>
    <s v=" non répertoriées"/>
    <n v="1"/>
    <n v="82"/>
    <d v="2023-10-04T16:09:00"/>
  </r>
  <r>
    <d v="2023-10-10T05:10:00"/>
    <s v="ANT-0164"/>
    <n v="23"/>
    <s v="En Cours"/>
    <x v="21"/>
    <n v="-11.389362"/>
    <n v="22.240174"/>
    <x v="2"/>
    <s v="ZTE"/>
    <n v="3"/>
    <n v="109"/>
    <d v="2023-10-27T20:11:00"/>
  </r>
  <r>
    <d v="2023-10-11T22:14:00"/>
    <s v="ANT-0511"/>
    <n v="45"/>
    <s v="Non Résolu"/>
    <x v="26"/>
    <n v="1.210869"/>
    <n v="25.598741"/>
    <x v="0"/>
    <s v="Ericsson"/>
    <n v="3"/>
    <n v="106"/>
    <d v="2023-10-15T22:38:00"/>
  </r>
  <r>
    <d v="2023-10-12T16:57:00"/>
    <s v="ANT-0528"/>
    <n v="115"/>
    <s v="En Cours"/>
    <x v="1"/>
    <s v=" non répertoriées"/>
    <s v=" non répertoriées"/>
    <x v="1"/>
    <s v=" non répertoriées"/>
    <n v="1"/>
    <n v="115"/>
    <d v="2023-10-12T16:57:00"/>
  </r>
  <r>
    <d v="2023-10-10T02:16:00"/>
    <s v="ANT-0479"/>
    <n v="96"/>
    <s v="Résolu"/>
    <x v="1"/>
    <s v=" non répertoriées"/>
    <s v=" non répertoriées"/>
    <x v="1"/>
    <s v=" non répertoriées"/>
    <n v="1"/>
    <n v="96"/>
    <d v="2023-10-10T02:16:00"/>
  </r>
  <r>
    <d v="2023-10-07T20:35:00"/>
    <s v="ANT-0511"/>
    <n v="45"/>
    <s v="En Cours"/>
    <x v="26"/>
    <n v="1.210869"/>
    <n v="25.598741"/>
    <x v="0"/>
    <s v="Ericsson"/>
    <n v="3"/>
    <n v="106"/>
    <d v="2023-10-15T22:38:00"/>
  </r>
  <r>
    <d v="2023-10-09T04:40:00"/>
    <s v="ANT-0901"/>
    <n v="98"/>
    <s v="Non Résolu"/>
    <x v="1"/>
    <s v=" non répertoriées"/>
    <s v=" non répertoriées"/>
    <x v="1"/>
    <s v=" non répertoriées"/>
    <n v="1"/>
    <n v="98"/>
    <d v="2023-10-09T04:40:00"/>
  </r>
  <r>
    <d v="2023-10-10T19:34:00"/>
    <s v="ANT-0316"/>
    <n v="115"/>
    <s v="En Cours"/>
    <x v="1"/>
    <s v=" non répertoriées"/>
    <s v=" non répertoriées"/>
    <x v="1"/>
    <s v=" non répertoriées"/>
    <n v="2"/>
    <n v="207"/>
    <d v="2023-10-15T19:36:00"/>
  </r>
  <r>
    <d v="2023-10-03T16:41:00"/>
    <s v="ANT-0510"/>
    <n v="49"/>
    <s v="Non Résolu"/>
    <x v="1"/>
    <s v=" non répertoriées"/>
    <s v=" non répertoriées"/>
    <x v="1"/>
    <s v=" non répertoriées"/>
    <n v="1"/>
    <n v="49"/>
    <d v="2023-10-03T16:41:00"/>
  </r>
  <r>
    <d v="2023-10-06T18:37:00"/>
    <s v="ANT-0024"/>
    <n v="56"/>
    <s v="En Cours"/>
    <x v="1"/>
    <s v=" non répertoriées"/>
    <s v=" non répertoriées"/>
    <x v="1"/>
    <s v=" non répertoriées"/>
    <n v="2"/>
    <n v="69"/>
    <d v="2023-10-21T09:23:00"/>
  </r>
  <r>
    <d v="2023-10-05T05:42:00"/>
    <s v="ANT-0093"/>
    <n v="21"/>
    <s v="Non Résolu"/>
    <x v="2"/>
    <n v="2.975352"/>
    <n v="22.535886000000001"/>
    <x v="0"/>
    <s v="Huawei"/>
    <n v="3"/>
    <n v="140"/>
    <d v="2023-10-23T15:55:00"/>
  </r>
  <r>
    <d v="2023-10-20T23:57:00"/>
    <s v="ANT-0968"/>
    <n v="102"/>
    <s v="Non Résolu"/>
    <x v="1"/>
    <s v=" non répertoriées"/>
    <s v=" non répertoriées"/>
    <x v="1"/>
    <s v=" non répertoriées"/>
    <n v="2"/>
    <n v="124"/>
    <d v="2023-10-20T23:57:00"/>
  </r>
  <r>
    <d v="2023-10-20T10:53:00"/>
    <s v="ANT-0403"/>
    <n v="52"/>
    <s v="Non Résolu"/>
    <x v="1"/>
    <s v=" non répertoriées"/>
    <s v=" non répertoriées"/>
    <x v="1"/>
    <s v=" non répertoriées"/>
    <n v="3"/>
    <n v="105"/>
    <d v="2023-10-20T10:53:00"/>
  </r>
  <r>
    <d v="2023-10-30T18:02:00"/>
    <s v="ant-0518"/>
    <n v="70"/>
    <s v="Résolu"/>
    <x v="1"/>
    <s v=" non répertoriées"/>
    <s v=" non répertoriées"/>
    <x v="1"/>
    <s v=" non répertoriées"/>
    <n v="3"/>
    <n v="205"/>
    <d v="2023-10-09T04:08:00"/>
  </r>
  <r>
    <d v="2023-10-27T00:05:00"/>
    <s v="ANT-0469"/>
    <n v="76"/>
    <s v="Résolu"/>
    <x v="1"/>
    <s v=" non répertoriées"/>
    <s v=" non répertoriées"/>
    <x v="1"/>
    <s v=" non répertoriées"/>
    <n v="2"/>
    <n v="163"/>
    <d v="2023-10-31T02:07:00"/>
  </r>
  <r>
    <d v="2023-10-02T20:49:00"/>
    <s v="ANT-0990"/>
    <n v="18"/>
    <s v="Résolu"/>
    <x v="2"/>
    <n v="-12.112399999999999"/>
    <n v="15.872226"/>
    <x v="0"/>
    <s v="Nokia"/>
    <n v="4"/>
    <n v="237"/>
    <d v="2023-10-21T20:21:00"/>
  </r>
  <r>
    <d v="2023-10-19T08:41:00"/>
    <s v="ANT-0247"/>
    <n v="45"/>
    <s v="En Cours"/>
    <x v="1"/>
    <s v=" non répertoriées"/>
    <s v=" non répertoriées"/>
    <x v="1"/>
    <s v=" non répertoriées"/>
    <n v="6"/>
    <n v="330"/>
    <d v="2023-10-31T20:02:00"/>
  </r>
  <r>
    <d v="2023-10-07T18:26:00"/>
    <s v="ANT-0221"/>
    <n v="35"/>
    <s v="En Cours"/>
    <x v="1"/>
    <s v=" non répertoriées"/>
    <s v=" non répertoriées"/>
    <x v="1"/>
    <s v=" non répertoriées"/>
    <n v="1"/>
    <n v="35"/>
    <d v="2023-10-07T18:26:00"/>
  </r>
  <r>
    <d v="2023-10-20T20:01:00"/>
    <s v="ANT-0598"/>
    <n v="64"/>
    <s v="En Cours"/>
    <x v="1"/>
    <s v=" non répertoriées"/>
    <s v=" non répertoriées"/>
    <x v="1"/>
    <s v=" non répertoriées"/>
    <n v="1"/>
    <n v="64"/>
    <d v="2023-10-20T20:01:00"/>
  </r>
  <r>
    <d v="2023-10-02T01:02:00"/>
    <s v="ANT-0052"/>
    <n v="45"/>
    <s v="Non Résolu"/>
    <x v="1"/>
    <s v=" non répertoriées"/>
    <s v=" non répertoriées"/>
    <x v="1"/>
    <s v=" non répertoriées"/>
    <n v="2"/>
    <n v="88"/>
    <d v="2023-10-06T11:32:00"/>
  </r>
  <r>
    <d v="2023-10-05T22:21:00"/>
    <s v="ANT-0686"/>
    <n v="66"/>
    <s v="Résolu"/>
    <x v="1"/>
    <s v=" non répertoriées"/>
    <s v=" non répertoriées"/>
    <x v="1"/>
    <s v=" non répertoriées"/>
    <n v="1"/>
    <n v="66"/>
    <d v="2023-10-05T22:21:00"/>
  </r>
  <r>
    <d v="2023-10-26T15:33:00"/>
    <s v="ANT-0927"/>
    <n v="49"/>
    <s v="Résolu"/>
    <x v="1"/>
    <s v=" non répertoriées"/>
    <s v=" non répertoriées"/>
    <x v="1"/>
    <s v=" non répertoriées"/>
    <n v="1"/>
    <n v="49"/>
    <d v="2023-10-26T15:33:00"/>
  </r>
  <r>
    <d v="2023-10-15T04:38:00"/>
    <s v="ANT-0544"/>
    <n v="76"/>
    <s v="En Cours"/>
    <x v="1"/>
    <s v=" non répertoriées"/>
    <s v=" non répertoriées"/>
    <x v="1"/>
    <s v=" non répertoriées"/>
    <n v="5"/>
    <n v="390"/>
    <d v="2023-10-28T07:21:00"/>
  </r>
  <r>
    <d v="2023-10-29T16:08:00"/>
    <s v="ANT-0232"/>
    <n v="106"/>
    <s v="Résolu"/>
    <x v="16"/>
    <n v="2.0392079999999999"/>
    <n v="19.090841999999999"/>
    <x v="0"/>
    <s v="Nokia"/>
    <n v="2"/>
    <n v="196"/>
    <d v="2023-10-29T16:08:00"/>
  </r>
  <r>
    <d v="2023-10-11T19:20:00"/>
    <s v="ANT-0654"/>
    <n v="97"/>
    <s v="Résolu"/>
    <x v="1"/>
    <s v=" non répertoriées"/>
    <s v=" non répertoriées"/>
    <x v="1"/>
    <s v=" non répertoriées"/>
    <n v="2"/>
    <n v="156"/>
    <d v="2023-10-16T02:08:00"/>
  </r>
  <r>
    <d v="2023-10-06T12:39:00"/>
    <s v="ANT-0239"/>
    <n v="40"/>
    <s v="En Cours"/>
    <x v="9"/>
    <n v="-5.42171"/>
    <n v="24.202960999999998"/>
    <x v="2"/>
    <s v="Ericsson"/>
    <n v="2"/>
    <n v="94"/>
    <d v="2023-10-21T17:50:00"/>
  </r>
  <r>
    <d v="2023-10-24T09:37:00"/>
    <s v="ANT-0054"/>
    <n v="41"/>
    <s v="En Cours"/>
    <x v="19"/>
    <n v="-1.231033"/>
    <n v="28.851388"/>
    <x v="3"/>
    <s v="Ericsson"/>
    <n v="2"/>
    <n v="92"/>
    <d v="2023-10-24T09:37:00"/>
  </r>
  <r>
    <d v="2023-10-11T16:53:00"/>
    <s v="ANT-0103"/>
    <n v="20"/>
    <s v="Résolu"/>
    <x v="14"/>
    <n v="-0.79459900000000006"/>
    <n v="26.775570999999999"/>
    <x v="2"/>
    <s v="Huawei"/>
    <n v="3"/>
    <n v="222"/>
    <d v="2023-10-31T20:09:00"/>
  </r>
  <r>
    <d v="2023-10-17T17:31:00"/>
    <s v="ANT-0424"/>
    <n v="78"/>
    <s v="Non Résolu"/>
    <x v="16"/>
    <n v="-9.5243310000000001"/>
    <n v="30.541212000000002"/>
    <x v="3"/>
    <s v="Ericsson"/>
    <n v="3"/>
    <n v="126"/>
    <d v="2023-10-31T02:52:00"/>
  </r>
  <r>
    <d v="2023-10-23T18:19:00"/>
    <s v="ANT-0339"/>
    <n v="91"/>
    <s v="En Cours"/>
    <x v="20"/>
    <n v="-3.6945459999999999"/>
    <n v="16.809108999999999"/>
    <x v="2"/>
    <s v="ZTE"/>
    <n v="4"/>
    <n v="258"/>
    <d v="2023-10-29T14:45:00"/>
  </r>
  <r>
    <d v="2023-10-16T00:23:00"/>
    <s v="ANT-0735"/>
    <n v="74"/>
    <s v="Résolu"/>
    <x v="3"/>
    <n v="-5.8352820000000003"/>
    <n v="26.603978000000001"/>
    <x v="0"/>
    <s v="Huawei"/>
    <n v="1"/>
    <n v="74"/>
    <d v="2023-10-16T00:23:00"/>
  </r>
  <r>
    <d v="2023-10-11T21:07:00"/>
    <s v="ANT-0484"/>
    <n v="53"/>
    <s v="Résolu"/>
    <x v="5"/>
    <n v="-7.8770429999999996"/>
    <n v="16.357762999999998"/>
    <x v="0"/>
    <s v="Ericsson"/>
    <n v="1"/>
    <n v="53"/>
    <d v="2023-10-11T21:07:00"/>
  </r>
  <r>
    <d v="2023-10-14T18:19:00"/>
    <s v="ANT-0103"/>
    <n v="119"/>
    <s v="En Cours"/>
    <x v="14"/>
    <n v="-0.79459900000000006"/>
    <n v="26.775570999999999"/>
    <x v="2"/>
    <s v="Huawei"/>
    <n v="3"/>
    <n v="222"/>
    <d v="2023-10-31T20:09:00"/>
  </r>
  <r>
    <d v="2023-10-26T23:55:00"/>
    <s v="ANT-0698"/>
    <n v="55"/>
    <s v="Non Résolu"/>
    <x v="1"/>
    <s v=" non répertoriées"/>
    <s v=" non répertoriées"/>
    <x v="1"/>
    <s v=" non répertoriées"/>
    <n v="2"/>
    <n v="109"/>
    <d v="2023-10-26T23:55:00"/>
  </r>
  <r>
    <d v="2023-10-23T20:01:00"/>
    <s v="ANT-0790"/>
    <n v="109"/>
    <s v="Non Résolu"/>
    <x v="7"/>
    <n v="-2.9417719999999998"/>
    <n v="18.587305000000001"/>
    <x v="2"/>
    <s v="Ericsson"/>
    <n v="2"/>
    <n v="204"/>
    <d v="2023-10-23T20:01:00"/>
  </r>
  <r>
    <d v="2023-10-20T15:16:00"/>
    <s v="ANT-0141"/>
    <n v="49"/>
    <s v="Résolu"/>
    <x v="1"/>
    <s v=" non répertoriées"/>
    <s v=" non répertoriées"/>
    <x v="1"/>
    <s v=" non répertoriées"/>
    <n v="3"/>
    <n v="201"/>
    <d v="2023-10-23T12:24:00"/>
  </r>
  <r>
    <d v="2023-10-31T20:50:00"/>
    <s v="ANT-0006"/>
    <n v="103"/>
    <s v="En Cours"/>
    <x v="20"/>
    <n v="-2.8532869999999999"/>
    <n v="22.117896000000002"/>
    <x v="2"/>
    <s v="Huawei"/>
    <n v="2"/>
    <n v="114"/>
    <d v="2023-10-31T20:50:00"/>
  </r>
  <r>
    <d v="2023-10-25T18:36:00"/>
    <s v="ANT-0988"/>
    <n v="107"/>
    <s v="En Cours"/>
    <x v="14"/>
    <n v="-5.7200150000000001"/>
    <n v="25.022109"/>
    <x v="2"/>
    <s v="ZTE"/>
    <n v="3"/>
    <n v="236"/>
    <d v="2023-10-31T12:04:00"/>
  </r>
  <r>
    <d v="2023-10-08T23:03:00"/>
    <s v="ANT-0564"/>
    <n v="23"/>
    <s v="En Cours"/>
    <x v="9"/>
    <n v="-12.336202"/>
    <n v="13.693683999999999"/>
    <x v="2"/>
    <s v="Huawei"/>
    <n v="4"/>
    <n v="190"/>
    <d v="2023-10-31T11:40:00"/>
  </r>
  <r>
    <d v="2023-10-19T15:10:00"/>
    <s v="ANT-0952"/>
    <n v="42"/>
    <s v="Non Résolu"/>
    <x v="12"/>
    <n v="-0.77432100000000004"/>
    <n v="18.628658999999999"/>
    <x v="0"/>
    <s v="Huawei"/>
    <n v="2"/>
    <n v="134"/>
    <d v="2023-10-19T15:10:00"/>
  </r>
  <r>
    <d v="2023-10-17T20:46:00"/>
    <s v="ANT-0162"/>
    <n v="10"/>
    <s v="Non Résolu"/>
    <x v="23"/>
    <n v="-1.648326"/>
    <n v="25.528901999999999"/>
    <x v="0"/>
    <s v="Huawei"/>
    <n v="1"/>
    <n v="10"/>
    <d v="2023-10-17T20:46:00"/>
  </r>
  <r>
    <d v="2023-10-20T12:09:00"/>
    <s v="ANT-0417"/>
    <n v="41"/>
    <s v="Non Résolu"/>
    <x v="15"/>
    <n v="-2.3677800000000002"/>
    <n v="18.790323999999998"/>
    <x v="2"/>
    <s v="Huawei"/>
    <n v="2"/>
    <n v="151"/>
    <d v="2023-10-27T02:30:00"/>
  </r>
  <r>
    <d v="2023-10-27T21:15:00"/>
    <s v="ANT-0669"/>
    <n v="96"/>
    <s v="En Cours"/>
    <x v="1"/>
    <s v=" non répertoriées"/>
    <s v=" non répertoriées"/>
    <x v="1"/>
    <s v=" non répertoriées"/>
    <n v="1"/>
    <n v="96"/>
    <d v="2023-10-27T21:15:00"/>
  </r>
  <r>
    <d v="2023-10-02T18:44:00"/>
    <s v="ANT-0958"/>
    <n v="15"/>
    <s v="Résolu"/>
    <x v="1"/>
    <s v=" non répertoriées"/>
    <s v=" non répertoriées"/>
    <x v="1"/>
    <s v=" non répertoriées"/>
    <n v="1"/>
    <n v="15"/>
    <d v="2023-10-02T18:44:00"/>
  </r>
  <r>
    <d v="2023-10-04T06:01:00"/>
    <s v="ANT-0902"/>
    <n v="49"/>
    <s v="Non Résolu"/>
    <x v="3"/>
    <n v="-10.414493"/>
    <n v="12.333356999999999"/>
    <x v="3"/>
    <s v="Ericsson"/>
    <n v="4"/>
    <n v="273"/>
    <d v="2023-10-22T21:51:00"/>
  </r>
  <r>
    <d v="2023-10-15T10:26:00"/>
    <s v="ANT-0900"/>
    <n v="61"/>
    <s v="En Cours"/>
    <x v="0"/>
    <n v="-10.776204"/>
    <n v="24.672934000000001"/>
    <x v="0"/>
    <s v="Ericsson"/>
    <n v="3"/>
    <n v="176"/>
    <d v="2023-10-29T20:29:00"/>
  </r>
  <r>
    <d v="2023-10-05T13:44:00"/>
    <s v="ANT-0488"/>
    <n v="88"/>
    <s v="En Cours"/>
    <x v="3"/>
    <n v="-3.111418"/>
    <n v="14.144854"/>
    <x v="0"/>
    <s v="ZTE"/>
    <n v="3"/>
    <n v="152"/>
    <d v="2023-10-07T00:39:00"/>
  </r>
  <r>
    <d v="2023-10-07T13:32:00"/>
    <s v="ANT-0489"/>
    <n v="37"/>
    <s v="Résolu"/>
    <x v="22"/>
    <n v="0.20866199999999999"/>
    <n v="18.556439000000001"/>
    <x v="0"/>
    <s v="Nokia"/>
    <n v="1"/>
    <n v="37"/>
    <d v="2023-10-07T13:32:00"/>
  </r>
  <r>
    <d v="2023-10-25T19:58:00"/>
    <s v="ANT-0667"/>
    <n v="100"/>
    <s v="Résolu"/>
    <x v="1"/>
    <s v=" non répertoriées"/>
    <s v=" non répertoriées"/>
    <x v="1"/>
    <s v=" non répertoriées"/>
    <n v="1"/>
    <n v="100"/>
    <d v="2023-10-25T19:58:00"/>
  </r>
  <r>
    <d v="2023-10-16T23:46:00"/>
    <s v="ANT-0205"/>
    <n v="66"/>
    <s v="En Cours"/>
    <x v="17"/>
    <n v="-1.4110389999999999"/>
    <n v="21.261644"/>
    <x v="0"/>
    <s v="ZTE"/>
    <n v="3"/>
    <n v="270"/>
    <d v="2023-10-16T23:46:00"/>
  </r>
  <r>
    <d v="2023-10-02T22:08:00"/>
    <s v="ANT-0775"/>
    <n v="32"/>
    <s v="Résolu"/>
    <x v="20"/>
    <n v="1.5278670000000001"/>
    <n v="13.899388999999999"/>
    <x v="3"/>
    <s v="Huawei"/>
    <n v="5"/>
    <n v="273"/>
    <d v="2023-10-24T10:28:00"/>
  </r>
  <r>
    <d v="2023-10-17T06:35:00"/>
    <s v="ANT-0988"/>
    <n v="30"/>
    <s v="Non Résolu"/>
    <x v="14"/>
    <n v="-5.7200150000000001"/>
    <n v="25.022109"/>
    <x v="2"/>
    <s v="ZTE"/>
    <n v="3"/>
    <n v="236"/>
    <d v="2023-10-31T12:04:00"/>
  </r>
  <r>
    <d v="2023-10-11T21:30:00"/>
    <s v="ANT-0295"/>
    <n v="110"/>
    <s v="En Cours"/>
    <x v="11"/>
    <n v="-4.351254"/>
    <n v="30.097408999999999"/>
    <x v="2"/>
    <s v="Nokia"/>
    <n v="2"/>
    <n v="157"/>
    <d v="2023-10-11T21:30:00"/>
  </r>
  <r>
    <d v="2023-10-17T12:20:00"/>
    <s v="ANT-0329"/>
    <n v="73"/>
    <s v="Non Résolu"/>
    <x v="1"/>
    <s v=" non répertoriées"/>
    <s v=" non répertoriées"/>
    <x v="1"/>
    <s v=" non répertoriées"/>
    <n v="1"/>
    <n v="73"/>
    <d v="2023-10-17T12:20:00"/>
  </r>
  <r>
    <d v="2023-10-31T05:29:00"/>
    <s v="ANT-0293"/>
    <n v="39"/>
    <s v="En Cours"/>
    <x v="5"/>
    <n v="-5.7035130000000001"/>
    <n v="14.331479"/>
    <x v="2"/>
    <s v="Nokia"/>
    <n v="2"/>
    <n v="111"/>
    <d v="2023-10-31T05:29:00"/>
  </r>
  <r>
    <d v="2023-10-30T17:21:00"/>
    <s v="ANT-0662"/>
    <n v="76"/>
    <s v="Non Résolu"/>
    <x v="6"/>
    <n v="-1.342476"/>
    <n v="15.986086"/>
    <x v="0"/>
    <s v="Ericsson"/>
    <n v="4"/>
    <n v="352"/>
    <d v="2023-10-30T17:21:00"/>
  </r>
  <r>
    <d v="2023-10-18T11:43:00"/>
    <s v="ANT-0061"/>
    <n v="94"/>
    <s v="Résolu"/>
    <x v="1"/>
    <s v=" non répertoriées"/>
    <s v=" non répertoriées"/>
    <x v="1"/>
    <s v=" non répertoriées"/>
    <n v="1"/>
    <n v="94"/>
    <d v="2023-10-18T11:43:00"/>
  </r>
  <r>
    <d v="2023-10-25T23:43:00"/>
    <s v="ANT-0930"/>
    <n v="39"/>
    <s v="Résolu"/>
    <x v="1"/>
    <s v=" non répertoriées"/>
    <s v=" non répertoriées"/>
    <x v="1"/>
    <s v=" non répertoriées"/>
    <n v="2"/>
    <n v="88"/>
    <d v="2023-10-25T23:43:00"/>
  </r>
  <r>
    <d v="2023-10-21T22:16:00"/>
    <s v="ANT-0788"/>
    <n v="22"/>
    <s v="Non Résolu"/>
    <x v="11"/>
    <n v="1.5802860000000001"/>
    <n v="20.99053"/>
    <x v="0"/>
    <s v="ZTE"/>
    <n v="2"/>
    <n v="103"/>
    <d v="2023-10-21T22:16:00"/>
  </r>
  <r>
    <d v="2023-10-20T15:12:00"/>
    <s v="ANT-0092"/>
    <n v="18"/>
    <s v="En Cours"/>
    <x v="1"/>
    <s v=" non répertoriées"/>
    <s v=" non répertoriées"/>
    <x v="1"/>
    <s v=" non répertoriées"/>
    <n v="1"/>
    <n v="18"/>
    <d v="2023-10-20T15:12:00"/>
  </r>
  <r>
    <d v="2023-10-31T07:17:00"/>
    <s v="ANT-0668"/>
    <n v="83"/>
    <s v="En Cours"/>
    <x v="2"/>
    <n v="-9.8208710000000004"/>
    <n v="23.229807000000001"/>
    <x v="2"/>
    <s v="Nokia"/>
    <n v="2"/>
    <n v="136"/>
    <d v="2023-10-31T07:17:00"/>
  </r>
  <r>
    <d v="2023-10-18T09:14:00"/>
    <s v="ANT-0588"/>
    <n v="99"/>
    <s v="Non Résolu"/>
    <x v="26"/>
    <n v="-4.8157019999999999"/>
    <n v="27.679798000000002"/>
    <x v="3"/>
    <s v="Ericsson"/>
    <n v="1"/>
    <n v="99"/>
    <d v="2023-10-18T09:14:00"/>
  </r>
  <r>
    <d v="2023-10-31T09:49:00"/>
    <s v="ANT-0238"/>
    <n v="80"/>
    <s v="Non Résolu"/>
    <x v="12"/>
    <n v="0.62055499999999997"/>
    <n v="21.222035000000002"/>
    <x v="2"/>
    <s v="Nokia"/>
    <n v="2"/>
    <n v="110"/>
    <d v="2023-10-31T09:49:00"/>
  </r>
  <r>
    <d v="2023-10-10T22:13:00"/>
    <s v="ANT-0548"/>
    <n v="35"/>
    <s v="Résolu"/>
    <x v="1"/>
    <s v=" non répertoriées"/>
    <s v=" non répertoriées"/>
    <x v="1"/>
    <s v=" non répertoriées"/>
    <n v="1"/>
    <n v="35"/>
    <d v="2023-10-10T22:13:00"/>
  </r>
  <r>
    <d v="2023-10-23T22:31:00"/>
    <s v="ANT-0757"/>
    <n v="36"/>
    <s v="Résolu"/>
    <x v="1"/>
    <s v=" non répertoriées"/>
    <s v=" non répertoriées"/>
    <x v="1"/>
    <s v=" non répertoriées"/>
    <n v="1"/>
    <n v="36"/>
    <d v="2023-10-23T22:31:00"/>
  </r>
  <r>
    <d v="2023-10-03T12:42:00"/>
    <s v="ANT-0670"/>
    <n v="109"/>
    <s v="Non Résolu"/>
    <x v="22"/>
    <n v="-7.1483749999999997"/>
    <n v="26.014271000000001"/>
    <x v="2"/>
    <s v="Huawei"/>
    <n v="3"/>
    <n v="291"/>
    <d v="2023-10-20T12:39:00"/>
  </r>
  <r>
    <d v="2023-10-04T05:08:00"/>
    <s v="ANT-0881"/>
    <n v="5"/>
    <s v="Résolu"/>
    <x v="9"/>
    <n v="-6.5332999999999997"/>
    <n v="20.098018"/>
    <x v="0"/>
    <s v="Huawei"/>
    <n v="1"/>
    <n v="5"/>
    <d v="2023-10-04T05:08:00"/>
  </r>
  <r>
    <d v="2023-10-16T10:59:00"/>
    <s v="ANT-0357"/>
    <n v="100"/>
    <s v="Résolu"/>
    <x v="0"/>
    <n v="-11.793894"/>
    <n v="20.433340999999999"/>
    <x v="2"/>
    <s v="Nokia"/>
    <n v="2"/>
    <n v="206"/>
    <d v="2023-10-16T10:59:00"/>
  </r>
  <r>
    <d v="2023-10-08T00:16:00"/>
    <s v="ANT-0122"/>
    <n v="32"/>
    <s v="Résolu"/>
    <x v="3"/>
    <n v="1.897178"/>
    <n v="23.902604"/>
    <x v="3"/>
    <s v="Nokia"/>
    <n v="1"/>
    <n v="32"/>
    <d v="2023-10-08T00:16:00"/>
  </r>
  <r>
    <d v="2023-10-13T07:28:00"/>
    <s v="ANT-0183"/>
    <n v="79"/>
    <s v="Résolu"/>
    <x v="4"/>
    <n v="4.8319039999999998"/>
    <n v="20.733468999999999"/>
    <x v="2"/>
    <s v="Ericsson"/>
    <n v="2"/>
    <n v="101"/>
    <d v="2023-10-14T07:28:00"/>
  </r>
  <r>
    <d v="2023-10-25T08:21:00"/>
    <s v="ANT-0551"/>
    <n v="14"/>
    <s v="Résolu"/>
    <x v="15"/>
    <n v="-7.789663"/>
    <n v="26.529098000000001"/>
    <x v="2"/>
    <s v="Nokia"/>
    <n v="2"/>
    <n v="81"/>
    <d v="2023-10-25T08:21:00"/>
  </r>
  <r>
    <d v="2023-10-10T18:46:00"/>
    <s v="ANT-0403"/>
    <n v="10"/>
    <s v="Non Résolu"/>
    <x v="1"/>
    <s v=" non répertoriées"/>
    <s v=" non répertoriées"/>
    <x v="1"/>
    <s v=" non répertoriées"/>
    <n v="3"/>
    <n v="105"/>
    <d v="2023-10-20T10:53:00"/>
  </r>
  <r>
    <d v="2023-10-19T00:16:00"/>
    <s v="ANT-0542"/>
    <n v="59"/>
    <s v="Résolu"/>
    <x v="1"/>
    <s v=" non répertoriées"/>
    <s v=" non répertoriées"/>
    <x v="1"/>
    <s v=" non répertoriées"/>
    <n v="1"/>
    <n v="59"/>
    <d v="2023-10-19T00:16:00"/>
  </r>
  <r>
    <d v="2023-10-21T11:44:00"/>
    <s v="ANT-0131"/>
    <n v="49"/>
    <s v="En Cours"/>
    <x v="8"/>
    <n v="-9.3652239999999995"/>
    <n v="22.593423999999999"/>
    <x v="2"/>
    <s v="Nokia"/>
    <n v="2"/>
    <n v="97"/>
    <d v="2023-10-21T11:44:00"/>
  </r>
  <r>
    <d v="2023-10-08T01:42:00"/>
    <s v="ANT-0746"/>
    <n v="94"/>
    <s v="Non Résolu"/>
    <x v="14"/>
    <n v="-1.1284540000000001"/>
    <n v="23.000360000000001"/>
    <x v="2"/>
    <s v="Ericsson"/>
    <n v="1"/>
    <n v="94"/>
    <d v="2023-10-08T01:42:00"/>
  </r>
  <r>
    <d v="2023-10-04T14:19:00"/>
    <s v="ANT-0229"/>
    <n v="13"/>
    <s v="Non Résolu"/>
    <x v="15"/>
    <n v="-1.9540519999999999"/>
    <n v="12.667945"/>
    <x v="0"/>
    <s v="Huawei"/>
    <n v="2"/>
    <n v="75"/>
    <d v="2023-10-31T21:55:00"/>
  </r>
  <r>
    <d v="2023-10-06T12:43:00"/>
    <s v="ANT-0855"/>
    <n v="74"/>
    <s v="Non Résolu"/>
    <x v="19"/>
    <n v="-11.514188000000001"/>
    <n v="15.971181"/>
    <x v="2"/>
    <s v="Ericsson"/>
    <n v="2"/>
    <n v="98"/>
    <d v="2023-10-22T18:36:00"/>
  </r>
  <r>
    <d v="2023-10-17T22:49:00"/>
    <s v="ANT-0004"/>
    <n v="12"/>
    <s v="Résolu"/>
    <x v="1"/>
    <s v=" non répertoriées"/>
    <s v=" non répertoriées"/>
    <x v="1"/>
    <s v=" non répertoriées"/>
    <n v="3"/>
    <n v="161"/>
    <d v="2023-10-27T00:05:00"/>
  </r>
  <r>
    <d v="2023-10-10T22:07:00"/>
    <s v="ANT-0775"/>
    <n v="119"/>
    <s v="Résolu"/>
    <x v="20"/>
    <n v="1.5278670000000001"/>
    <n v="13.899388999999999"/>
    <x v="3"/>
    <s v="Huawei"/>
    <n v="5"/>
    <n v="273"/>
    <d v="2023-10-24T10:28:00"/>
  </r>
  <r>
    <d v="2023-10-21T09:23:00"/>
    <s v="ANT-0024"/>
    <n v="13"/>
    <s v="Non Résolu"/>
    <x v="1"/>
    <s v=" non répertoriées"/>
    <s v=" non répertoriées"/>
    <x v="1"/>
    <s v=" non répertoriées"/>
    <n v="2"/>
    <n v="69"/>
    <d v="2023-10-21T09:23:00"/>
  </r>
  <r>
    <d v="2023-10-20T07:14:00"/>
    <s v="ANT-0306"/>
    <n v="65"/>
    <s v="Résolu"/>
    <x v="1"/>
    <s v=" non répertoriées"/>
    <s v=" non répertoriées"/>
    <x v="1"/>
    <s v=" non répertoriées"/>
    <n v="4"/>
    <n v="381"/>
    <d v="2023-10-21T02:12:00"/>
  </r>
  <r>
    <d v="2023-10-31T04:30:00"/>
    <s v="ANT-0475"/>
    <n v="9"/>
    <s v="En Cours"/>
    <x v="1"/>
    <s v=" non répertoriées"/>
    <s v=" non répertoriées"/>
    <x v="1"/>
    <s v=" non répertoriées"/>
    <n v="1"/>
    <n v="9"/>
    <d v="2023-10-31T04:30:00"/>
  </r>
  <r>
    <d v="2023-10-05T14:47:00"/>
    <s v="ANT-0690"/>
    <n v="41"/>
    <s v="En Cours"/>
    <x v="21"/>
    <n v="1.3006180000000001"/>
    <n v="29.060970999999999"/>
    <x v="3"/>
    <s v="ZTE"/>
    <n v="2"/>
    <n v="140"/>
    <d v="2023-10-10T08:31:00"/>
  </r>
  <r>
    <d v="2023-10-20T11:26:00"/>
    <s v="ANT-0737"/>
    <n v="57"/>
    <s v="Résolu"/>
    <x v="2"/>
    <n v="-2.8211520000000001"/>
    <n v="20.651419000000001"/>
    <x v="2"/>
    <s v="Ericsson"/>
    <n v="5"/>
    <n v="389"/>
    <d v="2023-10-20T11:26:00"/>
  </r>
  <r>
    <d v="2023-10-23T17:58:00"/>
    <s v="ANT-0558"/>
    <n v="28"/>
    <s v="Non Résolu"/>
    <x v="7"/>
    <n v="-11.468578000000001"/>
    <n v="16.914501999999999"/>
    <x v="0"/>
    <s v="Ericsson"/>
    <n v="1"/>
    <n v="28"/>
    <d v="2023-10-23T17:58:00"/>
  </r>
  <r>
    <d v="2023-10-16T17:51:00"/>
    <s v="ANT-0435"/>
    <n v="103"/>
    <s v="Résolu"/>
    <x v="1"/>
    <s v=" non répertoriées"/>
    <s v=" non répertoriées"/>
    <x v="1"/>
    <s v=" non répertoriées"/>
    <n v="1"/>
    <n v="103"/>
    <d v="2023-10-16T17:51:00"/>
  </r>
  <r>
    <d v="2023-10-22T06:48:00"/>
    <s v="ANT-0545"/>
    <n v="22"/>
    <s v="Résolu"/>
    <x v="21"/>
    <n v="-2.6665070000000002"/>
    <n v="18.623692999999999"/>
    <x v="3"/>
    <s v="ZTE"/>
    <n v="2"/>
    <n v="121"/>
    <d v="2023-10-22T06:48:00"/>
  </r>
  <r>
    <d v="2023-10-08T21:48:00"/>
    <s v="ANT-0389"/>
    <n v="103"/>
    <s v="Résolu"/>
    <x v="1"/>
    <s v=" non répertoriées"/>
    <s v=" non répertoriées"/>
    <x v="1"/>
    <s v=" non répertoriées"/>
    <n v="1"/>
    <n v="103"/>
    <d v="2023-10-08T21:48:00"/>
  </r>
  <r>
    <d v="2023-10-20T02:33:00"/>
    <s v="ANT-0844"/>
    <n v="87"/>
    <s v="Non Résolu"/>
    <x v="1"/>
    <s v=" non répertoriées"/>
    <s v=" non répertoriées"/>
    <x v="1"/>
    <s v=" non répertoriées"/>
    <n v="2"/>
    <n v="137"/>
    <d v="2023-10-20T02:33:00"/>
  </r>
  <r>
    <d v="2023-10-15T16:45:00"/>
    <s v="ANT-0236"/>
    <n v="98"/>
    <s v="En Cours"/>
    <x v="24"/>
    <n v="-12.192204"/>
    <n v="28.468682000000001"/>
    <x v="3"/>
    <s v="ZTE"/>
    <n v="1"/>
    <n v="98"/>
    <d v="2023-10-15T16:45:00"/>
  </r>
  <r>
    <d v="2023-10-12T02:58:00"/>
    <s v="ANT-0254"/>
    <n v="87"/>
    <s v="Résolu"/>
    <x v="1"/>
    <s v=" non répertoriées"/>
    <s v=" non répertoriées"/>
    <x v="1"/>
    <s v=" non répertoriées"/>
    <n v="4"/>
    <n v="329"/>
    <d v="2023-10-27T00:19:00"/>
  </r>
  <r>
    <d v="2023-10-19T03:03:00"/>
    <s v="ANT-0472"/>
    <n v="58"/>
    <s v="Non Résolu"/>
    <x v="13"/>
    <n v="1.2419519999999999"/>
    <n v="25.261382999999999"/>
    <x v="0"/>
    <s v="Huawei"/>
    <n v="2"/>
    <n v="85"/>
    <d v="2023-10-19T03:03:00"/>
  </r>
  <r>
    <d v="2023-10-27T17:57:00"/>
    <s v="ANT-0355"/>
    <n v="52"/>
    <s v="Non Résolu"/>
    <x v="1"/>
    <s v=" non répertoriées"/>
    <s v=" non répertoriées"/>
    <x v="1"/>
    <s v=" non répertoriées"/>
    <n v="1"/>
    <n v="52"/>
    <d v="2023-10-27T17:57:00"/>
  </r>
  <r>
    <d v="2023-10-17T06:36:00"/>
    <s v="ANT-0159"/>
    <n v="119"/>
    <s v="En Cours"/>
    <x v="13"/>
    <n v="2.4414509999999998"/>
    <n v="30.167489"/>
    <x v="2"/>
    <s v="Nokia"/>
    <n v="2"/>
    <n v="203"/>
    <d v="2023-10-28T10:45:00"/>
  </r>
  <r>
    <d v="2023-10-18T04:10:00"/>
    <s v="ANT-0283"/>
    <n v="53"/>
    <s v="Non Résolu"/>
    <x v="21"/>
    <n v="-1.6097570000000001"/>
    <n v="30.661662"/>
    <x v="0"/>
    <s v="Ericsson"/>
    <n v="2"/>
    <n v="141"/>
    <d v="2023-10-18T04:10:00"/>
  </r>
  <r>
    <d v="2023-10-11T16:28:00"/>
    <s v="ANT-0194"/>
    <n v="62"/>
    <s v="Non Résolu"/>
    <x v="6"/>
    <n v="8.5490999999999998E-2"/>
    <n v="26.296129000000001"/>
    <x v="3"/>
    <s v="ZTE"/>
    <n v="2"/>
    <n v="119"/>
    <d v="2023-10-11T21:48:00"/>
  </r>
  <r>
    <d v="2023-10-04T21:13:00"/>
    <s v="ANT-0960"/>
    <n v="116"/>
    <s v="Non Résolu"/>
    <x v="1"/>
    <s v=" non répertoriées"/>
    <s v=" non répertoriées"/>
    <x v="1"/>
    <s v=" non répertoriées"/>
    <n v="2"/>
    <n v="146"/>
    <d v="2023-10-10T22:35:00"/>
  </r>
  <r>
    <d v="2023-10-23T18:31:00"/>
    <s v="ANT-0897"/>
    <n v="53"/>
    <s v="En Cours"/>
    <x v="1"/>
    <s v=" non répertoriées"/>
    <s v=" non répertoriées"/>
    <x v="1"/>
    <s v=" non répertoriées"/>
    <n v="3"/>
    <n v="161"/>
    <d v="2023-10-23T18:31:00"/>
  </r>
  <r>
    <d v="2023-10-03T16:28:00"/>
    <s v="ANT-0743"/>
    <n v="53"/>
    <s v="Résolu"/>
    <x v="1"/>
    <s v=" non répertoriées"/>
    <s v=" non répertoriées"/>
    <x v="1"/>
    <s v=" non répertoriées"/>
    <n v="1"/>
    <n v="53"/>
    <d v="2023-10-03T16:28:00"/>
  </r>
  <r>
    <d v="2023-10-26T01:29:00"/>
    <s v="ANT-0784"/>
    <n v="15"/>
    <s v="En Cours"/>
    <x v="1"/>
    <s v=" non répertoriées"/>
    <s v=" non répertoriées"/>
    <x v="1"/>
    <s v=" non répertoriées"/>
    <n v="2"/>
    <n v="47"/>
    <d v="2023-10-26T01:29:00"/>
  </r>
  <r>
    <d v="2023-10-05T16:26:00"/>
    <s v="ANT-0116"/>
    <n v="92"/>
    <s v="Résolu"/>
    <x v="1"/>
    <s v=" non répertoriées"/>
    <s v=" non répertoriées"/>
    <x v="1"/>
    <s v=" non répertoriées"/>
    <n v="3"/>
    <n v="235"/>
    <d v="2023-10-26T22:07:00"/>
  </r>
  <r>
    <d v="2023-10-15T18:03:00"/>
    <s v="ANT-0033"/>
    <n v="89"/>
    <s v="Non Résolu"/>
    <x v="1"/>
    <s v=" non répertoriées"/>
    <s v=" non répertoriées"/>
    <x v="1"/>
    <s v=" non répertoriées"/>
    <n v="1"/>
    <n v="89"/>
    <d v="2023-10-15T18:03:00"/>
  </r>
  <r>
    <d v="2023-10-26T09:46:00"/>
    <s v="ANT-0677"/>
    <n v="74"/>
    <s v="Résolu"/>
    <x v="4"/>
    <n v="-4.6957509999999996"/>
    <n v="14.233525999999999"/>
    <x v="0"/>
    <s v="Nokia"/>
    <n v="1"/>
    <n v="74"/>
    <d v="2023-10-26T09:46:00"/>
  </r>
  <r>
    <d v="2023-10-01T12:16:00"/>
    <s v="ANT-0430"/>
    <n v="22"/>
    <s v="En Cours"/>
    <x v="12"/>
    <n v="-10.939712999999999"/>
    <n v="18.276230999999999"/>
    <x v="0"/>
    <s v="ZTE"/>
    <n v="2"/>
    <n v="127"/>
    <d v="2023-10-14T03:29:00"/>
  </r>
  <r>
    <d v="2023-10-22T13:35:00"/>
    <s v="ANT-0007"/>
    <n v="87"/>
    <s v="Non Résolu"/>
    <x v="10"/>
    <n v="4.7777349999999998"/>
    <n v="16.392204"/>
    <x v="2"/>
    <s v="ZTE"/>
    <n v="1"/>
    <n v="87"/>
    <d v="2023-10-22T13:35:00"/>
  </r>
  <r>
    <d v="2023-10-16T01:22:00"/>
    <s v="ANT-0545"/>
    <n v="99"/>
    <s v="Non Résolu"/>
    <x v="21"/>
    <n v="-2.6665070000000002"/>
    <n v="18.623692999999999"/>
    <x v="3"/>
    <s v="ZTE"/>
    <n v="2"/>
    <n v="121"/>
    <d v="2023-10-22T06:48:00"/>
  </r>
  <r>
    <d v="2023-10-31T20:42:00"/>
    <s v="ANT-0565"/>
    <n v="67"/>
    <s v="Résolu"/>
    <x v="0"/>
    <n v="-2.099631"/>
    <n v="13.974640000000001"/>
    <x v="3"/>
    <s v="Nokia"/>
    <n v="2"/>
    <n v="157"/>
    <d v="2023-10-31T20:42:00"/>
  </r>
  <r>
    <d v="2023-10-13T16:20:00"/>
    <s v="ANT-0422"/>
    <n v="63"/>
    <s v="Résolu"/>
    <x v="1"/>
    <s v=" non répertoriées"/>
    <s v=" non répertoriées"/>
    <x v="1"/>
    <s v=" non répertoriées"/>
    <n v="1"/>
    <n v="63"/>
    <d v="2023-10-13T16:20:00"/>
  </r>
  <r>
    <d v="2023-10-23T13:26:00"/>
    <s v="ANT-0013"/>
    <n v="26"/>
    <s v="En Cours"/>
    <x v="1"/>
    <s v=" non répertoriées"/>
    <s v=" non répertoriées"/>
    <x v="1"/>
    <s v=" non répertoriées"/>
    <n v="2"/>
    <n v="66"/>
    <d v="2023-10-23T13:26:00"/>
  </r>
  <r>
    <d v="2023-10-05T09:24:00"/>
    <s v="ANT-0018"/>
    <n v="98"/>
    <s v="En Cours"/>
    <x v="1"/>
    <s v=" non répertoriées"/>
    <s v=" non répertoriées"/>
    <x v="1"/>
    <s v=" non répertoriées"/>
    <n v="3"/>
    <n v="208"/>
    <d v="2023-10-31T13:35:00"/>
  </r>
  <r>
    <d v="2023-10-06T17:30:00"/>
    <s v="ANT-0543"/>
    <n v="106"/>
    <s v="En Cours"/>
    <x v="7"/>
    <n v="-4.4958720000000003"/>
    <n v="18.514112000000001"/>
    <x v="0"/>
    <s v="Nokia"/>
    <n v="2"/>
    <n v="148"/>
    <d v="2023-10-24T07:03:00"/>
  </r>
  <r>
    <d v="2023-10-08T07:19:00"/>
    <s v="ANT-0740"/>
    <n v="50"/>
    <s v="Non Résolu"/>
    <x v="1"/>
    <s v=" non répertoriées"/>
    <s v=" non répertoriées"/>
    <x v="1"/>
    <s v=" non répertoriées"/>
    <n v="2"/>
    <n v="129"/>
    <d v="2023-10-22T23:57:00"/>
  </r>
  <r>
    <d v="2023-10-28T22:09:00"/>
    <s v="ANT-0282"/>
    <n v="26"/>
    <s v="En Cours"/>
    <x v="9"/>
    <n v="-10.25074"/>
    <n v="26.099086"/>
    <x v="0"/>
    <s v="Huawei"/>
    <n v="5"/>
    <n v="237"/>
    <d v="2023-10-28T22:09:00"/>
  </r>
  <r>
    <d v="2023-10-26T14:58:00"/>
    <s v="ANT-0549"/>
    <n v="22"/>
    <s v="Résolu"/>
    <x v="24"/>
    <n v="-0.47411900000000001"/>
    <n v="27.184329000000002"/>
    <x v="2"/>
    <s v="ZTE"/>
    <n v="2"/>
    <n v="89"/>
    <d v="2023-10-28T18:41:00"/>
  </r>
  <r>
    <d v="2023-10-02T17:26:00"/>
    <s v="ANT-0294"/>
    <n v="97"/>
    <s v="Non Résolu"/>
    <x v="23"/>
    <n v="-4.3639070000000002"/>
    <n v="16.283307000000001"/>
    <x v="2"/>
    <s v="Huawei"/>
    <n v="1"/>
    <n v="97"/>
    <d v="2023-10-02T17:26:00"/>
  </r>
  <r>
    <d v="2023-10-31T13:35:00"/>
    <s v="ANT-0018"/>
    <n v="74"/>
    <s v="Résolu"/>
    <x v="1"/>
    <s v=" non répertoriées"/>
    <s v=" non répertoriées"/>
    <x v="1"/>
    <s v=" non répertoriées"/>
    <n v="3"/>
    <n v="208"/>
    <d v="2023-10-31T13:35:00"/>
  </r>
  <r>
    <d v="2023-10-17T04:24:00"/>
    <s v="ANT-0515"/>
    <n v="67"/>
    <s v="Non Résolu"/>
    <x v="16"/>
    <n v="-10.967288"/>
    <n v="17.617781000000001"/>
    <x v="0"/>
    <s v="Ericsson"/>
    <n v="3"/>
    <n v="133"/>
    <d v="2023-10-30T09:24:00"/>
  </r>
  <r>
    <d v="2023-10-08T08:13:00"/>
    <s v="ANT-0833"/>
    <n v="28"/>
    <s v="Résolu"/>
    <x v="20"/>
    <n v="0.40267799999999998"/>
    <n v="16.000858000000001"/>
    <x v="3"/>
    <s v="Nokia"/>
    <n v="1"/>
    <n v="28"/>
    <d v="2023-10-08T08:13:00"/>
  </r>
  <r>
    <d v="2023-10-11T20:05:00"/>
    <s v="ANT-0715"/>
    <n v="118"/>
    <s v="Résolu"/>
    <x v="19"/>
    <n v="-11.407966"/>
    <n v="28.378274000000001"/>
    <x v="0"/>
    <s v="ZTE"/>
    <n v="2"/>
    <n v="226"/>
    <d v="2023-10-15T03:51:00"/>
  </r>
  <r>
    <d v="2023-10-30T14:54:00"/>
    <s v="ANT-0691"/>
    <n v="74"/>
    <s v="En Cours"/>
    <x v="22"/>
    <n v="-12.488033"/>
    <n v="16.139648000000001"/>
    <x v="0"/>
    <s v="Huawei"/>
    <n v="1"/>
    <n v="74"/>
    <d v="2023-10-30T14:54:00"/>
  </r>
  <r>
    <d v="2023-10-12T02:34:00"/>
    <s v="ANT-0441"/>
    <n v="87"/>
    <s v="En Cours"/>
    <x v="13"/>
    <n v="-5.2526849999999996"/>
    <n v="12.374528"/>
    <x v="3"/>
    <s v="Nokia"/>
    <n v="3"/>
    <n v="195"/>
    <d v="2023-10-22T20:19:00"/>
  </r>
  <r>
    <d v="2023-10-24T06:03:00"/>
    <s v="ANT-0826"/>
    <n v="12"/>
    <s v="Non Résolu"/>
    <x v="9"/>
    <n v="-10.846306999999999"/>
    <n v="19.201827999999999"/>
    <x v="0"/>
    <s v="Ericsson"/>
    <n v="3"/>
    <n v="121"/>
    <d v="2023-10-24T06:03:00"/>
  </r>
  <r>
    <d v="2023-10-09T12:43:00"/>
    <s v="ANT-0963"/>
    <n v="72"/>
    <s v="En Cours"/>
    <x v="1"/>
    <s v=" non répertoriées"/>
    <s v=" non répertoriées"/>
    <x v="1"/>
    <s v=" non répertoriées"/>
    <n v="1"/>
    <n v="72"/>
    <d v="2023-10-09T12:43:00"/>
  </r>
  <r>
    <d v="2023-10-20T19:02:00"/>
    <s v="ANT-0932"/>
    <n v="9"/>
    <s v="Non Résolu"/>
    <x v="1"/>
    <s v=" non répertoriées"/>
    <s v=" non répertoriées"/>
    <x v="1"/>
    <s v=" non répertoriées"/>
    <n v="3"/>
    <n v="105"/>
    <d v="2023-10-31T17:26:00"/>
  </r>
  <r>
    <d v="2023-10-28T02:12:00"/>
    <s v="ANT-0184"/>
    <n v="112"/>
    <s v="Résolu"/>
    <x v="12"/>
    <n v="-10.161428000000001"/>
    <n v="19.362325999999999"/>
    <x v="3"/>
    <s v="Nokia"/>
    <n v="1"/>
    <n v="112"/>
    <d v="2023-10-28T02:12:00"/>
  </r>
  <r>
    <d v="2023-10-26T18:46:00"/>
    <s v="ANT-0110"/>
    <n v="113"/>
    <s v="Non Résolu"/>
    <x v="0"/>
    <n v="-7.9425049999999997"/>
    <n v="24.111059000000001"/>
    <x v="3"/>
    <s v="ZTE"/>
    <n v="1"/>
    <n v="113"/>
    <d v="2023-10-26T18:46:00"/>
  </r>
  <r>
    <d v="2023-10-22T17:13:00"/>
    <s v="ANT-0941"/>
    <n v="14"/>
    <s v="Résolu"/>
    <x v="0"/>
    <n v="-2.4662510000000002"/>
    <n v="18.007998000000001"/>
    <x v="2"/>
    <s v="Ericsson"/>
    <n v="2"/>
    <n v="51"/>
    <d v="2023-10-22T17:13:00"/>
  </r>
  <r>
    <d v="2023-10-16T06:55:00"/>
    <s v="ANT-0099"/>
    <n v="109"/>
    <s v="Résolu"/>
    <x v="2"/>
    <n v="-11.157245"/>
    <n v="21.262627999999999"/>
    <x v="2"/>
    <s v="ZTE"/>
    <n v="1"/>
    <n v="109"/>
    <d v="2023-10-16T06:55:00"/>
  </r>
  <r>
    <d v="2023-10-30T10:19:00"/>
    <s v="ANT-0537"/>
    <n v="90"/>
    <s v="Résolu"/>
    <x v="1"/>
    <s v=" non répertoriées"/>
    <s v=" non répertoriées"/>
    <x v="1"/>
    <s v=" non répertoriées"/>
    <n v="2"/>
    <n v="145"/>
    <d v="2023-10-31T18:38:00"/>
  </r>
  <r>
    <d v="2023-10-31T00:13:00"/>
    <s v="ANT-0153"/>
    <n v="11"/>
    <s v="Non Résolu"/>
    <x v="6"/>
    <n v="0.94539899999999999"/>
    <n v="14.401821999999999"/>
    <x v="2"/>
    <s v="Nokia"/>
    <n v="2"/>
    <n v="29"/>
    <d v="2023-10-31T00:13:00"/>
  </r>
  <r>
    <d v="2023-10-30T06:47:00"/>
    <s v="ANT-0247"/>
    <n v="102"/>
    <s v="Non Résolu"/>
    <x v="1"/>
    <s v=" non répertoriées"/>
    <s v=" non répertoriées"/>
    <x v="1"/>
    <s v=" non répertoriées"/>
    <n v="6"/>
    <n v="330"/>
    <d v="2023-10-31T20:02:00"/>
  </r>
  <r>
    <d v="2023-10-04T23:48:00"/>
    <s v="ANT-0197"/>
    <n v="5"/>
    <s v="En Cours"/>
    <x v="1"/>
    <s v=" non répertoriées"/>
    <s v=" non répertoriées"/>
    <x v="1"/>
    <s v=" non répertoriées"/>
    <n v="1"/>
    <n v="5"/>
    <d v="2023-10-04T23:48:00"/>
  </r>
  <r>
    <d v="2023-10-16T07:44:00"/>
    <s v="ANT-0635"/>
    <n v="57"/>
    <s v="En Cours"/>
    <x v="1"/>
    <s v=" non répertoriées"/>
    <s v=" non répertoriées"/>
    <x v="1"/>
    <s v=" non répertoriées"/>
    <n v="3"/>
    <n v="114"/>
    <d v="2023-10-30T23:41:00"/>
  </r>
  <r>
    <d v="2023-10-20T22:13:00"/>
    <s v="ANT-0540"/>
    <n v="22"/>
    <s v="Résolu"/>
    <x v="1"/>
    <s v=" non répertoriées"/>
    <s v=" non répertoriées"/>
    <x v="1"/>
    <s v=" non répertoriées"/>
    <n v="2"/>
    <n v="49"/>
    <d v="2023-10-30T18:32:00"/>
  </r>
  <r>
    <d v="2023-10-13T07:35:00"/>
    <s v="ANT-0259"/>
    <n v="112"/>
    <s v="Résolu"/>
    <x v="1"/>
    <s v=" non répertoriées"/>
    <s v=" non répertoriées"/>
    <x v="1"/>
    <s v=" non répertoriées"/>
    <n v="4"/>
    <n v="162"/>
    <d v="2023-10-21T15:38:00"/>
  </r>
  <r>
    <d v="2023-10-11T09:24:00"/>
    <s v="ANT-0835"/>
    <n v="85"/>
    <s v="Non Résolu"/>
    <x v="9"/>
    <n v="1.017161"/>
    <n v="16.519689"/>
    <x v="3"/>
    <s v="Nokia"/>
    <n v="2"/>
    <n v="153"/>
    <d v="2023-10-11T09:24:00"/>
  </r>
  <r>
    <d v="2023-10-15T17:41:00"/>
    <s v="ANT-0363"/>
    <n v="34"/>
    <s v="En Cours"/>
    <x v="12"/>
    <n v="5.3608999999999997E-2"/>
    <n v="28.346852999999999"/>
    <x v="3"/>
    <s v="ZTE"/>
    <n v="1"/>
    <n v="34"/>
    <d v="2023-10-15T17:41:00"/>
  </r>
  <r>
    <d v="2023-10-12T09:16:00"/>
    <s v="ANT-0274"/>
    <n v="13"/>
    <s v="Non Résolu"/>
    <x v="1"/>
    <s v=" non répertoriées"/>
    <s v=" non répertoriées"/>
    <x v="1"/>
    <s v=" non répertoriées"/>
    <n v="3"/>
    <n v="221"/>
    <d v="2023-10-26T20:37:00"/>
  </r>
  <r>
    <d v="2023-10-12T16:56:00"/>
    <s v="ANT-0815"/>
    <n v="95"/>
    <s v="Non Résolu"/>
    <x v="1"/>
    <s v=" non répertoriées"/>
    <s v=" non répertoriées"/>
    <x v="1"/>
    <s v=" non répertoriées"/>
    <n v="3"/>
    <n v="195"/>
    <d v="2023-10-12T16:56:00"/>
  </r>
  <r>
    <d v="2023-10-16T14:06:00"/>
    <s v="ANT-0407"/>
    <n v="24"/>
    <s v="Non Résolu"/>
    <x v="25"/>
    <n v="2.5458379999999998"/>
    <n v="13.308655"/>
    <x v="2"/>
    <s v="ZTE"/>
    <n v="2"/>
    <n v="57"/>
    <d v="2023-10-16T14:06:00"/>
  </r>
  <r>
    <d v="2023-10-26T23:30:00"/>
    <s v="ANT-0081"/>
    <n v="6"/>
    <s v="Résolu"/>
    <x v="15"/>
    <n v="-10.577049000000001"/>
    <n v="23.721854"/>
    <x v="0"/>
    <s v="ZTE"/>
    <n v="3"/>
    <n v="239"/>
    <d v="2023-10-26T23:30:00"/>
  </r>
  <r>
    <d v="2023-10-25T10:58:00"/>
    <s v="ANT-0383"/>
    <n v="32"/>
    <s v="Résolu"/>
    <x v="1"/>
    <s v=" non répertoriées"/>
    <s v=" non répertoriées"/>
    <x v="1"/>
    <s v=" non répertoriées"/>
    <n v="2"/>
    <n v="91"/>
    <d v="2023-10-25T10:58:00"/>
  </r>
  <r>
    <d v="2023-10-07T11:20:00"/>
    <s v="ANT-0983"/>
    <n v="69"/>
    <s v="En Cours"/>
    <x v="1"/>
    <s v=" non répertoriées"/>
    <s v=" non répertoriées"/>
    <x v="1"/>
    <s v=" non répertoriées"/>
    <n v="1"/>
    <n v="69"/>
    <d v="2023-10-07T11:20:00"/>
  </r>
  <r>
    <d v="2023-10-14T01:36:00"/>
    <s v="ANT-0416"/>
    <n v="63"/>
    <s v="Résolu"/>
    <x v="8"/>
    <n v="-11.387295999999999"/>
    <n v="19.384257999999999"/>
    <x v="3"/>
    <s v="Huawei"/>
    <n v="2"/>
    <n v="122"/>
    <d v="2023-10-14T01:36:00"/>
  </r>
  <r>
    <d v="2023-10-28T07:47:00"/>
    <s v="ANT-0471"/>
    <n v="52"/>
    <s v="Résolu"/>
    <x v="1"/>
    <s v=" non répertoriées"/>
    <s v=" non répertoriées"/>
    <x v="1"/>
    <s v=" non répertoriées"/>
    <n v="1"/>
    <n v="52"/>
    <d v="2023-10-28T07:47:00"/>
  </r>
  <r>
    <d v="2023-10-05T00:16:00"/>
    <s v="ANT-0579"/>
    <n v="12"/>
    <s v="Non Résolu"/>
    <x v="25"/>
    <n v="-1.6488929999999999"/>
    <n v="27.284617000000001"/>
    <x v="2"/>
    <s v="Nokia"/>
    <n v="1"/>
    <n v="12"/>
    <d v="2023-10-05T00:16:00"/>
  </r>
  <r>
    <d v="2023-10-18T18:37:00"/>
    <s v="ANT-0250"/>
    <n v="84"/>
    <s v="Résolu"/>
    <x v="25"/>
    <n v="-2.3743210000000001"/>
    <n v="22.399491000000001"/>
    <x v="2"/>
    <s v="Ericsson"/>
    <n v="3"/>
    <n v="227"/>
    <d v="2023-10-18T18:37:00"/>
  </r>
  <r>
    <d v="2023-10-24T13:18:00"/>
    <s v="ANT-0714"/>
    <n v="86"/>
    <s v="Non Résolu"/>
    <x v="8"/>
    <n v="-12.050063"/>
    <n v="26.636987999999999"/>
    <x v="3"/>
    <s v="Nokia"/>
    <n v="2"/>
    <n v="128"/>
    <d v="2023-10-28T18:02:00"/>
  </r>
  <r>
    <d v="2023-10-05T06:21:00"/>
    <s v="ANT-0232"/>
    <n v="90"/>
    <s v="En Cours"/>
    <x v="16"/>
    <n v="2.0392079999999999"/>
    <n v="19.090841999999999"/>
    <x v="0"/>
    <s v="Nokia"/>
    <n v="2"/>
    <n v="196"/>
    <d v="2023-10-29T16:08:00"/>
  </r>
  <r>
    <d v="2023-10-08T12:36:00"/>
    <s v="ANT-0308"/>
    <n v="83"/>
    <s v="Résolu"/>
    <x v="1"/>
    <s v=" non répertoriées"/>
    <s v=" non répertoriées"/>
    <x v="1"/>
    <s v=" non répertoriées"/>
    <n v="1"/>
    <n v="83"/>
    <d v="2023-10-08T12:36:00"/>
  </r>
  <r>
    <d v="2023-10-27T07:31:00"/>
    <s v="ANT-0701"/>
    <n v="66"/>
    <s v="En Cours"/>
    <x v="14"/>
    <n v="-12.839263000000001"/>
    <n v="12.355677"/>
    <x v="3"/>
    <s v="Huawei"/>
    <n v="2"/>
    <n v="93"/>
    <d v="2023-10-27T07:31:00"/>
  </r>
  <r>
    <d v="2023-10-18T20:43:00"/>
    <s v="ANT-0848"/>
    <n v="89"/>
    <s v="Résolu"/>
    <x v="1"/>
    <s v=" non répertoriées"/>
    <s v=" non répertoriées"/>
    <x v="1"/>
    <s v=" non répertoriées"/>
    <n v="1"/>
    <n v="89"/>
    <d v="2023-10-18T20:43:00"/>
  </r>
  <r>
    <d v="2023-10-11T08:48:00"/>
    <s v="ANT-0869"/>
    <n v="67"/>
    <s v="Non Résolu"/>
    <x v="16"/>
    <n v="-8.0301989999999996"/>
    <n v="24.122495000000001"/>
    <x v="2"/>
    <s v="ZTE"/>
    <n v="3"/>
    <n v="182"/>
    <d v="2023-10-29T17:57:00"/>
  </r>
  <r>
    <d v="2023-10-27T15:46:00"/>
    <s v="ANT-0083"/>
    <n v="7"/>
    <s v="Résolu"/>
    <x v="1"/>
    <s v=" non répertoriées"/>
    <s v=" non répertoriées"/>
    <x v="1"/>
    <s v=" non répertoriées"/>
    <n v="2"/>
    <n v="69"/>
    <d v="2023-10-27T15:46:00"/>
  </r>
  <r>
    <d v="2023-10-25T23:08:00"/>
    <s v="ANT-0334"/>
    <n v="83"/>
    <s v="Non Résolu"/>
    <x v="1"/>
    <s v=" non répertoriées"/>
    <s v=" non répertoriées"/>
    <x v="1"/>
    <s v=" non répertoriées"/>
    <n v="1"/>
    <n v="83"/>
    <d v="2023-10-25T23:08:00"/>
  </r>
  <r>
    <d v="2023-10-26T22:46:00"/>
    <s v="ANT-0386"/>
    <n v="30"/>
    <s v="Résolu"/>
    <x v="4"/>
    <n v="-10.653247"/>
    <n v="14.685601"/>
    <x v="0"/>
    <s v="Ericsson"/>
    <n v="1"/>
    <n v="30"/>
    <d v="2023-10-26T22:46:00"/>
  </r>
  <r>
    <d v="2023-10-03T16:47:00"/>
    <s v="ANT-0288"/>
    <n v="63"/>
    <s v="Non Résolu"/>
    <x v="10"/>
    <n v="1.400674"/>
    <n v="13.503126999999999"/>
    <x v="2"/>
    <s v="ZTE"/>
    <n v="2"/>
    <n v="126"/>
    <d v="2023-10-03T16:47:00"/>
  </r>
  <r>
    <d v="2023-10-12T01:06:00"/>
    <s v="ANT-0837"/>
    <n v="18"/>
    <s v="En Cours"/>
    <x v="19"/>
    <n v="-5.3762689999999997"/>
    <n v="28.189575999999999"/>
    <x v="2"/>
    <s v="Huawei"/>
    <n v="4"/>
    <n v="237"/>
    <d v="2023-10-24T18:14:00"/>
  </r>
  <r>
    <d v="2023-10-14T07:53:00"/>
    <s v="ANT-0805"/>
    <n v="22"/>
    <s v="En Cours"/>
    <x v="1"/>
    <s v=" non répertoriées"/>
    <s v=" non répertoriées"/>
    <x v="1"/>
    <s v=" non répertoriées"/>
    <n v="1"/>
    <n v="22"/>
    <d v="2023-10-14T07:53:00"/>
  </r>
  <r>
    <d v="2023-10-03T10:38:00"/>
    <s v="ANT-0403"/>
    <n v="43"/>
    <s v="Résolu"/>
    <x v="1"/>
    <s v=" non répertoriées"/>
    <s v=" non répertoriées"/>
    <x v="1"/>
    <s v=" non répertoriées"/>
    <n v="3"/>
    <n v="105"/>
    <d v="2023-10-20T10:53:00"/>
  </r>
  <r>
    <d v="2023-10-25T19:38:00"/>
    <s v="ANT-0374"/>
    <n v="5"/>
    <s v="En Cours"/>
    <x v="1"/>
    <s v=" non répertoriées"/>
    <s v=" non répertoriées"/>
    <x v="1"/>
    <s v=" non répertoriées"/>
    <n v="2"/>
    <n v="94"/>
    <d v="2023-10-25T19:38:00"/>
  </r>
  <r>
    <d v="2023-10-13T10:01:00"/>
    <s v="ANT-0117"/>
    <n v="55"/>
    <s v="Non Résolu"/>
    <x v="25"/>
    <n v="1.938083"/>
    <n v="28.25281"/>
    <x v="0"/>
    <s v="Nokia"/>
    <n v="3"/>
    <n v="205"/>
    <d v="2023-10-17T10:27:00"/>
  </r>
  <r>
    <d v="2023-10-21T08:50:00"/>
    <s v="ANT-0955"/>
    <n v="47"/>
    <s v="En Cours"/>
    <x v="1"/>
    <s v=" non répertoriées"/>
    <s v=" non répertoriées"/>
    <x v="1"/>
    <s v=" non répertoriées"/>
    <n v="3"/>
    <n v="214"/>
    <d v="2023-10-21T08:50:00"/>
  </r>
  <r>
    <d v="2023-10-15T15:14:00"/>
    <s v="ANT-0578"/>
    <n v="112"/>
    <s v="Non Résolu"/>
    <x v="14"/>
    <n v="-6.1490739999999997"/>
    <n v="23.304411000000002"/>
    <x v="2"/>
    <s v="ZTE"/>
    <n v="3"/>
    <n v="197"/>
    <d v="2023-10-15T15:14:00"/>
  </r>
  <r>
    <d v="2023-10-12T17:24:00"/>
    <s v="ANT-0205"/>
    <n v="84"/>
    <s v="En Cours"/>
    <x v="17"/>
    <n v="-1.4110389999999999"/>
    <n v="21.261644"/>
    <x v="0"/>
    <s v="ZTE"/>
    <n v="3"/>
    <n v="270"/>
    <d v="2023-10-16T23:46:00"/>
  </r>
  <r>
    <d v="2023-10-14T05:43:00"/>
    <s v="ANT-0607"/>
    <n v="53"/>
    <s v="Non Résolu"/>
    <x v="6"/>
    <n v="-8.4985189999999999"/>
    <n v="12.929456999999999"/>
    <x v="0"/>
    <s v="Ericsson"/>
    <n v="3"/>
    <n v="139"/>
    <d v="2023-10-30T23:20:00"/>
  </r>
  <r>
    <d v="2023-10-19T21:24:00"/>
    <s v="ANT-0559"/>
    <n v="107"/>
    <s v="Non Résolu"/>
    <x v="1"/>
    <s v=" non répertoriées"/>
    <s v=" non répertoriées"/>
    <x v="1"/>
    <s v=" non répertoriées"/>
    <n v="2"/>
    <n v="207"/>
    <d v="2023-10-19T21:24:00"/>
  </r>
  <r>
    <d v="2023-10-03T19:18:00"/>
    <s v="ANT-0185"/>
    <n v="115"/>
    <s v="Non Résolu"/>
    <x v="22"/>
    <n v="1.2391989999999999"/>
    <n v="15.386718999999999"/>
    <x v="2"/>
    <s v="ZTE"/>
    <n v="1"/>
    <n v="115"/>
    <d v="2023-10-03T19:18:00"/>
  </r>
  <r>
    <d v="2023-10-26T07:45:00"/>
    <s v="ANT-0699"/>
    <n v="47"/>
    <s v="En Cours"/>
    <x v="1"/>
    <s v=" non répertoriées"/>
    <s v=" non répertoriées"/>
    <x v="1"/>
    <s v=" non répertoriées"/>
    <n v="1"/>
    <n v="47"/>
    <d v="2023-10-26T07:45:00"/>
  </r>
  <r>
    <d v="2023-10-03T02:17:00"/>
    <s v="ANT-0787"/>
    <n v="61"/>
    <s v="Non Résolu"/>
    <x v="1"/>
    <s v=" non répertoriées"/>
    <s v=" non répertoriées"/>
    <x v="1"/>
    <s v=" non répertoriées"/>
    <n v="1"/>
    <n v="61"/>
    <d v="2023-10-03T02:17:00"/>
  </r>
  <r>
    <d v="2023-10-05T12:45:00"/>
    <s v="ANT-0564"/>
    <n v="47"/>
    <s v="Résolu"/>
    <x v="9"/>
    <n v="-12.336202"/>
    <n v="13.693683999999999"/>
    <x v="2"/>
    <s v="Huawei"/>
    <n v="4"/>
    <n v="190"/>
    <d v="2023-10-31T11:40:00"/>
  </r>
  <r>
    <d v="2023-10-26T20:09:00"/>
    <s v="ANT-0028"/>
    <n v="60"/>
    <s v="En Cours"/>
    <x v="1"/>
    <s v=" non répertoriées"/>
    <s v=" non répertoriées"/>
    <x v="1"/>
    <s v=" non répertoriées"/>
    <n v="2"/>
    <n v="143"/>
    <d v="2023-10-26T20:09:00"/>
  </r>
  <r>
    <d v="2023-10-24T12:20:00"/>
    <s v="ANT-0976"/>
    <n v="109"/>
    <s v="Non Résolu"/>
    <x v="1"/>
    <s v=" non répertoriées"/>
    <s v=" non répertoriées"/>
    <x v="1"/>
    <s v=" non répertoriées"/>
    <n v="3"/>
    <n v="210"/>
    <d v="2023-10-27T21:29:00"/>
  </r>
  <r>
    <d v="2023-10-12T03:05:00"/>
    <s v="ANT-0745"/>
    <n v="110"/>
    <s v="Non Résolu"/>
    <x v="13"/>
    <n v="2.453036"/>
    <n v="20.555484"/>
    <x v="2"/>
    <s v="Ericsson"/>
    <n v="1"/>
    <n v="119"/>
    <d v="2023-10-29T15:38:00"/>
  </r>
  <r>
    <d v="2023-10-01T09:28:00"/>
    <s v="ANT-0473"/>
    <n v="115"/>
    <s v="Non Résolu"/>
    <x v="1"/>
    <s v=" non répertoriées"/>
    <s v=" non répertoriées"/>
    <x v="1"/>
    <s v=" non répertoriées"/>
    <n v="3"/>
    <n v="209"/>
    <d v="2023-10-03T16:41:00"/>
  </r>
  <r>
    <d v="2023-10-12T08:06:00"/>
    <s v="ANT-0966"/>
    <n v="88"/>
    <s v="Non Résolu"/>
    <x v="18"/>
    <n v="-12.364127999999999"/>
    <n v="19.576150999999999"/>
    <x v="3"/>
    <s v="Nokia"/>
    <n v="1"/>
    <n v="88"/>
    <d v="2023-10-12T08:06:00"/>
  </r>
  <r>
    <d v="2023-10-05T02:11:00"/>
    <s v="ANT-0726"/>
    <n v="81"/>
    <s v="Résolu"/>
    <x v="1"/>
    <s v=" non répertoriées"/>
    <s v=" non répertoriées"/>
    <x v="1"/>
    <s v=" non répertoriées"/>
    <n v="1"/>
    <n v="81"/>
    <d v="2023-10-05T02:11:00"/>
  </r>
  <r>
    <d v="2023-10-14T14:35:00"/>
    <s v="ANT-0215"/>
    <n v="22"/>
    <s v="Résolu"/>
    <x v="1"/>
    <s v=" non répertoriées"/>
    <s v=" non répertoriées"/>
    <x v="1"/>
    <s v=" non répertoriées"/>
    <n v="1"/>
    <n v="22"/>
    <d v="2023-10-14T14:35:00"/>
  </r>
  <r>
    <d v="2023-10-18T16:26:00"/>
    <s v="ANT-0449"/>
    <n v="43"/>
    <s v="Résolu"/>
    <x v="1"/>
    <s v=" non répertoriées"/>
    <s v=" non répertoriées"/>
    <x v="1"/>
    <s v=" non répertoriées"/>
    <n v="3"/>
    <n v="144"/>
    <d v="2023-10-18T16:26:00"/>
  </r>
  <r>
    <d v="2023-10-04T00:05:00"/>
    <s v="ANT-0817"/>
    <n v="46"/>
    <s v="Non Résolu"/>
    <x v="1"/>
    <s v=" non répertoriées"/>
    <s v=" non répertoriées"/>
    <x v="1"/>
    <s v=" non répertoriées"/>
    <n v="1"/>
    <n v="46"/>
    <d v="2023-10-04T00:05:00"/>
  </r>
  <r>
    <d v="2023-10-12T17:05:00"/>
    <s v="ANT-0299"/>
    <n v="82"/>
    <s v="Non Résolu"/>
    <x v="1"/>
    <s v=" non répertoriées"/>
    <s v=" non répertoriées"/>
    <x v="1"/>
    <s v=" non répertoriées"/>
    <n v="2"/>
    <n v="100"/>
    <d v="2023-10-12T17:05:00"/>
  </r>
  <r>
    <d v="2023-10-20T19:50:00"/>
    <s v="ANT-0852"/>
    <n v="93"/>
    <s v="En Cours"/>
    <x v="13"/>
    <n v="4.2493650000000001"/>
    <n v="28.355039999999999"/>
    <x v="3"/>
    <s v="ZTE"/>
    <n v="3"/>
    <n v="215"/>
    <d v="2023-10-27T01:51:00"/>
  </r>
  <r>
    <d v="2023-10-11T12:00:00"/>
    <s v="ANT-0710"/>
    <n v="30"/>
    <s v="Résolu"/>
    <x v="1"/>
    <s v=" non répertoriées"/>
    <s v=" non répertoriées"/>
    <x v="1"/>
    <s v=" non répertoriées"/>
    <n v="1"/>
    <n v="30"/>
    <d v="2023-10-11T12:00:00"/>
  </r>
  <r>
    <d v="2023-10-10T13:24:00"/>
    <s v="ANT-0071"/>
    <n v="66"/>
    <s v="Non Résolu"/>
    <x v="18"/>
    <n v="-12.595355"/>
    <n v="17.897442000000002"/>
    <x v="0"/>
    <s v="Huawei"/>
    <n v="1"/>
    <n v="66"/>
    <d v="2023-10-10T13:24:00"/>
  </r>
  <r>
    <d v="2023-10-25T02:46:00"/>
    <s v="ANT-0839"/>
    <n v="45"/>
    <s v="Non Résolu"/>
    <x v="10"/>
    <n v="-11.265995"/>
    <n v="28.935514999999999"/>
    <x v="0"/>
    <s v="Ericsson"/>
    <n v="2"/>
    <n v="89"/>
    <d v="2023-10-29T13:31:00"/>
  </r>
  <r>
    <d v="2023-10-29T17:57:00"/>
    <s v="ANT-0869"/>
    <n v="27"/>
    <s v="Résolu"/>
    <x v="16"/>
    <n v="-8.0301989999999996"/>
    <n v="24.122495000000001"/>
    <x v="2"/>
    <s v="ZTE"/>
    <n v="3"/>
    <n v="182"/>
    <d v="2023-10-29T17:57:00"/>
  </r>
  <r>
    <d v="2023-10-08T18:33:00"/>
    <s v="ANT-0815"/>
    <n v="55"/>
    <s v="Non Résolu"/>
    <x v="1"/>
    <s v=" non répertoriées"/>
    <s v=" non répertoriées"/>
    <x v="1"/>
    <s v=" non répertoriées"/>
    <n v="3"/>
    <n v="195"/>
    <d v="2023-10-12T16:56:00"/>
  </r>
  <r>
    <d v="2023-10-06T21:24:00"/>
    <s v="ANT-0815"/>
    <n v="45"/>
    <s v="Non Résolu"/>
    <x v="1"/>
    <s v=" non répertoriées"/>
    <s v=" non répertoriées"/>
    <x v="1"/>
    <s v=" non répertoriées"/>
    <n v="3"/>
    <n v="195"/>
    <d v="2023-10-12T16:56:00"/>
  </r>
  <r>
    <d v="2023-10-06T04:17:00"/>
    <s v="ANT-0419"/>
    <n v="42"/>
    <s v="Non Résolu"/>
    <x v="8"/>
    <n v="3.611561"/>
    <n v="17.725974999999998"/>
    <x v="3"/>
    <s v="ZTE"/>
    <n v="1"/>
    <n v="42"/>
    <d v="2023-10-06T04:17:00"/>
  </r>
  <r>
    <d v="2023-10-10T08:31:00"/>
    <s v="ANT-0690"/>
    <n v="99"/>
    <s v="Non Résolu"/>
    <x v="21"/>
    <n v="1.3006180000000001"/>
    <n v="29.060970999999999"/>
    <x v="3"/>
    <s v="ZTE"/>
    <n v="2"/>
    <n v="140"/>
    <d v="2023-10-10T08:31:00"/>
  </r>
  <r>
    <d v="2023-10-05T02:10:00"/>
    <s v="ANT-0512"/>
    <n v="93"/>
    <s v="En Cours"/>
    <x v="1"/>
    <s v=" non répertoriées"/>
    <s v=" non répertoriées"/>
    <x v="1"/>
    <s v=" non répertoriées"/>
    <n v="2"/>
    <n v="142"/>
    <d v="2023-10-05T02:10:00"/>
  </r>
  <r>
    <d v="2023-10-14T08:26:00"/>
    <s v="ANT-0143"/>
    <n v="86"/>
    <s v="En Cours"/>
    <x v="25"/>
    <n v="4.8228650000000002"/>
    <n v="30.555627000000001"/>
    <x v="0"/>
    <s v="Huawei"/>
    <n v="1"/>
    <n v="86"/>
    <d v="2023-10-14T08:26:00"/>
  </r>
  <r>
    <d v="2023-10-10T15:50:00"/>
    <s v="ANT-0649"/>
    <n v="67"/>
    <s v="En Cours"/>
    <x v="6"/>
    <n v="-7.7839049999999999"/>
    <n v="14.114281999999999"/>
    <x v="3"/>
    <s v="ZTE"/>
    <n v="3"/>
    <n v="156"/>
    <d v="2023-10-27T14:05:00"/>
  </r>
  <r>
    <d v="2023-10-03T11:16:00"/>
    <s v="ANT-0311"/>
    <n v="78"/>
    <s v="Résolu"/>
    <x v="1"/>
    <s v=" non répertoriées"/>
    <s v=" non répertoriées"/>
    <x v="1"/>
    <s v=" non répertoriées"/>
    <n v="1"/>
    <n v="78"/>
    <d v="2023-10-03T11:16:00"/>
  </r>
  <r>
    <d v="2023-10-31T07:46:00"/>
    <s v="ANT-0248"/>
    <n v="105"/>
    <s v="Résolu"/>
    <x v="22"/>
    <n v="-4.4351269999999996"/>
    <n v="24.825467"/>
    <x v="0"/>
    <s v="Huawei"/>
    <n v="2"/>
    <n v="169"/>
    <d v="2023-10-31T07:46:00"/>
  </r>
  <r>
    <d v="2023-10-21T15:38:00"/>
    <s v="ANT-0259"/>
    <n v="36"/>
    <s v="Résolu"/>
    <x v="1"/>
    <s v=" non répertoriées"/>
    <s v=" non répertoriées"/>
    <x v="1"/>
    <s v=" non répertoriées"/>
    <n v="4"/>
    <n v="162"/>
    <d v="2023-10-21T15:38:00"/>
  </r>
  <r>
    <d v="2023-10-03T16:47:00"/>
    <s v="ANT-0288"/>
    <n v="63"/>
    <s v="Non Résolu"/>
    <x v="10"/>
    <n v="1.400674"/>
    <n v="13.503126999999999"/>
    <x v="2"/>
    <s v="ZTE"/>
    <n v="2"/>
    <n v="126"/>
    <d v="2023-10-03T16:47:00"/>
  </r>
  <r>
    <d v="2023-10-08T14:23:00"/>
    <s v="ANT-0282"/>
    <n v="59"/>
    <s v="Résolu"/>
    <x v="9"/>
    <n v="-10.25074"/>
    <n v="26.099086"/>
    <x v="0"/>
    <s v="Huawei"/>
    <n v="5"/>
    <n v="237"/>
    <d v="2023-10-28T22:09:00"/>
  </r>
  <r>
    <d v="2023-10-13T14:49:00"/>
    <s v="ANT-0231"/>
    <n v="28"/>
    <s v="Résolu"/>
    <x v="1"/>
    <s v=" non répertoriées"/>
    <s v=" non répertoriées"/>
    <x v="1"/>
    <s v=" non répertoriées"/>
    <n v="1"/>
    <n v="28"/>
    <d v="2023-10-13T14:49:00"/>
  </r>
  <r>
    <d v="2023-10-22T18:44:00"/>
    <s v="ANT-0551"/>
    <n v="67"/>
    <s v="Résolu"/>
    <x v="15"/>
    <n v="-7.789663"/>
    <n v="26.529098000000001"/>
    <x v="2"/>
    <s v="Nokia"/>
    <n v="2"/>
    <n v="81"/>
    <d v="2023-10-25T08:21:00"/>
  </r>
  <r>
    <d v="2023-10-17T04:22:00"/>
    <s v="ANT-0296"/>
    <n v="86"/>
    <s v="Non Résolu"/>
    <x v="1"/>
    <s v=" non répertoriées"/>
    <s v=" non répertoriées"/>
    <x v="1"/>
    <s v=" non répertoriées"/>
    <n v="1"/>
    <n v="86"/>
    <d v="2023-10-17T04:22:00"/>
  </r>
  <r>
    <d v="2023-10-01T15:06:00"/>
    <s v="ANT-0173"/>
    <n v="73"/>
    <s v="Non Résolu"/>
    <x v="1"/>
    <s v=" non répertoriées"/>
    <s v=" non répertoriées"/>
    <x v="1"/>
    <s v=" non répertoriées"/>
    <n v="2"/>
    <n v="151"/>
    <d v="2023-10-19T15:33:00"/>
  </r>
  <r>
    <d v="2023-10-10T13:58:00"/>
    <s v="ANT-0800"/>
    <n v="93"/>
    <s v="Non Résolu"/>
    <x v="1"/>
    <s v=" non répertoriées"/>
    <s v=" non répertoriées"/>
    <x v="1"/>
    <s v=" non répertoriées"/>
    <n v="1"/>
    <n v="93"/>
    <d v="2023-10-10T13:58:00"/>
  </r>
  <r>
    <d v="2023-10-31T02:07:00"/>
    <s v="ANT-0469"/>
    <n v="87"/>
    <s v="En Cours"/>
    <x v="1"/>
    <s v=" non répertoriées"/>
    <s v=" non répertoriées"/>
    <x v="1"/>
    <s v=" non répertoriées"/>
    <n v="2"/>
    <n v="163"/>
    <d v="2023-10-31T02:07:00"/>
  </r>
  <r>
    <d v="2023-10-27T23:09:00"/>
    <s v="ANT-0580"/>
    <n v="27"/>
    <s v="Non Résolu"/>
    <x v="16"/>
    <n v="-11.354772000000001"/>
    <n v="21.957325999999998"/>
    <x v="3"/>
    <s v="Nokia"/>
    <n v="1"/>
    <n v="27"/>
    <d v="2023-10-27T23:09:00"/>
  </r>
  <r>
    <d v="2023-10-12T09:21:00"/>
    <s v="ANT-0761"/>
    <n v="76"/>
    <s v="Non Résolu"/>
    <x v="1"/>
    <s v=" non répertoriées"/>
    <s v=" non répertoriées"/>
    <x v="1"/>
    <s v=" non répertoriées"/>
    <n v="1"/>
    <n v="76"/>
    <d v="2023-10-12T09:21:00"/>
  </r>
  <r>
    <d v="2023-10-15T06:33:00"/>
    <s v="ANT-0792"/>
    <n v="26"/>
    <s v="Non Résolu"/>
    <x v="1"/>
    <s v=" non répertoriées"/>
    <s v=" non répertoriées"/>
    <x v="1"/>
    <s v=" non répertoriées"/>
    <n v="2"/>
    <n v="65"/>
    <d v="2023-10-16T02:36:00"/>
  </r>
  <r>
    <d v="2023-10-16T11:30:00"/>
    <s v="ANT-0785"/>
    <n v="67"/>
    <s v="En Cours"/>
    <x v="1"/>
    <s v=" non répertoriées"/>
    <s v=" non répertoriées"/>
    <x v="1"/>
    <s v=" non répertoriées"/>
    <n v="2"/>
    <n v="78"/>
    <d v="2023-10-16T11:30:00"/>
  </r>
  <r>
    <d v="2023-10-04T14:46:00"/>
    <s v="ANT-0508"/>
    <n v="41"/>
    <s v="Résolu"/>
    <x v="1"/>
    <s v=" non répertoriées"/>
    <s v=" non répertoriées"/>
    <x v="1"/>
    <s v=" non répertoriées"/>
    <n v="1"/>
    <n v="41"/>
    <d v="2023-10-04T14:46:00"/>
  </r>
  <r>
    <d v="2023-10-23T14:20:00"/>
    <s v="ANT-0563"/>
    <n v="22"/>
    <s v="Non Résolu"/>
    <x v="9"/>
    <n v="-1.8555980000000001"/>
    <n v="30.421918000000002"/>
    <x v="3"/>
    <s v="ZTE"/>
    <n v="5"/>
    <n v="226"/>
    <d v="2023-10-23T14:20:00"/>
  </r>
  <r>
    <d v="2023-10-03T09:02:00"/>
    <s v="ANT-0524"/>
    <n v="28"/>
    <s v="Résolu"/>
    <x v="12"/>
    <n v="-7.402336"/>
    <n v="27.376697"/>
    <x v="0"/>
    <s v="Huawei"/>
    <n v="3"/>
    <n v="127"/>
    <d v="2023-10-13T10:44:00"/>
  </r>
  <r>
    <d v="2023-10-26T22:07:00"/>
    <s v="ANT-0116"/>
    <n v="45"/>
    <s v="Résolu"/>
    <x v="1"/>
    <s v=" non répertoriées"/>
    <s v=" non répertoriées"/>
    <x v="1"/>
    <s v=" non répertoriées"/>
    <n v="3"/>
    <n v="235"/>
    <d v="2023-10-26T22:07:00"/>
  </r>
  <r>
    <d v="2023-10-01T10:41:00"/>
    <s v="ANT-0587"/>
    <n v="112"/>
    <s v="Résolu"/>
    <x v="7"/>
    <n v="-10.945031"/>
    <n v="27.922274000000002"/>
    <x v="0"/>
    <s v="Ericsson"/>
    <n v="3"/>
    <n v="298"/>
    <d v="2023-10-31T03:04:00"/>
  </r>
  <r>
    <d v="2023-10-04T21:51:00"/>
    <s v="ANT-0117"/>
    <n v="62"/>
    <s v="Résolu"/>
    <x v="25"/>
    <n v="1.938083"/>
    <n v="28.25281"/>
    <x v="0"/>
    <s v="Nokia"/>
    <n v="3"/>
    <n v="205"/>
    <d v="2023-10-17T10:27:00"/>
  </r>
  <r>
    <d v="2023-10-06T23:15:00"/>
    <s v="ANT-0275"/>
    <n v="84"/>
    <s v="Non Résolu"/>
    <x v="1"/>
    <s v=" non répertoriées"/>
    <s v=" non répertoriées"/>
    <x v="1"/>
    <s v=" non répertoriées"/>
    <n v="1"/>
    <n v="84"/>
    <d v="2023-10-06T23:15:00"/>
  </r>
  <r>
    <d v="2023-10-17T05:35:00"/>
    <s v="ANT-0794"/>
    <n v="11"/>
    <s v="En Cours"/>
    <x v="11"/>
    <n v="-3.8119990000000001"/>
    <n v="20.420048000000001"/>
    <x v="3"/>
    <s v="ZTE"/>
    <n v="1"/>
    <n v="11"/>
    <d v="2023-10-17T05:35:00"/>
  </r>
  <r>
    <d v="2023-10-06T10:35:00"/>
    <s v="ANT-0557"/>
    <n v="115"/>
    <s v="Non Résolu"/>
    <x v="13"/>
    <n v="-1.3024210000000001"/>
    <n v="13.601914000000001"/>
    <x v="3"/>
    <s v="Huawei"/>
    <n v="1"/>
    <n v="115"/>
    <d v="2023-10-06T10:35:00"/>
  </r>
  <r>
    <d v="2023-10-14T14:14:00"/>
    <s v="ANT-0844"/>
    <n v="50"/>
    <s v="En Cours"/>
    <x v="1"/>
    <s v=" non répertoriées"/>
    <s v=" non répertoriées"/>
    <x v="1"/>
    <s v=" non répertoriées"/>
    <n v="2"/>
    <n v="137"/>
    <d v="2023-10-20T02:33:00"/>
  </r>
  <r>
    <d v="2023-10-26T12:40:00"/>
    <s v="ANT-0376"/>
    <n v="6"/>
    <s v="Non Résolu"/>
    <x v="1"/>
    <s v=" non répertoriées"/>
    <s v=" non répertoriées"/>
    <x v="1"/>
    <s v=" non répertoriées"/>
    <n v="1"/>
    <n v="6"/>
    <d v="2023-10-26T12:40:00"/>
  </r>
  <r>
    <d v="2023-10-06T05:40:00"/>
    <s v="ANT-0556"/>
    <n v="67"/>
    <s v="Non Résolu"/>
    <x v="1"/>
    <s v=" non répertoriées"/>
    <s v=" non répertoriées"/>
    <x v="1"/>
    <s v=" non répertoriées"/>
    <n v="3"/>
    <n v="254"/>
    <d v="2023-10-20T19:39:00"/>
  </r>
  <r>
    <d v="2023-10-22T13:25:00"/>
    <s v="ANT-0843"/>
    <n v="22"/>
    <s v="Résolu"/>
    <x v="4"/>
    <n v="0.65288900000000005"/>
    <n v="24.243953999999999"/>
    <x v="2"/>
    <s v="Ericsson"/>
    <n v="1"/>
    <n v="22"/>
    <d v="2023-10-22T13:25:00"/>
  </r>
  <r>
    <d v="2023-10-01T23:39:00"/>
    <s v="ANT-0775"/>
    <n v="29"/>
    <s v="En Cours"/>
    <x v="20"/>
    <n v="1.5278670000000001"/>
    <n v="13.899388999999999"/>
    <x v="3"/>
    <s v="Huawei"/>
    <n v="5"/>
    <n v="273"/>
    <d v="2023-10-24T10:28:00"/>
  </r>
  <r>
    <d v="2023-10-29T06:28:00"/>
    <s v="ANT-0043"/>
    <n v="109"/>
    <s v="Non Résolu"/>
    <x v="1"/>
    <s v=" non répertoriées"/>
    <s v=" non répertoriées"/>
    <x v="1"/>
    <s v=" non répertoriées"/>
    <n v="2"/>
    <n v="140"/>
    <d v="2023-10-29T06:28:00"/>
  </r>
  <r>
    <d v="2023-10-19T13:24:00"/>
    <s v="ANT-0779"/>
    <n v="54"/>
    <s v="En Cours"/>
    <x v="1"/>
    <s v=" non répertoriées"/>
    <s v=" non répertoriées"/>
    <x v="1"/>
    <s v=" non répertoriées"/>
    <n v="2"/>
    <n v="111"/>
    <d v="2023-10-19T13:24:00"/>
  </r>
  <r>
    <d v="2023-10-01T22:13:00"/>
    <s v="ANT-0737"/>
    <n v="76"/>
    <s v="En Cours"/>
    <x v="2"/>
    <n v="-2.8211520000000001"/>
    <n v="20.651419000000001"/>
    <x v="2"/>
    <s v="Ericsson"/>
    <n v="5"/>
    <n v="389"/>
    <d v="2023-10-20T11:26:00"/>
  </r>
  <r>
    <d v="2023-10-07T08:48:00"/>
    <s v="ANT-0452"/>
    <n v="69"/>
    <s v="Non Résolu"/>
    <x v="1"/>
    <s v=" non répertoriées"/>
    <s v=" non répertoriées"/>
    <x v="1"/>
    <s v=" non répertoriées"/>
    <n v="3"/>
    <n v="195"/>
    <d v="2023-10-07T08:48:00"/>
  </r>
  <r>
    <d v="2023-10-23T02:36:00"/>
    <s v="ANT-0560"/>
    <n v="88"/>
    <s v="En Cours"/>
    <x v="1"/>
    <s v=" non répertoriées"/>
    <s v=" non répertoriées"/>
    <x v="1"/>
    <s v=" non répertoriées"/>
    <n v="1"/>
    <n v="88"/>
    <d v="2023-10-23T02:36:00"/>
  </r>
  <r>
    <d v="2023-10-04T17:11:00"/>
    <s v="ANT-0224"/>
    <n v="68"/>
    <s v="Non Résolu"/>
    <x v="9"/>
    <n v="-7.9866700000000002"/>
    <n v="17.757847000000002"/>
    <x v="2"/>
    <s v="Huawei"/>
    <n v="1"/>
    <n v="68"/>
    <d v="2023-10-04T17:11:00"/>
  </r>
  <r>
    <d v="2023-10-12T10:12:00"/>
    <s v="ANT-0436"/>
    <n v="57"/>
    <s v="Non Résolu"/>
    <x v="10"/>
    <n v="-4.5603610000000003"/>
    <n v="24.113918999999999"/>
    <x v="2"/>
    <s v="ZTE"/>
    <n v="2"/>
    <n v="107"/>
    <d v="2023-10-28T13:52:00"/>
  </r>
  <r>
    <d v="2023-10-15T03:16:00"/>
    <s v="ANT-0105"/>
    <n v="92"/>
    <s v="Résolu"/>
    <x v="1"/>
    <s v=" non répertoriées"/>
    <s v=" non répertoriées"/>
    <x v="1"/>
    <s v=" non répertoriées"/>
    <n v="2"/>
    <n v="123"/>
    <d v="2023-10-20T19:43:00"/>
  </r>
  <r>
    <d v="2023-10-22T15:33:00"/>
    <s v="ANT-0754"/>
    <n v="67"/>
    <s v="Résolu"/>
    <x v="22"/>
    <n v="-11.924048000000001"/>
    <n v="24.177174999999998"/>
    <x v="3"/>
    <s v="Nokia"/>
    <n v="1"/>
    <n v="67"/>
    <d v="2023-10-22T15:33:00"/>
  </r>
  <r>
    <d v="2023-10-31T20:20:00"/>
    <s v="ANT-0850"/>
    <n v="58"/>
    <s v="En Cours"/>
    <x v="12"/>
    <n v="-5.9021970000000001"/>
    <n v="20.551169999999999"/>
    <x v="3"/>
    <s v="Huawei"/>
    <n v="2"/>
    <n v="99"/>
    <d v="2023-10-31T20:20:00"/>
  </r>
  <r>
    <d v="2023-10-20T12:39:00"/>
    <s v="ANT-0670"/>
    <n v="95"/>
    <s v="Résolu"/>
    <x v="22"/>
    <n v="-7.1483749999999997"/>
    <n v="26.014271000000001"/>
    <x v="2"/>
    <s v="Huawei"/>
    <n v="3"/>
    <n v="291"/>
    <d v="2023-10-20T12:39:00"/>
  </r>
  <r>
    <d v="2023-10-13T18:07:00"/>
    <s v="ANT-0770"/>
    <n v="112"/>
    <s v="En Cours"/>
    <x v="12"/>
    <n v="2.4741019999999998"/>
    <n v="29.297391000000001"/>
    <x v="0"/>
    <s v="Ericsson"/>
    <n v="3"/>
    <n v="217"/>
    <d v="2023-10-22T04:01:00"/>
  </r>
  <r>
    <d v="2023-10-12T11:54:00"/>
    <s v="ANT-0254"/>
    <n v="61"/>
    <s v="Non Résolu"/>
    <x v="1"/>
    <s v=" non répertoriées"/>
    <s v=" non répertoriées"/>
    <x v="1"/>
    <s v=" non répertoriées"/>
    <n v="4"/>
    <n v="329"/>
    <d v="2023-10-27T00:19:00"/>
  </r>
  <r>
    <d v="2023-10-15T19:11:00"/>
    <s v="ANT-0305"/>
    <n v="67"/>
    <s v="Résolu"/>
    <x v="1"/>
    <s v=" non répertoriées"/>
    <s v=" non répertoriées"/>
    <x v="1"/>
    <s v=" non répertoriées"/>
    <n v="1"/>
    <n v="67"/>
    <d v="2023-10-15T19:11:00"/>
  </r>
  <r>
    <d v="2023-10-27T21:45:00"/>
    <s v="ANT-0896"/>
    <n v="26"/>
    <s v="Non Résolu"/>
    <x v="1"/>
    <s v=" non répertoriées"/>
    <s v=" non répertoriées"/>
    <x v="1"/>
    <s v=" non répertoriées"/>
    <n v="2"/>
    <n v="61"/>
    <d v="2023-10-27T21:45:00"/>
  </r>
  <r>
    <d v="2023-10-26T09:58:00"/>
    <s v="ANT-0034"/>
    <n v="15"/>
    <s v="Résolu"/>
    <x v="1"/>
    <s v=" non répertoriées"/>
    <s v=" non répertoriées"/>
    <x v="1"/>
    <s v=" non répertoriées"/>
    <n v="1"/>
    <n v="15"/>
    <d v="2023-10-26T09:58:00"/>
  </r>
  <r>
    <d v="2023-10-20T18:05:00"/>
    <s v="ANT-0461"/>
    <n v="77"/>
    <s v="Résolu"/>
    <x v="1"/>
    <s v=" non répertoriées"/>
    <s v=" non répertoriées"/>
    <x v="1"/>
    <s v=" non répertoriées"/>
    <n v="3"/>
    <n v="221"/>
    <d v="2023-10-23T02:35:00"/>
  </r>
  <r>
    <d v="2023-10-22T04:20:00"/>
    <s v="ANT-0270"/>
    <n v="8"/>
    <s v="Résolu"/>
    <x v="3"/>
    <n v="-1.648264"/>
    <n v="28.866143999999998"/>
    <x v="2"/>
    <s v="Ericsson"/>
    <n v="2"/>
    <n v="87"/>
    <d v="2023-10-22T04:20:00"/>
  </r>
  <r>
    <d v="2023-10-04T07:19:00"/>
    <s v="ANT-0357"/>
    <n v="106"/>
    <s v="Non Résolu"/>
    <x v="0"/>
    <n v="-11.793894"/>
    <n v="20.433340999999999"/>
    <x v="2"/>
    <s v="Nokia"/>
    <n v="2"/>
    <n v="206"/>
    <d v="2023-10-16T10:59:00"/>
  </r>
  <r>
    <d v="2023-10-04T05:23:00"/>
    <s v="ANT-0883"/>
    <n v="102"/>
    <s v="En Cours"/>
    <x v="13"/>
    <n v="-9.4702129999999993"/>
    <n v="12.826158"/>
    <x v="3"/>
    <s v="Ericsson"/>
    <n v="3"/>
    <n v="164"/>
    <d v="2023-10-19T00:11:00"/>
  </r>
  <r>
    <d v="2023-10-23T04:32:00"/>
    <s v="ANT-0837"/>
    <n v="33"/>
    <s v="Résolu"/>
    <x v="19"/>
    <n v="-5.3762689999999997"/>
    <n v="28.189575999999999"/>
    <x v="2"/>
    <s v="Huawei"/>
    <n v="4"/>
    <n v="237"/>
    <d v="2023-10-24T18:14:00"/>
  </r>
  <r>
    <d v="2023-10-13T13:38:00"/>
    <s v="ANT-0090"/>
    <n v="42"/>
    <s v="Non Résolu"/>
    <x v="3"/>
    <n v="-7.3379339999999997"/>
    <n v="28.404001999999998"/>
    <x v="3"/>
    <s v="Nokia"/>
    <n v="1"/>
    <n v="42"/>
    <d v="2023-10-13T13:38:00"/>
  </r>
  <r>
    <d v="2023-10-05T18:24:00"/>
    <s v="ANT-0450"/>
    <n v="9"/>
    <s v="En Cours"/>
    <x v="3"/>
    <n v="-12.560556999999999"/>
    <n v="13.204014000000001"/>
    <x v="0"/>
    <s v="Ericsson"/>
    <n v="1"/>
    <n v="9"/>
    <d v="2023-10-05T18:24:00"/>
  </r>
  <r>
    <d v="2023-10-03T20:50:00"/>
    <s v="ANT-0739"/>
    <n v="91"/>
    <s v="Non Résolu"/>
    <x v="1"/>
    <s v=" non répertoriées"/>
    <s v=" non répertoriées"/>
    <x v="1"/>
    <s v=" non répertoriées"/>
    <n v="3"/>
    <n v="268"/>
    <d v="2023-10-19T05:49:00"/>
  </r>
  <r>
    <d v="2023-10-29T02:25:00"/>
    <s v="ANT-0623"/>
    <n v="23"/>
    <s v="En Cours"/>
    <x v="1"/>
    <s v=" non répertoriées"/>
    <s v=" non répertoriées"/>
    <x v="1"/>
    <s v=" non répertoriées"/>
    <n v="3"/>
    <n v="120"/>
    <d v="2023-10-29T02:25:00"/>
  </r>
  <r>
    <d v="2023-10-17T23:17:00"/>
    <s v="ANT-0292"/>
    <n v="13"/>
    <s v="En Cours"/>
    <x v="20"/>
    <n v="-6.4197189999999997"/>
    <n v="22.287264"/>
    <x v="3"/>
    <s v="Ericsson"/>
    <n v="3"/>
    <n v="159"/>
    <d v="2023-10-17T23:17:00"/>
  </r>
  <r>
    <d v="2023-10-23T11:29:00"/>
    <s v="ANT-0798"/>
    <n v="72"/>
    <s v="Non Résolu"/>
    <x v="1"/>
    <s v=" non répertoriées"/>
    <s v=" non répertoriées"/>
    <x v="1"/>
    <s v=" non répertoriées"/>
    <n v="4"/>
    <n v="224"/>
    <d v="2023-10-28T07:55:00"/>
  </r>
  <r>
    <d v="2023-10-31T15:20:00"/>
    <s v="ANT-0964"/>
    <n v="77"/>
    <s v="Non Résolu"/>
    <x v="21"/>
    <n v="-0.57104900000000003"/>
    <n v="15.317663"/>
    <x v="2"/>
    <s v="Nokia"/>
    <n v="1"/>
    <n v="77"/>
    <d v="2023-10-31T15:20:00"/>
  </r>
  <r>
    <d v="2023-10-19T00:55:00"/>
    <s v="ANT-0708"/>
    <n v="6"/>
    <s v="Résolu"/>
    <x v="4"/>
    <n v="-9.7712979999999998"/>
    <n v="19.827895999999999"/>
    <x v="3"/>
    <s v="ZTE"/>
    <n v="3"/>
    <n v="139"/>
    <d v="2023-10-25T00:15:00"/>
  </r>
  <r>
    <d v="2023-10-25T23:05:00"/>
    <s v="ANT-0028"/>
    <n v="83"/>
    <s v="En Cours"/>
    <x v="1"/>
    <s v=" non répertoriées"/>
    <s v=" non répertoriées"/>
    <x v="1"/>
    <s v=" non répertoriées"/>
    <n v="2"/>
    <n v="143"/>
    <d v="2023-10-26T20:09:00"/>
  </r>
  <r>
    <d v="2023-10-24T14:40:00"/>
    <s v="ANT-0869"/>
    <n v="88"/>
    <s v="Résolu"/>
    <x v="16"/>
    <n v="-8.0301989999999996"/>
    <n v="24.122495000000001"/>
    <x v="2"/>
    <s v="ZTE"/>
    <n v="3"/>
    <n v="182"/>
    <d v="2023-10-29T17:57:00"/>
  </r>
  <r>
    <d v="2023-10-22T22:22:00"/>
    <s v="ANT-0868"/>
    <n v="26"/>
    <s v="Résolu"/>
    <x v="1"/>
    <s v=" non répertoriées"/>
    <s v=" non répertoriées"/>
    <x v="1"/>
    <s v=" non répertoriées"/>
    <n v="1"/>
    <n v="26"/>
    <d v="2023-10-22T22:22:00"/>
  </r>
  <r>
    <d v="2023-10-28T02:50:00"/>
    <s v="ANT-0675"/>
    <n v="61"/>
    <s v="Non Résolu"/>
    <x v="1"/>
    <s v=" non répertoriées"/>
    <s v=" non répertoriées"/>
    <x v="1"/>
    <s v=" non répertoriées"/>
    <n v="1"/>
    <n v="61"/>
    <d v="2023-10-28T02:50:00"/>
  </r>
  <r>
    <d v="2023-10-18T12:13:00"/>
    <s v="ANT-0897"/>
    <n v="49"/>
    <s v="Résolu"/>
    <x v="1"/>
    <s v=" non répertoriées"/>
    <s v=" non répertoriées"/>
    <x v="1"/>
    <s v=" non répertoriées"/>
    <n v="3"/>
    <n v="161"/>
    <d v="2023-10-23T18:31:00"/>
  </r>
  <r>
    <d v="2023-10-31T13:52:00"/>
    <s v="ANT-0309"/>
    <n v="97"/>
    <s v="Résolu"/>
    <x v="1"/>
    <s v=" non répertoriées"/>
    <s v=" non répertoriées"/>
    <x v="1"/>
    <s v=" non répertoriées"/>
    <n v="2"/>
    <n v="166"/>
    <d v="2023-10-31T13:52:00"/>
  </r>
  <r>
    <d v="2023-10-07T15:17:00"/>
    <s v="ANT-0211"/>
    <n v="32"/>
    <s v="En Cours"/>
    <x v="13"/>
    <n v="-11.514817000000001"/>
    <n v="24.891375"/>
    <x v="3"/>
    <s v="Nokia"/>
    <n v="2"/>
    <n v="53"/>
    <d v="2023-10-19T14:09:00"/>
  </r>
  <r>
    <d v="2023-10-11T09:21:00"/>
    <s v="ANT-0531"/>
    <n v="85"/>
    <s v="Résolu"/>
    <x v="25"/>
    <n v="-4.2645619999999997"/>
    <n v="18.960726000000001"/>
    <x v="0"/>
    <s v="Huawei"/>
    <n v="2"/>
    <n v="145"/>
    <d v="2023-10-11T09:21:00"/>
  </r>
  <r>
    <d v="2023-10-18T18:08:00"/>
    <s v="ANT-0622"/>
    <n v="100"/>
    <s v="Résolu"/>
    <x v="22"/>
    <n v="-3.003879"/>
    <n v="23.633893"/>
    <x v="2"/>
    <s v="Ericsson"/>
    <n v="1"/>
    <n v="100"/>
    <d v="2023-10-18T18:08:00"/>
  </r>
  <r>
    <d v="2023-10-19T15:50:00"/>
    <s v="ANT-0522"/>
    <n v="24"/>
    <s v="Résolu"/>
    <x v="1"/>
    <s v=" non répertoriées"/>
    <s v=" non répertoriées"/>
    <x v="1"/>
    <s v=" non répertoriées"/>
    <n v="1"/>
    <n v="24"/>
    <d v="2023-10-19T15:50:00"/>
  </r>
  <r>
    <d v="2023-10-11T21:48:00"/>
    <s v="ANT-0194"/>
    <n v="57"/>
    <s v="En Cours"/>
    <x v="6"/>
    <n v="8.5490999999999998E-2"/>
    <n v="26.296129000000001"/>
    <x v="3"/>
    <s v="ZTE"/>
    <n v="2"/>
    <n v="119"/>
    <d v="2023-10-11T21:48:00"/>
  </r>
  <r>
    <d v="2023-10-02T01:06:00"/>
    <s v="ANT-0766"/>
    <n v="83"/>
    <s v="Non Résolu"/>
    <x v="1"/>
    <s v=" non répertoriées"/>
    <s v=" non répertoriées"/>
    <x v="1"/>
    <s v=" non répertoriées"/>
    <n v="3"/>
    <n v="195"/>
    <d v="2023-10-24T02:27:00"/>
  </r>
  <r>
    <d v="2023-10-21T14:01:00"/>
    <s v="ANT-0402"/>
    <n v="92"/>
    <s v="En Cours"/>
    <x v="6"/>
    <n v="-11.588665000000001"/>
    <n v="15.241552"/>
    <x v="0"/>
    <s v="Nokia"/>
    <n v="1"/>
    <n v="92"/>
    <d v="2023-10-21T14:01:00"/>
  </r>
  <r>
    <d v="2023-10-04T05:28:00"/>
    <s v="ANT-0303"/>
    <n v="61"/>
    <s v="Non Résolu"/>
    <x v="1"/>
    <s v=" non répertoriées"/>
    <s v=" non répertoriées"/>
    <x v="1"/>
    <s v=" non répertoriées"/>
    <n v="2"/>
    <n v="176"/>
    <d v="2023-10-04T05:28:00"/>
  </r>
  <r>
    <d v="2023-10-15T00:27:00"/>
    <s v="ANT-0662"/>
    <n v="115"/>
    <s v="Non Résolu"/>
    <x v="6"/>
    <n v="-1.342476"/>
    <n v="15.986086"/>
    <x v="0"/>
    <s v="Ericsson"/>
    <n v="4"/>
    <n v="352"/>
    <d v="2023-10-30T17:21:00"/>
  </r>
  <r>
    <d v="2023-10-07T22:58:00"/>
    <s v="ANT-0056"/>
    <n v="32"/>
    <s v="Non Résolu"/>
    <x v="24"/>
    <n v="-9.3652280000000001"/>
    <n v="18.674116000000001"/>
    <x v="0"/>
    <s v="Huawei"/>
    <n v="4"/>
    <n v="177"/>
    <d v="2023-10-25T23:36:00"/>
  </r>
  <r>
    <d v="2023-10-05T20:19:00"/>
    <s v="ANT-0803"/>
    <n v="16"/>
    <s v="En Cours"/>
    <x v="1"/>
    <s v=" non répertoriées"/>
    <s v=" non répertoriées"/>
    <x v="1"/>
    <s v=" non répertoriées"/>
    <n v="2"/>
    <n v="113"/>
    <d v="2023-10-22T08:09:00"/>
  </r>
  <r>
    <d v="2023-10-06T08:05:00"/>
    <s v="ANT-0920"/>
    <n v="119"/>
    <s v="En Cours"/>
    <x v="1"/>
    <s v=" non répertoriées"/>
    <s v=" non répertoriées"/>
    <x v="1"/>
    <s v=" non répertoriées"/>
    <n v="1"/>
    <n v="119"/>
    <d v="2023-10-06T08:05:00"/>
  </r>
  <r>
    <d v="2023-10-21T11:16:00"/>
    <s v="ANT-0813"/>
    <n v="17"/>
    <s v="Non Résolu"/>
    <x v="13"/>
    <n v="-1.5419050000000001"/>
    <n v="14.730632999999999"/>
    <x v="3"/>
    <s v="ZTE"/>
    <n v="2"/>
    <n v="130"/>
    <d v="2023-10-21T11:16:00"/>
  </r>
  <r>
    <d v="2023-10-03T11:42:00"/>
    <s v="ANT-0978"/>
    <n v="22"/>
    <s v="En Cours"/>
    <x v="1"/>
    <s v=" non répertoriées"/>
    <s v=" non répertoriées"/>
    <x v="1"/>
    <s v=" non répertoriées"/>
    <n v="1"/>
    <n v="22"/>
    <d v="2023-10-03T11:42:00"/>
  </r>
  <r>
    <d v="2023-10-29T20:10:00"/>
    <s v="ANT-0246"/>
    <n v="101"/>
    <s v="Résolu"/>
    <x v="1"/>
    <s v=" non répertoriées"/>
    <s v=" non répertoriées"/>
    <x v="1"/>
    <s v=" non répertoriées"/>
    <n v="3"/>
    <n v="251"/>
    <d v="2023-10-31T18:56:00"/>
  </r>
  <r>
    <d v="2023-10-02T12:40:00"/>
    <s v="ANT-0507"/>
    <n v="20"/>
    <s v="Non Résolu"/>
    <x v="20"/>
    <n v="0.45116099999999998"/>
    <n v="17.265761000000001"/>
    <x v="0"/>
    <s v="Huawei"/>
    <n v="1"/>
    <n v="20"/>
    <d v="2023-10-02T12:40:00"/>
  </r>
  <r>
    <d v="2023-10-10T23:44:00"/>
    <s v="ANT-0396"/>
    <n v="80"/>
    <s v="Non Résolu"/>
    <x v="1"/>
    <s v=" non répertoriées"/>
    <s v=" non répertoriées"/>
    <x v="1"/>
    <s v=" non répertoriées"/>
    <n v="1"/>
    <n v="80"/>
    <d v="2023-10-10T23:44:00"/>
  </r>
  <r>
    <d v="2023-10-25T07:27:00"/>
    <s v="ANT-0116"/>
    <n v="98"/>
    <s v="Non Résolu"/>
    <x v="1"/>
    <s v=" non répertoriées"/>
    <s v=" non répertoriées"/>
    <x v="1"/>
    <s v=" non répertoriées"/>
    <n v="3"/>
    <n v="235"/>
    <d v="2023-10-26T22:07:00"/>
  </r>
  <r>
    <d v="2023-10-21T02:45:00"/>
    <s v="ANT-0247"/>
    <n v="54"/>
    <s v="Non Résolu"/>
    <x v="1"/>
    <s v=" non répertoriées"/>
    <s v=" non répertoriées"/>
    <x v="1"/>
    <s v=" non répertoriées"/>
    <n v="6"/>
    <n v="330"/>
    <d v="2023-10-31T20:02:00"/>
  </r>
  <r>
    <d v="2023-10-04T00:13:00"/>
    <s v="ANT-0512"/>
    <n v="49"/>
    <s v="Résolu"/>
    <x v="1"/>
    <s v=" non répertoriées"/>
    <s v=" non répertoriées"/>
    <x v="1"/>
    <s v=" non répertoriées"/>
    <n v="2"/>
    <n v="142"/>
    <d v="2023-10-05T02:10:00"/>
  </r>
  <r>
    <d v="2023-10-16T02:08:00"/>
    <s v="ANT-0654"/>
    <n v="59"/>
    <s v="En Cours"/>
    <x v="1"/>
    <s v=" non répertoriées"/>
    <s v=" non répertoriées"/>
    <x v="1"/>
    <s v=" non répertoriées"/>
    <n v="2"/>
    <n v="156"/>
    <d v="2023-10-16T02:08:00"/>
  </r>
  <r>
    <d v="2023-10-19T07:33:00"/>
    <s v="ANT-0609"/>
    <n v="45"/>
    <s v="Résolu"/>
    <x v="1"/>
    <s v=" non répertoriées"/>
    <s v=" non répertoriées"/>
    <x v="1"/>
    <s v=" non répertoriées"/>
    <n v="2"/>
    <n v="51"/>
    <d v="2023-10-19T07:33:00"/>
  </r>
  <r>
    <d v="2023-10-22T14:00:00"/>
    <s v="ANT-0073"/>
    <n v="106"/>
    <s v="En Cours"/>
    <x v="1"/>
    <s v=" non répertoriées"/>
    <s v=" non répertoriées"/>
    <x v="1"/>
    <s v=" non répertoriées"/>
    <n v="1"/>
    <n v="106"/>
    <d v="2023-10-22T14:00:00"/>
  </r>
  <r>
    <d v="2023-10-01T22:21:00"/>
    <s v="ANT-0541"/>
    <n v="22"/>
    <s v="Résolu"/>
    <x v="1"/>
    <s v=" non répertoriées"/>
    <s v=" non répertoriées"/>
    <x v="1"/>
    <s v=" non répertoriées"/>
    <n v="2"/>
    <n v="133"/>
    <d v="2023-10-14T10:43:00"/>
  </r>
  <r>
    <d v="2023-10-27T03:55:00"/>
    <s v="ANT-0911"/>
    <n v="36"/>
    <s v="Non Résolu"/>
    <x v="1"/>
    <s v=" non répertoriées"/>
    <s v=" non répertoriées"/>
    <x v="1"/>
    <s v=" non répertoriées"/>
    <n v="1"/>
    <n v="36"/>
    <d v="2023-10-27T03:55:00"/>
  </r>
  <r>
    <d v="2023-10-14T22:08:00"/>
    <s v="ANT-0013"/>
    <n v="40"/>
    <s v="Résolu"/>
    <x v="1"/>
    <s v=" non répertoriées"/>
    <s v=" non répertoriées"/>
    <x v="1"/>
    <s v=" non répertoriées"/>
    <n v="2"/>
    <n v="66"/>
    <d v="2023-10-23T13:26:00"/>
  </r>
  <r>
    <d v="2023-10-16T02:14:00"/>
    <s v="ANT-0370"/>
    <n v="87"/>
    <s v="Résolu"/>
    <x v="19"/>
    <n v="-7.6951369999999999"/>
    <n v="13.346605"/>
    <x v="0"/>
    <s v="Ericsson"/>
    <n v="1"/>
    <n v="87"/>
    <d v="2023-10-16T02:14:00"/>
  </r>
  <r>
    <d v="2023-10-13T02:46:00"/>
    <s v="ANT-0957"/>
    <n v="15"/>
    <s v="Non Résolu"/>
    <x v="26"/>
    <n v="-7.1785899999999998"/>
    <n v="24.4404"/>
    <x v="0"/>
    <s v="Nokia"/>
    <n v="3"/>
    <n v="114"/>
    <d v="2023-10-30T16:05:00"/>
  </r>
  <r>
    <d v="2023-10-26T03:06:00"/>
    <s v="ANT-0325"/>
    <n v="36"/>
    <s v="En Cours"/>
    <x v="1"/>
    <s v=" non répertoriées"/>
    <s v=" non répertoriées"/>
    <x v="1"/>
    <s v=" non répertoriées"/>
    <n v="2"/>
    <n v="121"/>
    <d v="2023-10-26T03:06:00"/>
  </r>
  <r>
    <d v="2023-10-11T11:56:00"/>
    <s v="ANT-0136"/>
    <n v="75"/>
    <s v="En Cours"/>
    <x v="13"/>
    <n v="-9.3900009999999998"/>
    <n v="30.001517"/>
    <x v="3"/>
    <s v="Nokia"/>
    <n v="2"/>
    <n v="175"/>
    <d v="2023-10-29T00:02:00"/>
  </r>
  <r>
    <d v="2023-10-10T04:24:00"/>
    <s v="ANT-0397"/>
    <n v="81"/>
    <s v="Non Résolu"/>
    <x v="1"/>
    <s v=" non répertoriées"/>
    <s v=" non répertoriées"/>
    <x v="1"/>
    <s v=" non répertoriées"/>
    <n v="2"/>
    <n v="100"/>
    <d v="2023-10-24T13:10:00"/>
  </r>
  <r>
    <d v="2023-10-25T04:41:00"/>
    <s v="ANT-0882"/>
    <n v="81"/>
    <s v="Non Résolu"/>
    <x v="20"/>
    <n v="-1.500685"/>
    <n v="26.563376000000002"/>
    <x v="2"/>
    <s v="Nokia"/>
    <n v="1"/>
    <n v="81"/>
    <d v="2023-10-25T04:41:00"/>
  </r>
  <r>
    <d v="2023-10-24T07:03:00"/>
    <s v="ANT-0543"/>
    <n v="42"/>
    <s v="En Cours"/>
    <x v="7"/>
    <n v="-4.4958720000000003"/>
    <n v="18.514112000000001"/>
    <x v="0"/>
    <s v="Nokia"/>
    <n v="2"/>
    <n v="148"/>
    <d v="2023-10-24T07:03:00"/>
  </r>
  <r>
    <d v="2023-10-08T02:59:00"/>
    <s v="ANT-0244"/>
    <n v="77"/>
    <s v="En Cours"/>
    <x v="1"/>
    <s v=" non répertoriées"/>
    <s v=" non répertoriées"/>
    <x v="1"/>
    <s v=" non répertoriées"/>
    <n v="1"/>
    <n v="77"/>
    <d v="2023-10-08T02:59:00"/>
  </r>
  <r>
    <d v="2023-10-14T03:29:00"/>
    <s v="ANT-0430"/>
    <n v="105"/>
    <s v="Non Résolu"/>
    <x v="12"/>
    <n v="-10.939712999999999"/>
    <n v="18.276230999999999"/>
    <x v="0"/>
    <s v="ZTE"/>
    <n v="2"/>
    <n v="127"/>
    <d v="2023-10-14T03:29:00"/>
  </r>
  <r>
    <d v="2023-10-20T19:03:00"/>
    <s v="ANT-0504"/>
    <n v="43"/>
    <s v="Non Résolu"/>
    <x v="1"/>
    <s v=" non répertoriées"/>
    <s v=" non répertoriées"/>
    <x v="1"/>
    <s v=" non répertoriées"/>
    <n v="1"/>
    <n v="43"/>
    <d v="2023-10-20T19:03:00"/>
  </r>
  <r>
    <d v="2023-10-10T21:47:00"/>
    <s v="ANT-0985"/>
    <n v="99"/>
    <s v="En Cours"/>
    <x v="11"/>
    <n v="-7.6757720000000003"/>
    <n v="30.222971000000001"/>
    <x v="2"/>
    <s v="Ericsson"/>
    <n v="1"/>
    <n v="99"/>
    <d v="2023-10-10T21:47:00"/>
  </r>
  <r>
    <d v="2023-10-22T23:11:00"/>
    <s v="ANT-0062"/>
    <n v="84"/>
    <s v="En Cours"/>
    <x v="1"/>
    <s v=" non répertoriées"/>
    <s v=" non répertoriées"/>
    <x v="1"/>
    <s v=" non répertoriées"/>
    <n v="1"/>
    <n v="84"/>
    <d v="2023-10-22T23:11:00"/>
  </r>
  <r>
    <d v="2023-10-04T00:45:00"/>
    <s v="ANT-0996"/>
    <n v="36"/>
    <s v="En Cours"/>
    <x v="1"/>
    <s v=" non répertoriées"/>
    <s v=" non répertoriées"/>
    <x v="1"/>
    <s v=" non répertoriées"/>
    <n v="2"/>
    <n v="92"/>
    <d v="2023-10-17T19:01:00"/>
  </r>
  <r>
    <d v="2023-10-05T22:00:00"/>
    <s v="ANT-0146"/>
    <n v="64"/>
    <s v="En Cours"/>
    <x v="1"/>
    <s v=" non répertoriées"/>
    <s v=" non répertoriées"/>
    <x v="1"/>
    <s v=" non répertoriées"/>
    <n v="2"/>
    <n v="89"/>
    <d v="2023-10-28T10:07:00"/>
  </r>
  <r>
    <d v="2023-10-06T15:22:00"/>
    <s v="ANT-0729"/>
    <n v="52"/>
    <s v="Résolu"/>
    <x v="1"/>
    <s v=" non répertoriées"/>
    <s v=" non répertoriées"/>
    <x v="1"/>
    <s v=" non répertoriées"/>
    <n v="4"/>
    <n v="208"/>
    <d v="2023-10-17T11:01:00"/>
  </r>
  <r>
    <d v="2023-10-17T16:50:00"/>
    <s v="ANT-0287"/>
    <n v="80"/>
    <s v="Résolu"/>
    <x v="15"/>
    <n v="-11.622688999999999"/>
    <n v="18.483874"/>
    <x v="2"/>
    <s v="ZTE"/>
    <n v="2"/>
    <n v="104"/>
    <d v="2023-10-17T16:50:00"/>
  </r>
  <r>
    <d v="2023-10-27T23:16:00"/>
    <s v="ANT-0096"/>
    <n v="68"/>
    <s v="Résolu"/>
    <x v="10"/>
    <n v="3.0603760000000002"/>
    <n v="19.708034000000001"/>
    <x v="3"/>
    <s v="ZTE"/>
    <n v="2"/>
    <n v="169"/>
    <d v="2023-10-27T23:16:00"/>
  </r>
  <r>
    <d v="2023-10-06T11:08:00"/>
    <s v="ANT-0045"/>
    <n v="103"/>
    <s v="Résolu"/>
    <x v="9"/>
    <n v="-0.17258100000000001"/>
    <n v="23.775555000000001"/>
    <x v="2"/>
    <s v="Nokia"/>
    <n v="1"/>
    <n v="103"/>
    <d v="2023-10-06T11:08:00"/>
  </r>
  <r>
    <d v="2023-10-24T08:46:00"/>
    <s v="ANT-0944"/>
    <n v="104"/>
    <s v="Non Résolu"/>
    <x v="1"/>
    <s v=" non répertoriées"/>
    <s v=" non répertoriées"/>
    <x v="1"/>
    <s v=" non répertoriées"/>
    <n v="1"/>
    <n v="104"/>
    <d v="2023-10-24T08:46:00"/>
  </r>
  <r>
    <d v="2023-10-29T03:49:00"/>
    <s v="ANT-0238"/>
    <n v="30"/>
    <s v="Résolu"/>
    <x v="12"/>
    <n v="0.62055499999999997"/>
    <n v="21.222035000000002"/>
    <x v="2"/>
    <s v="Nokia"/>
    <n v="2"/>
    <n v="110"/>
    <d v="2023-10-31T09:49:00"/>
  </r>
  <r>
    <d v="2023-10-29T00:21:00"/>
    <s v="ANT-0919"/>
    <n v="98"/>
    <s v="Résolu"/>
    <x v="1"/>
    <s v=" non répertoriées"/>
    <s v=" non répertoriées"/>
    <x v="1"/>
    <s v=" non répertoriées"/>
    <n v="2"/>
    <n v="213"/>
    <d v="2023-10-29T00:21:00"/>
  </r>
  <r>
    <d v="2023-10-26T13:17:00"/>
    <s v="ANT-0866"/>
    <n v="120"/>
    <s v="Résolu"/>
    <x v="1"/>
    <s v=" non répertoriées"/>
    <s v=" non répertoriées"/>
    <x v="1"/>
    <s v=" non répertoriées"/>
    <n v="2"/>
    <n v="240"/>
    <d v="2023-10-26T13:17:00"/>
  </r>
  <r>
    <d v="2023-10-17T02:16:00"/>
    <s v="ANT-0533"/>
    <n v="74"/>
    <s v="Résolu"/>
    <x v="5"/>
    <n v="4.8265669999999998"/>
    <n v="28.535277000000001"/>
    <x v="3"/>
    <s v="Huawei"/>
    <n v="2"/>
    <n v="162"/>
    <d v="2023-10-17T02:16:00"/>
  </r>
  <r>
    <d v="2023-10-23T18:40:00"/>
    <s v="ANT-0423"/>
    <n v="102"/>
    <s v="En Cours"/>
    <x v="26"/>
    <n v="-1.3938550000000001"/>
    <n v="15.097554000000001"/>
    <x v="0"/>
    <s v="Huawei"/>
    <n v="2"/>
    <n v="167"/>
    <d v="2023-10-23T18:40:00"/>
  </r>
  <r>
    <d v="2023-10-03T15:29:00"/>
    <s v="ANT-0718"/>
    <n v="106"/>
    <s v="En Cours"/>
    <x v="2"/>
    <n v="1.981107"/>
    <n v="23.932569000000001"/>
    <x v="3"/>
    <s v="Nokia"/>
    <n v="3"/>
    <n v="295"/>
    <d v="2023-10-31T00:57:00"/>
  </r>
  <r>
    <d v="2023-10-17T11:03:00"/>
    <s v="ANT-0918"/>
    <n v="36"/>
    <s v="En Cours"/>
    <x v="9"/>
    <n v="-11.231472"/>
    <n v="25.388874000000001"/>
    <x v="0"/>
    <s v="Huawei"/>
    <n v="1"/>
    <n v="36"/>
    <d v="2023-10-17T11:03:00"/>
  </r>
  <r>
    <d v="2023-10-16T18:10:00"/>
    <s v="ANT-0382"/>
    <n v="24"/>
    <s v="En Cours"/>
    <x v="1"/>
    <s v=" non répertoriées"/>
    <s v=" non répertoriées"/>
    <x v="1"/>
    <s v=" non répertoriées"/>
    <n v="1"/>
    <n v="24"/>
    <d v="2023-10-16T18:10:00"/>
  </r>
  <r>
    <d v="2023-10-12T05:16:00"/>
    <s v="ANT-0470"/>
    <n v="5"/>
    <s v="Résolu"/>
    <x v="9"/>
    <n v="-8.9586360000000003"/>
    <n v="17.157720000000001"/>
    <x v="3"/>
    <s v="Nokia"/>
    <n v="1"/>
    <n v="5"/>
    <d v="2023-10-12T05:16:00"/>
  </r>
  <r>
    <d v="2023-10-25T03:57:00"/>
    <s v="ANT-0998"/>
    <n v="57"/>
    <s v="Non Résolu"/>
    <x v="1"/>
    <s v=" non répertoriées"/>
    <s v=" non répertoriées"/>
    <x v="1"/>
    <s v=" non répertoriées"/>
    <n v="1"/>
    <n v="57"/>
    <d v="2023-10-25T03:57:00"/>
  </r>
  <r>
    <d v="2023-10-19T21:46:00"/>
    <s v="ANT-0766"/>
    <n v="8"/>
    <s v="En Cours"/>
    <x v="1"/>
    <s v=" non répertoriées"/>
    <s v=" non répertoriées"/>
    <x v="1"/>
    <s v=" non répertoriées"/>
    <n v="3"/>
    <n v="195"/>
    <d v="2023-10-24T02:27:00"/>
  </r>
  <r>
    <d v="2023-10-04T07:47:00"/>
    <s v="ANT-0087"/>
    <n v="34"/>
    <s v="Résolu"/>
    <x v="1"/>
    <s v=" non répertoriées"/>
    <s v=" non répertoriées"/>
    <x v="1"/>
    <s v=" non répertoriées"/>
    <n v="1"/>
    <n v="34"/>
    <d v="2023-10-04T07:47:00"/>
  </r>
  <r>
    <d v="2023-10-17T00:02:00"/>
    <s v="ANT-0595"/>
    <n v="74"/>
    <s v="En Cours"/>
    <x v="1"/>
    <s v=" non répertoriées"/>
    <s v=" non répertoriées"/>
    <x v="1"/>
    <s v=" non répertoriées"/>
    <n v="2"/>
    <n v="131"/>
    <d v="2023-10-17T00:02:00"/>
  </r>
  <r>
    <d v="2023-10-28T00:15:00"/>
    <s v="ANT-0098"/>
    <n v="49"/>
    <s v="En Cours"/>
    <x v="1"/>
    <s v=" non répertoriées"/>
    <s v=" non répertoriées"/>
    <x v="1"/>
    <s v=" non répertoriées"/>
    <n v="1"/>
    <n v="49"/>
    <d v="2023-10-28T00:15:00"/>
  </r>
  <r>
    <d v="2023-10-02T15:23:00"/>
    <s v="ANT-0518"/>
    <n v="86"/>
    <s v="En Cours"/>
    <x v="1"/>
    <s v=" non répertoriées"/>
    <s v=" non répertoriées"/>
    <x v="1"/>
    <s v=" non répertoriées"/>
    <n v="3"/>
    <n v="205"/>
    <d v="2023-10-09T04:08:00"/>
  </r>
  <r>
    <d v="2023-10-13T04:11:00"/>
    <s v="ANT-0137"/>
    <n v="112"/>
    <s v="En Cours"/>
    <x v="1"/>
    <s v=" non répertoriées"/>
    <s v=" non répertoriées"/>
    <x v="1"/>
    <s v=" non répertoriées"/>
    <n v="1"/>
    <n v="112"/>
    <d v="2023-10-13T04:11:00"/>
  </r>
  <r>
    <d v="2023-10-30T01:35:00"/>
    <s v="ANT-0653"/>
    <n v="93"/>
    <s v="Résolu"/>
    <x v="9"/>
    <n v="0.82868600000000003"/>
    <n v="26.958843999999999"/>
    <x v="2"/>
    <s v="ZTE"/>
    <n v="5"/>
    <n v="385"/>
    <d v="2023-10-30T01:35:00"/>
  </r>
  <r>
    <d v="2023-10-26T22:47:00"/>
    <s v="ANT-0840"/>
    <n v="117"/>
    <s v="Résolu"/>
    <x v="1"/>
    <s v=" non répertoriées"/>
    <s v=" non répertoriées"/>
    <x v="1"/>
    <s v=" non répertoriées"/>
    <n v="1"/>
    <n v="117"/>
    <d v="2023-10-26T22:47:00"/>
  </r>
  <r>
    <d v="2023-10-21T13:14:00"/>
    <s v="ANT-0404"/>
    <n v="6"/>
    <s v="Résolu"/>
    <x v="1"/>
    <s v=" non répertoriées"/>
    <s v=" non répertoriées"/>
    <x v="1"/>
    <s v=" non répertoriées"/>
    <n v="1"/>
    <n v="6"/>
    <d v="2023-10-21T13:14:00"/>
  </r>
  <r>
    <d v="2023-10-11T07:26:00"/>
    <s v="ANT-0077"/>
    <n v="47"/>
    <s v="Non Résolu"/>
    <x v="1"/>
    <s v=" non répertoriées"/>
    <s v=" non répertoriées"/>
    <x v="1"/>
    <s v=" non répertoriées"/>
    <n v="2"/>
    <n v="154"/>
    <d v="2023-10-13T15:02:00"/>
  </r>
  <r>
    <d v="2023-10-30T23:20:00"/>
    <s v="ANT-0607"/>
    <n v="5"/>
    <s v="En Cours"/>
    <x v="6"/>
    <n v="-8.4985189999999999"/>
    <n v="12.929456999999999"/>
    <x v="0"/>
    <s v="Ericsson"/>
    <n v="3"/>
    <n v="139"/>
    <d v="2023-10-30T23:20:00"/>
  </r>
  <r>
    <d v="2023-10-09T02:36:00"/>
    <s v="ANT-0582"/>
    <n v="102"/>
    <s v="Non Résolu"/>
    <x v="13"/>
    <n v="-1.4700059999999999"/>
    <n v="18.680958"/>
    <x v="3"/>
    <s v="Huawei"/>
    <n v="2"/>
    <n v="181"/>
    <d v="2023-10-21T14:51:00"/>
  </r>
  <r>
    <d v="2023-10-12T03:32:00"/>
    <s v="ANT-0064"/>
    <n v="89"/>
    <s v="Non Résolu"/>
    <x v="1"/>
    <s v=" non répertoriées"/>
    <s v=" non répertoriées"/>
    <x v="1"/>
    <s v=" non répertoriées"/>
    <n v="2"/>
    <n v="94"/>
    <d v="2023-10-12T03:32:00"/>
  </r>
  <r>
    <d v="2023-10-22T01:11:00"/>
    <s v="ANT-0446"/>
    <n v="53"/>
    <s v="Non Résolu"/>
    <x v="16"/>
    <n v="1.286548"/>
    <n v="29.823702999999998"/>
    <x v="0"/>
    <s v="ZTE"/>
    <n v="2"/>
    <n v="146"/>
    <d v="2023-10-22T01:11:00"/>
  </r>
  <r>
    <d v="2023-10-08T16:02:00"/>
    <s v="ANT-0679"/>
    <n v="113"/>
    <s v="Résolu"/>
    <x v="2"/>
    <n v="-7.1587569999999996"/>
    <n v="18.975141000000001"/>
    <x v="2"/>
    <s v="Ericsson"/>
    <n v="3"/>
    <n v="266"/>
    <d v="2023-10-20T13:40:00"/>
  </r>
  <r>
    <d v="2023-10-31T12:04:00"/>
    <s v="ANT-0988"/>
    <n v="99"/>
    <s v="Résolu"/>
    <x v="14"/>
    <n v="-5.7200150000000001"/>
    <n v="25.022109"/>
    <x v="2"/>
    <s v="ZTE"/>
    <n v="3"/>
    <n v="236"/>
    <d v="2023-10-31T12:04:00"/>
  </r>
  <r>
    <d v="2023-10-29T14:55:00"/>
    <s v="ANT-0134"/>
    <n v="98"/>
    <s v="En Cours"/>
    <x v="4"/>
    <n v="-10.963041"/>
    <n v="12.269857"/>
    <x v="0"/>
    <s v="Huawei"/>
    <n v="3"/>
    <n v="199"/>
    <d v="2023-10-29T14:55:00"/>
  </r>
  <r>
    <d v="2023-10-10T09:20:00"/>
    <s v="ANT-0243"/>
    <n v="44"/>
    <s v="Résolu"/>
    <x v="1"/>
    <s v=" non répertoriées"/>
    <s v=" non répertoriées"/>
    <x v="1"/>
    <s v=" non répertoriées"/>
    <n v="1"/>
    <n v="44"/>
    <d v="2023-10-10T09:20:00"/>
  </r>
  <r>
    <d v="2023-10-03T17:29:00"/>
    <s v="ANT-0299"/>
    <n v="18"/>
    <s v="Résolu"/>
    <x v="1"/>
    <s v=" non répertoriées"/>
    <s v=" non répertoriées"/>
    <x v="1"/>
    <s v=" non répertoriées"/>
    <n v="2"/>
    <n v="100"/>
    <d v="2023-10-12T17:05:00"/>
  </r>
  <r>
    <d v="2023-10-01T11:12:00"/>
    <s v="ANT-0268"/>
    <n v="31"/>
    <s v="Non Résolu"/>
    <x v="5"/>
    <n v="-9.5619429999999994"/>
    <n v="21.445726000000001"/>
    <x v="0"/>
    <s v="Nokia"/>
    <n v="2"/>
    <n v="126"/>
    <d v="2023-10-02T07:02:00"/>
  </r>
  <r>
    <d v="2023-10-26T13:17:00"/>
    <s v="ANT-0866"/>
    <n v="120"/>
    <s v="Résolu"/>
    <x v="1"/>
    <s v=" non répertoriées"/>
    <s v=" non répertoriées"/>
    <x v="1"/>
    <s v=" non répertoriées"/>
    <n v="2"/>
    <n v="240"/>
    <d v="2023-10-26T13:17:00"/>
  </r>
  <r>
    <d v="2023-10-27T05:01:00"/>
    <s v="ANT-0607"/>
    <n v="81"/>
    <s v="En Cours"/>
    <x v="6"/>
    <n v="-8.4985189999999999"/>
    <n v="12.929456999999999"/>
    <x v="0"/>
    <s v="Ericsson"/>
    <n v="3"/>
    <n v="139"/>
    <d v="2023-10-30T23:20:00"/>
  </r>
  <r>
    <d v="2023-10-31T12:54:00"/>
    <s v="ANT-0326"/>
    <n v="33"/>
    <s v="Non Résolu"/>
    <x v="1"/>
    <s v=" non répertoriées"/>
    <s v=" non répertoriées"/>
    <x v="1"/>
    <s v=" non répertoriées"/>
    <n v="2"/>
    <n v="75"/>
    <d v="2023-10-31T12:54:00"/>
  </r>
  <r>
    <d v="2023-10-15T17:47:00"/>
    <s v="ANT-0826"/>
    <n v="8"/>
    <s v="Résolu"/>
    <x v="9"/>
    <n v="-10.846306999999999"/>
    <n v="19.201827999999999"/>
    <x v="0"/>
    <s v="Ericsson"/>
    <n v="3"/>
    <n v="121"/>
    <d v="2023-10-24T06:03:00"/>
  </r>
  <r>
    <d v="2023-10-18T07:06:00"/>
    <s v="ANT-0756"/>
    <n v="119"/>
    <s v="Résolu"/>
    <x v="1"/>
    <s v=" non répertoriées"/>
    <s v=" non répertoriées"/>
    <x v="1"/>
    <s v=" non répertoriées"/>
    <n v="1"/>
    <n v="119"/>
    <d v="2023-10-18T07:06:00"/>
  </r>
  <r>
    <d v="2023-10-15T03:51:00"/>
    <s v="ANT-0715"/>
    <n v="108"/>
    <s v="En Cours"/>
    <x v="19"/>
    <n v="-11.407966"/>
    <n v="28.378274000000001"/>
    <x v="0"/>
    <s v="ZTE"/>
    <n v="2"/>
    <n v="226"/>
    <d v="2023-10-15T03:51:00"/>
  </r>
  <r>
    <d v="2023-10-26T04:07:00"/>
    <s v="ANT-0368"/>
    <n v="104"/>
    <s v="Non Résolu"/>
    <x v="2"/>
    <n v="1.2463919999999999"/>
    <n v="13.266916999999999"/>
    <x v="2"/>
    <s v="Huawei"/>
    <n v="1"/>
    <n v="104"/>
    <d v="2023-10-26T04:07:00"/>
  </r>
  <r>
    <d v="2023-10-01T01:53:00"/>
    <s v="ANT-0936"/>
    <n v="40"/>
    <s v="Résolu"/>
    <x v="11"/>
    <n v="-10.165072"/>
    <n v="29.428024000000001"/>
    <x v="2"/>
    <s v="Huawei"/>
    <n v="3"/>
    <n v="160"/>
    <d v="2023-10-26T14:57:00"/>
  </r>
  <r>
    <d v="2023-10-25T07:08:00"/>
    <s v="ANT-0606"/>
    <n v="12"/>
    <s v="En Cours"/>
    <x v="1"/>
    <s v=" non répertoriées"/>
    <s v=" non répertoriées"/>
    <x v="1"/>
    <s v=" non répertoriées"/>
    <n v="1"/>
    <n v="12"/>
    <d v="2023-10-25T07:08:00"/>
  </r>
  <r>
    <d v="2023-10-07T12:23:00"/>
    <s v="ANT-0029"/>
    <n v="108"/>
    <s v="Résolu"/>
    <x v="21"/>
    <n v="-10.227569000000001"/>
    <n v="18.887930999999998"/>
    <x v="3"/>
    <s v="ZTE"/>
    <n v="1"/>
    <n v="108"/>
    <d v="2023-10-07T12:23:00"/>
  </r>
  <r>
    <d v="2023-10-22T20:41:00"/>
    <s v="ANT-0721"/>
    <n v="65"/>
    <s v="Résolu"/>
    <x v="0"/>
    <n v="-3.9148719999999999"/>
    <n v="12.260933"/>
    <x v="0"/>
    <s v="Ericsson"/>
    <n v="1"/>
    <n v="65"/>
    <d v="2023-10-22T20:41:00"/>
  </r>
  <r>
    <d v="2023-10-03T18:37:00"/>
    <s v="ANT-0718"/>
    <n v="72"/>
    <s v="Résolu"/>
    <x v="2"/>
    <n v="1.981107"/>
    <n v="23.932569000000001"/>
    <x v="3"/>
    <s v="Nokia"/>
    <n v="3"/>
    <n v="295"/>
    <d v="2023-10-31T00:57:00"/>
  </r>
  <r>
    <d v="2023-10-09T02:01:00"/>
    <s v="ANT-0361"/>
    <n v="50"/>
    <s v="Non Résolu"/>
    <x v="1"/>
    <s v=" non répertoriées"/>
    <s v=" non répertoriées"/>
    <x v="1"/>
    <s v=" non répertoriées"/>
    <n v="1"/>
    <n v="50"/>
    <d v="2023-10-09T02:01:00"/>
  </r>
  <r>
    <d v="2023-10-03T06:57:00"/>
    <s v="ANT-0971"/>
    <n v="103"/>
    <s v="Non Résolu"/>
    <x v="1"/>
    <s v=" non répertoriées"/>
    <s v=" non répertoriées"/>
    <x v="1"/>
    <s v=" non répertoriées"/>
    <n v="4"/>
    <n v="347"/>
    <d v="2023-10-18T19:39:00"/>
  </r>
  <r>
    <d v="2023-10-21T14:51:00"/>
    <s v="ANT-0582"/>
    <n v="79"/>
    <s v="Résolu"/>
    <x v="13"/>
    <n v="-1.4700059999999999"/>
    <n v="18.680958"/>
    <x v="3"/>
    <s v="Huawei"/>
    <n v="2"/>
    <n v="181"/>
    <d v="2023-10-21T14:51:00"/>
  </r>
  <r>
    <d v="2023-10-05T02:57:00"/>
    <s v="ANT-0578"/>
    <n v="34"/>
    <s v="Résolu"/>
    <x v="14"/>
    <n v="-6.1490739999999997"/>
    <n v="23.304411000000002"/>
    <x v="2"/>
    <s v="ZTE"/>
    <n v="3"/>
    <n v="197"/>
    <d v="2023-10-15T15:14:00"/>
  </r>
  <r>
    <d v="2023-10-28T10:07:00"/>
    <s v="ANT-0146"/>
    <n v="25"/>
    <s v="Non Résolu"/>
    <x v="1"/>
    <s v=" non répertoriées"/>
    <s v=" non répertoriées"/>
    <x v="1"/>
    <s v=" non répertoriées"/>
    <n v="2"/>
    <n v="89"/>
    <d v="2023-10-28T10:07:00"/>
  </r>
  <r>
    <d v="2023-10-02T14:03:00"/>
    <s v="ANT-0577"/>
    <n v="17"/>
    <s v="En Cours"/>
    <x v="1"/>
    <s v=" non répertoriées"/>
    <s v=" non répertoriées"/>
    <x v="1"/>
    <s v=" non répertoriées"/>
    <n v="1"/>
    <n v="17"/>
    <d v="2023-10-02T14:03:00"/>
  </r>
  <r>
    <d v="2023-10-06T18:27:00"/>
    <s v="ANT-0972"/>
    <n v="36"/>
    <s v="Résolu"/>
    <x v="2"/>
    <n v="-0.469945"/>
    <n v="21.038527999999999"/>
    <x v="3"/>
    <s v="Ericsson"/>
    <n v="1"/>
    <n v="36"/>
    <d v="2023-10-06T18:27:00"/>
  </r>
  <r>
    <d v="2023-10-27T23:25:00"/>
    <s v="ANT-0193"/>
    <n v="89"/>
    <s v="En Cours"/>
    <x v="1"/>
    <s v=" non répertoriées"/>
    <s v=" non répertoriées"/>
    <x v="1"/>
    <s v=" non répertoriées"/>
    <n v="3"/>
    <n v="217"/>
    <d v="2023-10-27T23:25:00"/>
  </r>
  <r>
    <d v="2023-10-16T00:24:00"/>
    <s v="ANT-0857"/>
    <n v="35"/>
    <s v="Non Résolu"/>
    <x v="1"/>
    <s v=" non répertoriées"/>
    <s v=" non répertoriées"/>
    <x v="1"/>
    <s v=" non répertoriées"/>
    <n v="1"/>
    <n v="35"/>
    <d v="2023-10-16T00:24:00"/>
  </r>
  <r>
    <d v="2023-10-22T13:11:00"/>
    <s v="ANT-0830"/>
    <n v="39"/>
    <s v="Non Résolu"/>
    <x v="1"/>
    <s v=" non répertoriées"/>
    <s v=" non répertoriées"/>
    <x v="1"/>
    <s v=" non répertoriées"/>
    <n v="1"/>
    <n v="39"/>
    <d v="2023-10-22T13:11:00"/>
  </r>
  <r>
    <d v="2023-10-12T06:58:00"/>
    <s v="ANT-0903"/>
    <n v="73"/>
    <s v="En Cours"/>
    <x v="1"/>
    <s v=" non répertoriées"/>
    <s v=" non répertoriées"/>
    <x v="1"/>
    <s v=" non répertoriées"/>
    <n v="2"/>
    <n v="147"/>
    <d v="2023-10-12T06:58:00"/>
  </r>
  <r>
    <d v="2023-10-06T08:17:00"/>
    <s v="ANT-0994"/>
    <n v="109"/>
    <s v="Non Résolu"/>
    <x v="5"/>
    <n v="-2.2681789999999999"/>
    <n v="25.699068"/>
    <x v="3"/>
    <s v="ZTE"/>
    <n v="2"/>
    <n v="219"/>
    <d v="2023-10-27T02:25:00"/>
  </r>
  <r>
    <d v="2023-10-15T04:02:00"/>
    <s v="ANT-0505"/>
    <n v="106"/>
    <s v="Résolu"/>
    <x v="13"/>
    <n v="-11.207139"/>
    <n v="18.702511999999999"/>
    <x v="2"/>
    <s v="Ericsson"/>
    <n v="1"/>
    <n v="106"/>
    <d v="2023-10-15T04:02:00"/>
  </r>
  <r>
    <d v="2023-10-20T19:39:00"/>
    <s v="ANT-0556"/>
    <n v="99"/>
    <s v="En Cours"/>
    <x v="1"/>
    <s v=" non répertoriées"/>
    <s v=" non répertoriées"/>
    <x v="1"/>
    <s v=" non répertoriées"/>
    <n v="3"/>
    <n v="254"/>
    <d v="2023-10-20T19:39:00"/>
  </r>
  <r>
    <d v="2023-10-08T20:18:00"/>
    <s v="ANT-0317"/>
    <n v="12"/>
    <s v="En Cours"/>
    <x v="1"/>
    <s v=" non répertoriées"/>
    <s v=" non répertoriées"/>
    <x v="1"/>
    <s v=" non répertoriées"/>
    <n v="2"/>
    <n v="54"/>
    <d v="2023-10-24T04:26:00"/>
  </r>
  <r>
    <d v="2023-10-16T13:56:00"/>
    <s v="ANT-0180"/>
    <n v="102"/>
    <s v="En Cours"/>
    <x v="10"/>
    <n v="2.4425979999999998"/>
    <n v="24.924308"/>
    <x v="2"/>
    <s v="Ericsson"/>
    <n v="2"/>
    <n v="113"/>
    <d v="2023-10-28T03:28:00"/>
  </r>
  <r>
    <d v="2023-10-18T15:03:00"/>
    <s v="ANT-0503"/>
    <n v="33"/>
    <s v="Résolu"/>
    <x v="22"/>
    <n v="-1.8045979999999999"/>
    <n v="12.511096999999999"/>
    <x v="3"/>
    <s v="Huawei"/>
    <n v="4"/>
    <n v="211"/>
    <d v="2023-10-29T13:51:00"/>
  </r>
  <r>
    <d v="2023-10-03T08:24:00"/>
    <s v="ANT-0039"/>
    <n v="78"/>
    <s v="Résolu"/>
    <x v="19"/>
    <n v="4.0988100000000003"/>
    <n v="29.843810999999999"/>
    <x v="3"/>
    <s v="Huawei"/>
    <n v="1"/>
    <n v="78"/>
    <d v="2023-10-03T08:24:00"/>
  </r>
  <r>
    <d v="2023-10-05T13:12:00"/>
    <s v="ANT-0093"/>
    <n v="113"/>
    <s v="Non Résolu"/>
    <x v="2"/>
    <n v="2.975352"/>
    <n v="22.535886000000001"/>
    <x v="0"/>
    <s v="Huawei"/>
    <n v="3"/>
    <n v="140"/>
    <d v="2023-10-23T15:55:00"/>
  </r>
  <r>
    <d v="2023-10-21T16:15:00"/>
    <s v="ANT-0058"/>
    <n v="107"/>
    <s v="En Cours"/>
    <x v="10"/>
    <n v="-6.4670189999999996"/>
    <n v="29.487309"/>
    <x v="0"/>
    <s v="ZTE"/>
    <n v="1"/>
    <n v="107"/>
    <d v="2023-10-21T16:15:00"/>
  </r>
  <r>
    <d v="2023-10-21T17:50:00"/>
    <s v="ANT-0239"/>
    <n v="54"/>
    <s v="Non Résolu"/>
    <x v="9"/>
    <n v="-5.42171"/>
    <n v="24.202960999999998"/>
    <x v="2"/>
    <s v="Ericsson"/>
    <n v="2"/>
    <n v="94"/>
    <d v="2023-10-21T17:50:00"/>
  </r>
  <r>
    <d v="2023-10-01T12:50:00"/>
    <s v="ANT-0617"/>
    <n v="50"/>
    <s v="En Cours"/>
    <x v="15"/>
    <n v="-7.7587710000000003"/>
    <n v="17.880848"/>
    <x v="3"/>
    <s v="Ericsson"/>
    <n v="1"/>
    <n v="50"/>
    <d v="2023-10-01T12:50:00"/>
  </r>
  <r>
    <d v="2023-10-23T11:30:00"/>
    <s v="ANT-0225"/>
    <n v="112"/>
    <s v="Non Résolu"/>
    <x v="22"/>
    <n v="-8.8118569999999998"/>
    <n v="14.465711000000001"/>
    <x v="2"/>
    <s v="Nokia"/>
    <n v="1"/>
    <n v="112"/>
    <d v="2023-10-23T11:30:00"/>
  </r>
  <r>
    <d v="2023-10-18T15:22:00"/>
    <s v="ANT-0021"/>
    <n v="113"/>
    <s v="En Cours"/>
    <x v="1"/>
    <s v=" non répertoriées"/>
    <s v=" non répertoriées"/>
    <x v="1"/>
    <s v=" non répertoriées"/>
    <n v="2"/>
    <n v="161"/>
    <d v="2023-10-21T02:14:00"/>
  </r>
  <r>
    <d v="2023-10-30T18:32:00"/>
    <s v="ANT-0540"/>
    <n v="27"/>
    <s v="Résolu"/>
    <x v="1"/>
    <s v=" non répertoriées"/>
    <s v=" non répertoriées"/>
    <x v="1"/>
    <s v=" non répertoriées"/>
    <n v="2"/>
    <n v="49"/>
    <d v="2023-10-30T18:32:00"/>
  </r>
  <r>
    <d v="2023-10-11T12:17:00"/>
    <s v="ANT-0490"/>
    <n v="27"/>
    <s v="Non Résolu"/>
    <x v="1"/>
    <s v=" non répertoriées"/>
    <s v=" non répertoriées"/>
    <x v="1"/>
    <s v=" non répertoriées"/>
    <n v="1"/>
    <n v="27"/>
    <d v="2023-10-11T12:17:00"/>
  </r>
  <r>
    <d v="2023-10-06T00:20:00"/>
    <s v="ANT-0001"/>
    <n v="35"/>
    <s v="Non Résolu"/>
    <x v="6"/>
    <n v="-8.1437910000000002"/>
    <n v="28.946161"/>
    <x v="0"/>
    <s v="ZTE"/>
    <n v="3"/>
    <n v="136"/>
    <d v="2023-10-12T06:42:00"/>
  </r>
  <r>
    <d v="2023-10-27T05:24:00"/>
    <s v="ANT-0276"/>
    <n v="11"/>
    <s v="Non Résolu"/>
    <x v="17"/>
    <n v="-0.157111"/>
    <n v="25.415125"/>
    <x v="0"/>
    <s v="Ericsson"/>
    <n v="1"/>
    <n v="11"/>
    <d v="2023-10-27T05:24:00"/>
  </r>
  <r>
    <d v="2023-10-10T23:44:00"/>
    <s v="ANT-0578"/>
    <n v="51"/>
    <s v="Non Résolu"/>
    <x v="14"/>
    <n v="-6.1490739999999997"/>
    <n v="23.304411000000002"/>
    <x v="2"/>
    <s v="ZTE"/>
    <n v="3"/>
    <n v="197"/>
    <d v="2023-10-15T15:14:00"/>
  </r>
  <r>
    <d v="2023-10-10T04:11:00"/>
    <s v="ANT-0064"/>
    <n v="5"/>
    <s v="Résolu"/>
    <x v="1"/>
    <s v=" non répertoriées"/>
    <s v=" non répertoriées"/>
    <x v="1"/>
    <s v=" non répertoriées"/>
    <n v="2"/>
    <n v="94"/>
    <d v="2023-10-12T03:32:00"/>
  </r>
  <r>
    <d v="2023-10-24T00:44:00"/>
    <s v="ANT-0155"/>
    <n v="59"/>
    <s v="Résolu"/>
    <x v="1"/>
    <s v=" non répertoriées"/>
    <s v=" non répertoriées"/>
    <x v="1"/>
    <s v=" non répertoriées"/>
    <n v="1"/>
    <n v="59"/>
    <d v="2023-10-24T00:44:00"/>
  </r>
  <r>
    <d v="2023-10-31T18:25:00"/>
    <s v="ANT-0771"/>
    <n v="16"/>
    <s v="En Cours"/>
    <x v="1"/>
    <s v=" non répertoriées"/>
    <s v=" non répertoriées"/>
    <x v="1"/>
    <s v=" non répertoriées"/>
    <n v="1"/>
    <n v="16"/>
    <d v="2023-10-31T18:25:00"/>
  </r>
  <r>
    <d v="2023-10-28T18:02:00"/>
    <s v="ANT-0714"/>
    <n v="42"/>
    <s v="Résolu"/>
    <x v="8"/>
    <n v="-12.050063"/>
    <n v="26.636987999999999"/>
    <x v="3"/>
    <s v="Nokia"/>
    <n v="2"/>
    <n v="128"/>
    <d v="2023-10-28T18:02:00"/>
  </r>
  <r>
    <d v="2023-10-06T19:20:00"/>
    <s v="ANT-0684"/>
    <n v="110"/>
    <s v="Résolu"/>
    <x v="1"/>
    <s v=" non répertoriées"/>
    <s v=" non répertoriées"/>
    <x v="1"/>
    <s v=" non répertoriées"/>
    <n v="1"/>
    <n v="110"/>
    <d v="2023-10-06T19:20:00"/>
  </r>
  <r>
    <d v="2023-10-30T19:14:00"/>
    <s v="ANT-0100"/>
    <n v="89"/>
    <s v="Résolu"/>
    <x v="1"/>
    <s v=" non répertoriées"/>
    <s v=" non répertoriées"/>
    <x v="1"/>
    <s v=" non répertoriées"/>
    <n v="3"/>
    <n v="211"/>
    <d v="2023-10-30T19:14:00"/>
  </r>
  <r>
    <d v="2023-10-21T18:06:00"/>
    <s v="ANT-0088"/>
    <n v="85"/>
    <s v="Résolu"/>
    <x v="16"/>
    <n v="-9.7803979999999999"/>
    <n v="17.686595000000001"/>
    <x v="0"/>
    <s v="Ericsson"/>
    <n v="2"/>
    <n v="151"/>
    <d v="2023-10-21T18:06:00"/>
  </r>
  <r>
    <d v="2023-10-30T15:09:00"/>
    <s v="ANT-0685"/>
    <n v="81"/>
    <s v="Résolu"/>
    <x v="15"/>
    <n v="-10.574821"/>
    <n v="25.324966"/>
    <x v="2"/>
    <s v="Ericsson"/>
    <n v="1"/>
    <n v="81"/>
    <d v="2023-10-30T15:09:00"/>
  </r>
  <r>
    <d v="2023-10-11T23:04:00"/>
    <s v="ANT-0353"/>
    <n v="66"/>
    <s v="Résolu"/>
    <x v="21"/>
    <n v="-11.991020000000001"/>
    <n v="22.514747"/>
    <x v="2"/>
    <s v="ZTE"/>
    <n v="2"/>
    <n v="98"/>
    <d v="2023-10-21T10:00:00"/>
  </r>
  <r>
    <d v="2023-10-08T11:20:00"/>
    <s v="ANT-0828"/>
    <n v="30"/>
    <s v="En Cours"/>
    <x v="1"/>
    <s v=" non répertoriées"/>
    <s v=" non répertoriées"/>
    <x v="1"/>
    <s v=" non répertoriées"/>
    <n v="1"/>
    <n v="30"/>
    <d v="2023-10-08T11:20:00"/>
  </r>
  <r>
    <d v="2023-10-06T20:56:00"/>
    <s v="ANT-0555"/>
    <n v="17"/>
    <s v="Résolu"/>
    <x v="1"/>
    <s v=" non répertoriées"/>
    <s v=" non répertoriées"/>
    <x v="1"/>
    <s v=" non répertoriées"/>
    <n v="1"/>
    <n v="17"/>
    <d v="2023-10-06T20:56:00"/>
  </r>
  <r>
    <d v="2023-10-31T02:52:00"/>
    <s v="ANT-0424"/>
    <n v="8"/>
    <s v="Non Résolu"/>
    <x v="16"/>
    <n v="-9.5243310000000001"/>
    <n v="30.541212000000002"/>
    <x v="3"/>
    <s v="Ericsson"/>
    <n v="3"/>
    <n v="126"/>
    <d v="2023-10-31T02:52:00"/>
  </r>
  <r>
    <d v="2023-10-23T21:40:00"/>
    <s v="ANT-0995"/>
    <n v="31"/>
    <s v="En Cours"/>
    <x v="17"/>
    <n v="-7.5969509999999998"/>
    <n v="22.153986"/>
    <x v="3"/>
    <s v="Ericsson"/>
    <n v="2"/>
    <n v="151"/>
    <d v="2023-10-23T21:40:00"/>
  </r>
  <r>
    <d v="2023-10-24T10:28:00"/>
    <s v="ANT-0775"/>
    <n v="26"/>
    <s v="Résolu"/>
    <x v="20"/>
    <n v="1.5278670000000001"/>
    <n v="13.899388999999999"/>
    <x v="3"/>
    <s v="Huawei"/>
    <n v="5"/>
    <n v="273"/>
    <d v="2023-10-24T10:28:00"/>
  </r>
  <r>
    <d v="2023-10-01T08:13:00"/>
    <s v="ANT-0604"/>
    <n v="86"/>
    <s v="Non Résolu"/>
    <x v="26"/>
    <n v="2.628638"/>
    <n v="28.420582"/>
    <x v="0"/>
    <s v="Huawei"/>
    <n v="2"/>
    <n v="136"/>
    <d v="2023-10-06T11:19:00"/>
  </r>
  <r>
    <d v="2023-10-08T22:04:00"/>
    <s v="ANT-0233"/>
    <n v="42"/>
    <s v="Résolu"/>
    <x v="1"/>
    <s v=" non répertoriées"/>
    <s v=" non répertoriées"/>
    <x v="1"/>
    <s v=" non répertoriées"/>
    <n v="1"/>
    <n v="42"/>
    <d v="2023-10-08T22:04:00"/>
  </r>
  <r>
    <d v="2023-10-12T08:50:00"/>
    <s v="ANT-0567"/>
    <n v="15"/>
    <s v="Non Résolu"/>
    <x v="1"/>
    <s v=" non répertoriées"/>
    <s v=" non répertoriées"/>
    <x v="1"/>
    <s v=" non répertoriées"/>
    <n v="2"/>
    <n v="43"/>
    <d v="2023-10-18T13:42:00"/>
  </r>
  <r>
    <d v="2023-10-04T23:00:00"/>
    <s v="ANT-0063"/>
    <n v="65"/>
    <s v="En Cours"/>
    <x v="1"/>
    <s v=" non répertoriées"/>
    <s v=" non répertoriées"/>
    <x v="1"/>
    <s v=" non répertoriées"/>
    <n v="1"/>
    <n v="65"/>
    <d v="2023-10-04T23:00:00"/>
  </r>
  <r>
    <d v="2023-10-02T12:28:00"/>
    <s v="ANT-0861"/>
    <n v="113"/>
    <s v="En Cours"/>
    <x v="1"/>
    <s v=" non répertoriées"/>
    <s v=" non répertoriées"/>
    <x v="1"/>
    <s v=" non répertoriées"/>
    <n v="2"/>
    <n v="207"/>
    <d v="2023-10-10T06:27:00"/>
  </r>
  <r>
    <d v="2023-10-24T13:10:00"/>
    <s v="ANT-0397"/>
    <n v="19"/>
    <s v="Non Résolu"/>
    <x v="1"/>
    <s v=" non répertoriées"/>
    <s v=" non répertoriées"/>
    <x v="1"/>
    <s v=" non répertoriées"/>
    <n v="2"/>
    <n v="100"/>
    <d v="2023-10-24T13:10:00"/>
  </r>
  <r>
    <d v="2023-10-29T13:31:00"/>
    <s v="ANT-0839"/>
    <n v="44"/>
    <s v="Résolu"/>
    <x v="10"/>
    <n v="-11.265995"/>
    <n v="28.935514999999999"/>
    <x v="0"/>
    <s v="Ericsson"/>
    <n v="2"/>
    <n v="89"/>
    <d v="2023-10-29T13:31:00"/>
  </r>
  <r>
    <d v="2023-10-29T12:22:00"/>
    <s v="ANT-0536"/>
    <n v="105"/>
    <s v="Résolu"/>
    <x v="10"/>
    <n v="-0.919767"/>
    <n v="18.905538"/>
    <x v="2"/>
    <s v="Ericsson"/>
    <n v="1"/>
    <n v="105"/>
    <d v="2023-10-29T12:22:00"/>
  </r>
  <r>
    <d v="2023-10-18T12:06:00"/>
    <s v="ANT-0429"/>
    <n v="55"/>
    <s v="En Cours"/>
    <x v="1"/>
    <s v=" non répertoriées"/>
    <s v=" non répertoriées"/>
    <x v="1"/>
    <s v=" non répertoriées"/>
    <n v="3"/>
    <n v="204"/>
    <d v="2023-10-20T01:50:00"/>
  </r>
  <r>
    <d v="2023-10-27T15:50:00"/>
    <s v="ANT-0989"/>
    <n v="65"/>
    <s v="Non Résolu"/>
    <x v="7"/>
    <n v="-11.594525000000001"/>
    <n v="29.744895"/>
    <x v="3"/>
    <s v="ZTE"/>
    <n v="2"/>
    <n v="168"/>
    <d v="2023-10-27T15:50:00"/>
  </r>
  <r>
    <d v="2023-10-28T18:41:00"/>
    <s v="ANT-0549"/>
    <n v="67"/>
    <s v="En Cours"/>
    <x v="24"/>
    <n v="-0.47411900000000001"/>
    <n v="27.184329000000002"/>
    <x v="2"/>
    <s v="ZTE"/>
    <n v="2"/>
    <n v="89"/>
    <d v="2023-10-28T18:41:00"/>
  </r>
  <r>
    <d v="2023-10-25T21:14:00"/>
    <s v="ANT-0704"/>
    <n v="119"/>
    <s v="Non Résolu"/>
    <x v="1"/>
    <s v=" non répertoriées"/>
    <s v=" non répertoriées"/>
    <x v="1"/>
    <s v=" non répertoriées"/>
    <n v="1"/>
    <n v="119"/>
    <d v="2023-10-25T21:14:00"/>
  </r>
  <r>
    <d v="2023-10-06T14:04:00"/>
    <s v="ANT-0888"/>
    <n v="89"/>
    <s v="En Cours"/>
    <x v="1"/>
    <s v=" non répertoriées"/>
    <s v=" non répertoriées"/>
    <x v="1"/>
    <s v=" non répertoriées"/>
    <n v="1"/>
    <n v="89"/>
    <d v="2023-10-06T14:04:00"/>
  </r>
  <r>
    <d v="2023-10-26T01:18:00"/>
    <s v="ANT-0959"/>
    <n v="38"/>
    <s v="En Cours"/>
    <x v="16"/>
    <n v="-4.2184999999999997"/>
    <n v="23.077093999999999"/>
    <x v="0"/>
    <s v="Ericsson"/>
    <n v="1"/>
    <n v="38"/>
    <d v="2023-10-26T01:18:00"/>
  </r>
  <r>
    <d v="2023-10-01T10:16:00"/>
    <s v="ANT-0487"/>
    <n v="16"/>
    <s v="Non Résolu"/>
    <x v="1"/>
    <s v=" non répertoriées"/>
    <s v=" non répertoriées"/>
    <x v="1"/>
    <s v=" non répertoriées"/>
    <n v="2"/>
    <n v="120"/>
    <d v="2023-10-14T21:24:00"/>
  </r>
  <r>
    <d v="2023-10-31T03:04:00"/>
    <s v="ANT-0587"/>
    <n v="87"/>
    <s v="En Cours"/>
    <x v="7"/>
    <n v="-10.945031"/>
    <n v="27.922274000000002"/>
    <x v="0"/>
    <s v="Ericsson"/>
    <n v="3"/>
    <n v="298"/>
    <d v="2023-10-31T03:04:00"/>
  </r>
  <r>
    <d v="2023-10-11T05:56:00"/>
    <s v="ANT-0903"/>
    <n v="74"/>
    <s v="Résolu"/>
    <x v="1"/>
    <s v=" non répertoriées"/>
    <s v=" non répertoriées"/>
    <x v="1"/>
    <s v=" non répertoriées"/>
    <n v="2"/>
    <n v="147"/>
    <d v="2023-10-12T06:58:00"/>
  </r>
  <r>
    <d v="2023-10-13T05:46:00"/>
    <s v="ANT-0242"/>
    <n v="54"/>
    <s v="Non Résolu"/>
    <x v="1"/>
    <s v=" non répertoriées"/>
    <s v=" non répertoriées"/>
    <x v="1"/>
    <s v=" non répertoriées"/>
    <n v="2"/>
    <n v="113"/>
    <d v="2023-10-13T05:46:00"/>
  </r>
  <r>
    <d v="2023-10-03T17:57:00"/>
    <s v="ANT-0488"/>
    <n v="28"/>
    <s v="Non Résolu"/>
    <x v="3"/>
    <n v="-3.111418"/>
    <n v="14.144854"/>
    <x v="0"/>
    <s v="ZTE"/>
    <n v="3"/>
    <n v="152"/>
    <d v="2023-10-07T00:39:00"/>
  </r>
  <r>
    <d v="2023-10-03T10:38:00"/>
    <s v="ANT-0307"/>
    <n v="52"/>
    <s v="Non Résolu"/>
    <x v="1"/>
    <s v=" non répertoriées"/>
    <s v=" non répertoriées"/>
    <x v="1"/>
    <s v=" non répertoriées"/>
    <n v="1"/>
    <n v="52"/>
    <d v="2023-10-03T10:38:00"/>
  </r>
  <r>
    <d v="2023-10-20T15:45:00"/>
    <s v="ANT-0081"/>
    <n v="118"/>
    <s v="Non Résolu"/>
    <x v="15"/>
    <n v="-10.577049000000001"/>
    <n v="23.721854"/>
    <x v="0"/>
    <s v="ZTE"/>
    <n v="3"/>
    <n v="239"/>
    <d v="2023-10-26T23:30:00"/>
  </r>
  <r>
    <d v="2023-10-01T13:41:00"/>
    <s v="ANT-0405"/>
    <n v="53"/>
    <s v="En Cours"/>
    <x v="2"/>
    <n v="2.8552499999999998"/>
    <n v="14.077933"/>
    <x v="0"/>
    <s v="ZTE"/>
    <n v="1"/>
    <n v="53"/>
    <d v="2023-10-01T13:41:00"/>
  </r>
  <r>
    <d v="2023-10-06T19:56:00"/>
    <s v="ANT-0925"/>
    <n v="52"/>
    <s v="Résolu"/>
    <x v="22"/>
    <n v="-2.2199559999999998"/>
    <n v="22.614449"/>
    <x v="3"/>
    <s v="Nokia"/>
    <n v="1"/>
    <n v="52"/>
    <d v="2023-10-06T19:56:00"/>
  </r>
  <r>
    <d v="2023-10-14T05:03:00"/>
    <s v="ANT-0875"/>
    <n v="28"/>
    <s v="En Cours"/>
    <x v="26"/>
    <n v="-3.1608390000000002"/>
    <n v="13.244503999999999"/>
    <x v="3"/>
    <s v="Huawei"/>
    <n v="1"/>
    <n v="28"/>
    <d v="2023-10-14T05:03:00"/>
  </r>
  <r>
    <d v="2023-10-04T10:13:00"/>
    <s v="ANT-0732"/>
    <n v="62"/>
    <s v="Résolu"/>
    <x v="1"/>
    <s v=" non répertoriées"/>
    <s v=" non répertoriées"/>
    <x v="1"/>
    <s v=" non répertoriées"/>
    <n v="1"/>
    <n v="62"/>
    <d v="2023-10-04T10:13:00"/>
  </r>
  <r>
    <d v="2023-10-07T13:44:00"/>
    <s v="ANT-0036"/>
    <n v="10"/>
    <s v="Résolu"/>
    <x v="1"/>
    <s v=" non répertoriées"/>
    <s v=" non répertoriées"/>
    <x v="1"/>
    <s v=" non répertoriées"/>
    <n v="2"/>
    <n v="72"/>
    <d v="2023-10-27T17:30:00"/>
  </r>
  <r>
    <d v="2023-10-18T23:59:00"/>
    <s v="ANT-0515"/>
    <n v="38"/>
    <s v="Non Résolu"/>
    <x v="16"/>
    <n v="-10.967288"/>
    <n v="17.617781000000001"/>
    <x v="0"/>
    <s v="Ericsson"/>
    <n v="3"/>
    <n v="133"/>
    <d v="2023-10-30T09:24:00"/>
  </r>
  <r>
    <d v="2023-10-24T17:16:00"/>
    <s v="ANT-0585"/>
    <n v="61"/>
    <s v="Non Résolu"/>
    <x v="1"/>
    <s v=" non répertoriées"/>
    <s v=" non répertoriées"/>
    <x v="1"/>
    <s v=" non répertoriées"/>
    <n v="2"/>
    <n v="164"/>
    <d v="2023-10-31T01:28:00"/>
  </r>
  <r>
    <d v="2023-10-22T09:19:00"/>
    <s v="ANT-0923"/>
    <n v="64"/>
    <s v="Non Résolu"/>
    <x v="10"/>
    <n v="-12.070842000000001"/>
    <n v="14.757847"/>
    <x v="0"/>
    <s v="ZTE"/>
    <n v="1"/>
    <n v="64"/>
    <d v="2023-10-22T09:19:00"/>
  </r>
  <r>
    <d v="2023-10-08T03:03:00"/>
    <s v="ANT-0530"/>
    <n v="38"/>
    <s v="Résolu"/>
    <x v="12"/>
    <n v="-8.5675749999999997"/>
    <n v="26.994581"/>
    <x v="3"/>
    <s v="Nokia"/>
    <n v="3"/>
    <n v="183"/>
    <d v="2023-10-18T11:22:00"/>
  </r>
  <r>
    <d v="2023-10-13T18:35:00"/>
    <s v="ANT-0820"/>
    <n v="33"/>
    <s v="Résolu"/>
    <x v="1"/>
    <s v=" non répertoriées"/>
    <s v=" non répertoriées"/>
    <x v="1"/>
    <s v=" non répertoriées"/>
    <n v="1"/>
    <n v="33"/>
    <d v="2023-10-13T18:35:00"/>
  </r>
  <r>
    <d v="2023-10-27T15:09:00"/>
    <s v="ANT-0586"/>
    <n v="112"/>
    <s v="Non Résolu"/>
    <x v="1"/>
    <s v=" non répertoriées"/>
    <s v=" non répertoriées"/>
    <x v="1"/>
    <s v=" non répertoriées"/>
    <n v="1"/>
    <n v="112"/>
    <d v="2023-10-27T15:09:00"/>
  </r>
  <r>
    <d v="2023-10-09T12:41:00"/>
    <s v="ANT-0845"/>
    <n v="33"/>
    <s v="Non Résolu"/>
    <x v="16"/>
    <n v="-10.872631999999999"/>
    <n v="12.773279"/>
    <x v="3"/>
    <s v="ZTE"/>
    <n v="3"/>
    <n v="163"/>
    <d v="2023-10-10T21:34:00"/>
  </r>
  <r>
    <d v="2023-10-16T18:38:00"/>
    <s v="ANT-0639"/>
    <n v="87"/>
    <s v="En Cours"/>
    <x v="11"/>
    <n v="2.5665840000000002"/>
    <n v="15.764796"/>
    <x v="3"/>
    <s v="ZTE"/>
    <n v="1"/>
    <n v="87"/>
    <d v="2023-10-16T18:38:00"/>
  </r>
  <r>
    <d v="2023-10-16T01:11:00"/>
    <s v="ANT-0407"/>
    <n v="33"/>
    <s v="Non Résolu"/>
    <x v="25"/>
    <n v="2.5458379999999998"/>
    <n v="13.308655"/>
    <x v="2"/>
    <s v="ZTE"/>
    <n v="2"/>
    <n v="57"/>
    <d v="2023-10-16T14:06:00"/>
  </r>
  <r>
    <d v="2023-10-09T12:09:00"/>
    <s v="ANT-0599"/>
    <n v="91"/>
    <s v="En Cours"/>
    <x v="1"/>
    <s v=" non répertoriées"/>
    <s v=" non répertoriées"/>
    <x v="1"/>
    <s v=" non répertoriées"/>
    <n v="2"/>
    <n v="183"/>
    <d v="2023-10-29T12:26:00"/>
  </r>
  <r>
    <d v="2023-10-20T19:43:00"/>
    <s v="ANT-0105"/>
    <n v="31"/>
    <s v="Non Résolu"/>
    <x v="1"/>
    <s v=" non répertoriées"/>
    <s v=" non répertoriées"/>
    <x v="1"/>
    <s v=" non répertoriées"/>
    <n v="2"/>
    <n v="123"/>
    <d v="2023-10-20T19:43:00"/>
  </r>
  <r>
    <d v="2023-10-23T12:02:00"/>
    <s v="ANT-0008"/>
    <n v="39"/>
    <s v="Résolu"/>
    <x v="26"/>
    <n v="-11.89448"/>
    <n v="19.216214999999998"/>
    <x v="3"/>
    <s v="ZTE"/>
    <n v="1"/>
    <n v="39"/>
    <d v="2023-10-23T12:02:00"/>
  </r>
  <r>
    <d v="2023-10-13T10:44:00"/>
    <s v="ANT-0524"/>
    <n v="88"/>
    <s v="Non Résolu"/>
    <x v="12"/>
    <n v="-7.402336"/>
    <n v="27.376697"/>
    <x v="0"/>
    <s v="Huawei"/>
    <n v="3"/>
    <n v="127"/>
    <d v="2023-10-13T10:44:00"/>
  </r>
  <r>
    <d v="2023-10-08T01:47:00"/>
    <s v="ANT-0679"/>
    <n v="57"/>
    <s v="Résolu"/>
    <x v="2"/>
    <n v="-7.1587569999999996"/>
    <n v="18.975141000000001"/>
    <x v="2"/>
    <s v="Ericsson"/>
    <n v="3"/>
    <n v="266"/>
    <d v="2023-10-20T13:40:00"/>
  </r>
  <r>
    <d v="2023-10-16T08:57:00"/>
    <s v="ANT-0990"/>
    <n v="70"/>
    <s v="Non Résolu"/>
    <x v="2"/>
    <n v="-12.112399999999999"/>
    <n v="15.872226"/>
    <x v="0"/>
    <s v="Nokia"/>
    <n v="4"/>
    <n v="237"/>
    <d v="2023-10-21T20:21:00"/>
  </r>
  <r>
    <d v="2023-10-12T00:21:00"/>
    <s v="ANT-0864"/>
    <n v="7"/>
    <s v="En Cours"/>
    <x v="1"/>
    <s v=" non répertoriées"/>
    <s v=" non répertoriées"/>
    <x v="1"/>
    <s v=" non répertoriées"/>
    <n v="2"/>
    <n v="94"/>
    <d v="2023-10-31T21:45:00"/>
  </r>
  <r>
    <d v="2023-10-27T09:19:00"/>
    <s v="ANT-0860"/>
    <n v="115"/>
    <s v="En Cours"/>
    <x v="1"/>
    <s v=" non répertoriées"/>
    <s v=" non répertoriées"/>
    <x v="1"/>
    <s v=" non répertoriées"/>
    <n v="1"/>
    <n v="115"/>
    <d v="2023-10-27T09:19:00"/>
  </r>
  <r>
    <d v="2023-10-09T15:54:00"/>
    <s v="ANT-0384"/>
    <n v="104"/>
    <s v="En Cours"/>
    <x v="1"/>
    <s v=" non répertoriées"/>
    <s v=" non répertoriées"/>
    <x v="1"/>
    <s v=" non répertoriées"/>
    <n v="1"/>
    <n v="104"/>
    <d v="2023-10-09T15:54:00"/>
  </r>
  <r>
    <d v="2023-10-23T21:06:00"/>
    <s v="ANT-0575"/>
    <n v="103"/>
    <s v="En Cours"/>
    <x v="1"/>
    <s v=" non répertoriées"/>
    <s v=" non répertoriées"/>
    <x v="1"/>
    <s v=" non répertoriées"/>
    <n v="2"/>
    <n v="146"/>
    <d v="2023-10-24T17:03:00"/>
  </r>
  <r>
    <d v="2023-10-28T07:08:00"/>
    <s v="ANT-0663"/>
    <n v="92"/>
    <s v="En Cours"/>
    <x v="26"/>
    <n v="-5.5559329999999996"/>
    <n v="13.508692999999999"/>
    <x v="3"/>
    <s v="Nokia"/>
    <n v="1"/>
    <n v="92"/>
    <d v="2023-10-28T07:08:00"/>
  </r>
  <r>
    <d v="2023-10-10T23:28:00"/>
    <s v="ANT-0609"/>
    <n v="6"/>
    <s v="En Cours"/>
    <x v="1"/>
    <s v=" non répertoriées"/>
    <s v=" non répertoriées"/>
    <x v="1"/>
    <s v=" non répertoriées"/>
    <n v="2"/>
    <n v="51"/>
    <d v="2023-10-19T07:33:00"/>
  </r>
  <r>
    <d v="2023-10-25T10:17:00"/>
    <s v="ANT-0624"/>
    <n v="65"/>
    <s v="Non Résolu"/>
    <x v="7"/>
    <n v="0.172153"/>
    <n v="21.091376"/>
    <x v="3"/>
    <s v="Ericsson"/>
    <n v="3"/>
    <n v="165"/>
    <d v="2023-10-25T10:17:00"/>
  </r>
  <r>
    <d v="2023-10-24T13:38:00"/>
    <s v="ANT-0290"/>
    <n v="21"/>
    <s v="Résolu"/>
    <x v="1"/>
    <s v=" non répertoriées"/>
    <s v=" non répertoriées"/>
    <x v="1"/>
    <s v=" non répertoriées"/>
    <n v="2"/>
    <n v="39"/>
    <d v="2023-10-24T16:38:00"/>
  </r>
  <r>
    <d v="2023-10-21T02:12:00"/>
    <s v="ANT-0306"/>
    <n v="87"/>
    <s v="Non Résolu"/>
    <x v="1"/>
    <s v=" non répertoriées"/>
    <s v=" non répertoriées"/>
    <x v="1"/>
    <s v=" non répertoriées"/>
    <n v="4"/>
    <n v="381"/>
    <d v="2023-10-21T02:12:00"/>
  </r>
  <r>
    <d v="2023-10-15T06:58:00"/>
    <s v="ANT-0701"/>
    <n v="27"/>
    <s v="Non Résolu"/>
    <x v="14"/>
    <n v="-12.839263000000001"/>
    <n v="12.355677"/>
    <x v="3"/>
    <s v="Huawei"/>
    <n v="2"/>
    <n v="93"/>
    <d v="2023-10-27T07:31:00"/>
  </r>
  <r>
    <d v="2023-10-27T13:47:00"/>
    <s v="ANT-0111"/>
    <n v="81"/>
    <s v="Non Résolu"/>
    <x v="1"/>
    <s v=" non répertoriées"/>
    <s v=" non répertoriées"/>
    <x v="1"/>
    <s v=" non répertoriées"/>
    <n v="2"/>
    <n v="180"/>
    <d v="2023-10-27T13:47:00"/>
  </r>
  <r>
    <d v="2023-10-16T16:55:00"/>
    <s v="ANT-0494"/>
    <n v="107"/>
    <s v="Résolu"/>
    <x v="2"/>
    <n v="-12.564277000000001"/>
    <n v="28.480798"/>
    <x v="2"/>
    <s v="ZTE"/>
    <n v="2"/>
    <n v="144"/>
    <d v="2023-10-31T11:37:00"/>
  </r>
  <r>
    <d v="2023-10-12T01:32:00"/>
    <s v="ANT-0066"/>
    <n v="6"/>
    <s v="En Cours"/>
    <x v="23"/>
    <n v="1.7832440000000001"/>
    <n v="25.477405999999998"/>
    <x v="2"/>
    <s v="Huawei"/>
    <n v="1"/>
    <n v="6"/>
    <d v="2023-10-12T01:32:00"/>
  </r>
  <r>
    <d v="2023-10-26T05:04:00"/>
    <s v="ANT-0345"/>
    <n v="33"/>
    <s v="Non Résolu"/>
    <x v="1"/>
    <s v=" non répertoriées"/>
    <s v=" non répertoriées"/>
    <x v="1"/>
    <s v=" non répertoriées"/>
    <n v="1"/>
    <n v="33"/>
    <d v="2023-10-26T05:04:00"/>
  </r>
  <r>
    <d v="2023-10-10T22:32:00"/>
    <s v="ANT-0284"/>
    <n v="37"/>
    <s v="Non Résolu"/>
    <x v="7"/>
    <n v="-5.5445120000000001"/>
    <n v="27.547335"/>
    <x v="0"/>
    <s v="Ericsson"/>
    <n v="4"/>
    <n v="222"/>
    <d v="2023-10-26T17:06:00"/>
  </r>
  <r>
    <d v="2023-10-13T04:49:00"/>
    <s v="ANT-0656"/>
    <n v="82"/>
    <s v="Résolu"/>
    <x v="1"/>
    <s v=" non répertoriées"/>
    <s v=" non répertoriées"/>
    <x v="1"/>
    <s v=" non répertoriées"/>
    <n v="2"/>
    <n v="114"/>
    <d v="2023-10-13T04:49:00"/>
  </r>
  <r>
    <d v="2023-10-28T16:56:00"/>
    <s v="ANT-0333"/>
    <n v="108"/>
    <s v="Non Résolu"/>
    <x v="1"/>
    <s v=" non répertoriées"/>
    <s v=" non répertoriées"/>
    <x v="1"/>
    <s v=" non répertoriées"/>
    <n v="3"/>
    <n v="233"/>
    <d v="2023-10-28T17:23:00"/>
  </r>
  <r>
    <d v="2023-10-19T00:11:00"/>
    <s v="ANT-0883"/>
    <n v="44"/>
    <s v="Non Résolu"/>
    <x v="13"/>
    <n v="-9.4702129999999993"/>
    <n v="12.826158"/>
    <x v="3"/>
    <s v="Ericsson"/>
    <n v="3"/>
    <n v="164"/>
    <d v="2023-10-19T00:11:00"/>
  </r>
  <r>
    <d v="2023-10-07T06:53:00"/>
    <s v="ANT-0284"/>
    <n v="96"/>
    <s v="Non Résolu"/>
    <x v="7"/>
    <n v="-5.5445120000000001"/>
    <n v="27.547335"/>
    <x v="0"/>
    <s v="Ericsson"/>
    <n v="4"/>
    <n v="222"/>
    <d v="2023-10-26T17:06:00"/>
  </r>
  <r>
    <d v="2023-10-02T07:02:00"/>
    <s v="ANT-0268"/>
    <n v="95"/>
    <s v="En Cours"/>
    <x v="5"/>
    <n v="-9.5619429999999994"/>
    <n v="21.445726000000001"/>
    <x v="0"/>
    <s v="Nokia"/>
    <n v="2"/>
    <n v="126"/>
    <d v="2023-10-02T07:02:00"/>
  </r>
  <r>
    <d v="2023-10-15T01:58:00"/>
    <s v="ANT-0672"/>
    <n v="87"/>
    <s v="Non Résolu"/>
    <x v="1"/>
    <s v=" non répertoriées"/>
    <s v=" non répertoriées"/>
    <x v="1"/>
    <s v=" non répertoriées"/>
    <n v="2"/>
    <n v="115"/>
    <d v="2023-10-15T01:58:00"/>
  </r>
  <r>
    <d v="2023-10-12T22:12:00"/>
    <s v="ANT-0729"/>
    <n v="40"/>
    <s v="En Cours"/>
    <x v="1"/>
    <s v=" non répertoriées"/>
    <s v=" non répertoriées"/>
    <x v="1"/>
    <s v=" non répertoriées"/>
    <n v="4"/>
    <n v="208"/>
    <d v="2023-10-17T11:01:00"/>
  </r>
  <r>
    <d v="2023-10-09T11:52:00"/>
    <s v="ANT-0976"/>
    <n v="59"/>
    <s v="Non Résolu"/>
    <x v="1"/>
    <s v=" non répertoriées"/>
    <s v=" non répertoriées"/>
    <x v="1"/>
    <s v=" non répertoriées"/>
    <n v="3"/>
    <n v="210"/>
    <d v="2023-10-27T21:29:00"/>
  </r>
  <r>
    <d v="2023-10-15T16:25:00"/>
    <s v="ANT-0914"/>
    <n v="119"/>
    <s v="En Cours"/>
    <x v="5"/>
    <n v="-11.218453999999999"/>
    <n v="28.230025000000001"/>
    <x v="2"/>
    <s v="ZTE"/>
    <n v="2"/>
    <n v="155"/>
    <d v="2023-10-30T17:43:00"/>
  </r>
  <r>
    <d v="2023-10-21T03:43:00"/>
    <s v="ANT-0668"/>
    <n v="53"/>
    <s v="Résolu"/>
    <x v="2"/>
    <n v="-9.8208710000000004"/>
    <n v="23.229807000000001"/>
    <x v="2"/>
    <s v="Nokia"/>
    <n v="2"/>
    <n v="136"/>
    <d v="2023-10-31T07:17:00"/>
  </r>
  <r>
    <d v="2023-10-01T07:23:00"/>
    <s v="ANT-0306"/>
    <n v="114"/>
    <s v="Non Résolu"/>
    <x v="1"/>
    <s v=" non répertoriées"/>
    <s v=" non répertoriées"/>
    <x v="1"/>
    <s v=" non répertoriées"/>
    <n v="4"/>
    <n v="381"/>
    <d v="2023-10-21T02:12:00"/>
  </r>
  <r>
    <d v="2023-10-16T19:28:00"/>
    <s v="ANT-0193"/>
    <n v="49"/>
    <s v="Non Résolu"/>
    <x v="1"/>
    <s v=" non répertoriées"/>
    <s v=" non répertoriées"/>
    <x v="1"/>
    <s v=" non répertoriées"/>
    <n v="3"/>
    <n v="217"/>
    <d v="2023-10-27T23:25:00"/>
  </r>
  <r>
    <d v="2023-10-06T15:37:00"/>
    <s v="ANT-0154"/>
    <n v="63"/>
    <s v="Résolu"/>
    <x v="2"/>
    <n v="-10.977309"/>
    <n v="12.408281000000001"/>
    <x v="2"/>
    <s v="ZTE"/>
    <n v="1"/>
    <n v="63"/>
    <d v="2023-10-06T15:37:00"/>
  </r>
  <r>
    <d v="2023-10-18T11:22:00"/>
    <s v="ANT-0530"/>
    <n v="37"/>
    <s v="En Cours"/>
    <x v="12"/>
    <n v="-8.5675749999999997"/>
    <n v="26.994581"/>
    <x v="3"/>
    <s v="Nokia"/>
    <n v="3"/>
    <n v="183"/>
    <d v="2023-10-18T11:22:00"/>
  </r>
  <r>
    <d v="2023-10-06T08:47:00"/>
    <s v="ANT-0784"/>
    <n v="32"/>
    <s v="Résolu"/>
    <x v="1"/>
    <s v=" non répertoriées"/>
    <s v=" non répertoriées"/>
    <x v="1"/>
    <s v=" non répertoriées"/>
    <n v="2"/>
    <n v="47"/>
    <d v="2023-10-26T01:29:00"/>
  </r>
  <r>
    <d v="2023-10-27T22:05:00"/>
    <s v="ANT-0247"/>
    <n v="64"/>
    <s v="En Cours"/>
    <x v="1"/>
    <s v=" non répertoriées"/>
    <s v=" non répertoriées"/>
    <x v="1"/>
    <s v=" non répertoriées"/>
    <n v="6"/>
    <n v="330"/>
    <d v="2023-10-31T20:02:00"/>
  </r>
  <r>
    <d v="2023-10-10T00:24:00"/>
    <s v="ANT-0922"/>
    <n v="43"/>
    <s v="Résolu"/>
    <x v="1"/>
    <s v=" non répertoriées"/>
    <s v=" non répertoriées"/>
    <x v="1"/>
    <s v=" non répertoriées"/>
    <n v="1"/>
    <n v="43"/>
    <d v="2023-10-10T00:24:00"/>
  </r>
  <r>
    <d v="2023-10-02T05:54:00"/>
    <s v="ANT-0059"/>
    <n v="91"/>
    <s v="Non Résolu"/>
    <x v="18"/>
    <n v="-0.34051900000000002"/>
    <n v="17.079799000000001"/>
    <x v="2"/>
    <s v="Ericsson"/>
    <n v="2"/>
    <n v="130"/>
    <d v="2023-10-17T17:01:00"/>
  </r>
  <r>
    <d v="2023-10-19T06:54:00"/>
    <s v="ANT-0825"/>
    <n v="71"/>
    <s v="En Cours"/>
    <x v="1"/>
    <s v=" non répertoriées"/>
    <s v=" non répertoriées"/>
    <x v="1"/>
    <s v=" non répertoriées"/>
    <n v="1"/>
    <n v="71"/>
    <d v="2023-10-19T06:54:00"/>
  </r>
  <r>
    <d v="2023-10-21T02:14:00"/>
    <s v="ANT-0021"/>
    <n v="48"/>
    <s v="Résolu"/>
    <x v="1"/>
    <s v=" non répertoriées"/>
    <s v=" non répertoriées"/>
    <x v="1"/>
    <s v=" non répertoriées"/>
    <n v="2"/>
    <n v="161"/>
    <d v="2023-10-21T02:14:00"/>
  </r>
  <r>
    <d v="2023-10-12T07:47:00"/>
    <s v="ANT-0050"/>
    <n v="120"/>
    <s v="En Cours"/>
    <x v="1"/>
    <s v=" non répertoriées"/>
    <s v=" non répertoriées"/>
    <x v="1"/>
    <s v=" non répertoriées"/>
    <n v="1"/>
    <n v="120"/>
    <d v="2023-10-12T07:47:00"/>
  </r>
  <r>
    <d v="2023-10-28T09:26:00"/>
    <s v="ANT-0707"/>
    <n v="67"/>
    <s v="Résolu"/>
    <x v="1"/>
    <s v=" non répertoriées"/>
    <s v=" non répertoriées"/>
    <x v="1"/>
    <s v=" non répertoriées"/>
    <n v="2"/>
    <n v="120"/>
    <d v="2023-10-28T09:26:00"/>
  </r>
  <r>
    <d v="2023-10-26T10:23:00"/>
    <s v="ANT-0119"/>
    <n v="50"/>
    <s v="Non Résolu"/>
    <x v="1"/>
    <s v=" non répertoriées"/>
    <s v=" non répertoriées"/>
    <x v="1"/>
    <s v=" non répertoriées"/>
    <n v="2"/>
    <n v="141"/>
    <d v="2023-10-31T15:07:00"/>
  </r>
  <r>
    <d v="2023-10-09T18:18:00"/>
    <s v="ANT-0427"/>
    <n v="101"/>
    <s v="Résolu"/>
    <x v="1"/>
    <s v=" non répertoriées"/>
    <s v=" non répertoriées"/>
    <x v="1"/>
    <s v=" non répertoriées"/>
    <n v="1"/>
    <n v="101"/>
    <d v="2023-10-09T18:18:00"/>
  </r>
  <r>
    <d v="2023-10-15T03:30:00"/>
    <s v="ANT-0455"/>
    <n v="29"/>
    <s v="En Cours"/>
    <x v="1"/>
    <s v=" non répertoriées"/>
    <s v=" non répertoriées"/>
    <x v="1"/>
    <s v=" non répertoriées"/>
    <n v="3"/>
    <n v="247"/>
    <d v="2023-10-19T23:46:00"/>
  </r>
  <r>
    <d v="2023-10-02T20:37:00"/>
    <s v="ANT-0390"/>
    <n v="26"/>
    <s v="Non Résolu"/>
    <x v="1"/>
    <s v=" non répertoriées"/>
    <s v=" non répertoriées"/>
    <x v="1"/>
    <s v=" non répertoriées"/>
    <n v="1"/>
    <n v="26"/>
    <d v="2023-10-02T20:37:00"/>
  </r>
  <r>
    <d v="2023-10-19T19:04:00"/>
    <s v="ANT-0127"/>
    <n v="108"/>
    <s v="Résolu"/>
    <x v="1"/>
    <s v=" non répertoriées"/>
    <s v=" non répertoriées"/>
    <x v="1"/>
    <s v=" non répertoriées"/>
    <n v="1"/>
    <n v="108"/>
    <d v="2023-10-19T19:04:00"/>
  </r>
  <r>
    <d v="2023-10-16T06:32:00"/>
    <s v="ANT-0561"/>
    <n v="56"/>
    <s v="En Cours"/>
    <x v="1"/>
    <s v=" non répertoriées"/>
    <s v=" non répertoriées"/>
    <x v="1"/>
    <s v=" non répertoriées"/>
    <n v="1"/>
    <n v="56"/>
    <d v="2023-10-16T06:32:00"/>
  </r>
  <r>
    <d v="2023-10-04T21:24:00"/>
    <s v="ANT-0259"/>
    <n v="7"/>
    <s v="Non Résolu"/>
    <x v="1"/>
    <s v=" non répertoriées"/>
    <s v=" non répertoriées"/>
    <x v="1"/>
    <s v=" non répertoriées"/>
    <n v="4"/>
    <n v="162"/>
    <d v="2023-10-21T15:38:00"/>
  </r>
  <r>
    <d v="2023-10-17T09:26:00"/>
    <s v="ANT-0486"/>
    <n v="34"/>
    <s v="En Cours"/>
    <x v="1"/>
    <s v=" non répertoriées"/>
    <s v=" non répertoriées"/>
    <x v="1"/>
    <s v=" non répertoriées"/>
    <n v="1"/>
    <n v="34"/>
    <d v="2023-10-17T09:26:00"/>
  </r>
  <r>
    <d v="2023-10-02T04:08:00"/>
    <s v="ant-0719"/>
    <n v="33"/>
    <s v="En Cours"/>
    <x v="6"/>
    <n v="-7.9987219999999999"/>
    <n v="12.779335"/>
    <x v="2"/>
    <s v="Nokia"/>
    <n v="2"/>
    <n v="154"/>
    <d v="2023-10-27T14:58:00"/>
  </r>
  <r>
    <d v="2023-10-07T10:26:00"/>
    <s v="ANT-0157"/>
    <n v="98"/>
    <s v="Résolu"/>
    <x v="1"/>
    <s v=" non répertoriées"/>
    <s v=" non répertoriées"/>
    <x v="1"/>
    <s v=" non répertoriées"/>
    <n v="2"/>
    <n v="190"/>
    <d v="2023-10-18T09:53:00"/>
  </r>
  <r>
    <d v="2023-10-19T14:09:00"/>
    <s v="ANT-0211"/>
    <n v="21"/>
    <s v="Résolu"/>
    <x v="13"/>
    <n v="-11.514817000000001"/>
    <n v="24.891375"/>
    <x v="3"/>
    <s v="Nokia"/>
    <n v="2"/>
    <n v="53"/>
    <d v="2023-10-19T14:09:00"/>
  </r>
  <r>
    <d v="2023-10-11T22:11:00"/>
    <s v="ANT-0712"/>
    <n v="32"/>
    <s v="Non Résolu"/>
    <x v="1"/>
    <s v=" non répertoriées"/>
    <s v=" non répertoriées"/>
    <x v="1"/>
    <s v=" non répertoriées"/>
    <n v="1"/>
    <n v="32"/>
    <d v="2023-10-11T22:11:00"/>
  </r>
  <r>
    <d v="2023-10-25T02:31:00"/>
    <s v="ANT-0703"/>
    <n v="98"/>
    <s v="En Cours"/>
    <x v="0"/>
    <n v="-7.0007840000000003"/>
    <n v="22.787997000000001"/>
    <x v="2"/>
    <s v="ZTE"/>
    <n v="1"/>
    <n v="98"/>
    <d v="2023-10-25T02:31:00"/>
  </r>
  <r>
    <d v="2023-10-11T20:11:00"/>
    <s v="ANT-0646"/>
    <n v="7"/>
    <s v="Résolu"/>
    <x v="1"/>
    <s v=" non répertoriées"/>
    <s v=" non répertoriées"/>
    <x v="1"/>
    <s v=" non répertoriées"/>
    <n v="2"/>
    <n v="109"/>
    <d v="2023-10-15T02:38:00"/>
  </r>
  <r>
    <d v="2023-10-11T20:03:00"/>
    <s v="ANT-0010"/>
    <n v="80"/>
    <s v="Non Résolu"/>
    <x v="7"/>
    <n v="4.4712560000000003"/>
    <n v="27.107028"/>
    <x v="3"/>
    <s v="Ericsson"/>
    <n v="2"/>
    <n v="169"/>
    <d v="2023-10-24T10:03:00"/>
  </r>
  <r>
    <d v="2023-10-01T14:17:00"/>
    <s v="ANT-0309"/>
    <n v="69"/>
    <s v="En Cours"/>
    <x v="1"/>
    <s v=" non répertoriées"/>
    <s v=" non répertoriées"/>
    <x v="1"/>
    <s v=" non répertoriées"/>
    <n v="2"/>
    <n v="166"/>
    <d v="2023-10-31T13:52:00"/>
  </r>
  <r>
    <d v="2023-10-07T05:36:00"/>
    <s v="ANT-0431"/>
    <n v="26"/>
    <s v="En Cours"/>
    <x v="24"/>
    <n v="-4.6311460000000002"/>
    <n v="25.314723000000001"/>
    <x v="0"/>
    <s v="Huawei"/>
    <n v="1"/>
    <n v="26"/>
    <d v="2023-10-07T05:36:00"/>
  </r>
  <r>
    <d v="2023-10-25T05:31:00"/>
    <s v="ANT-0678"/>
    <n v="20"/>
    <s v="Résolu"/>
    <x v="9"/>
    <n v="-10.298385"/>
    <n v="29.698117"/>
    <x v="2"/>
    <s v="Nokia"/>
    <n v="2"/>
    <n v="72"/>
    <d v="2023-10-25T05:31:00"/>
  </r>
  <r>
    <d v="2023-10-26T02:08:00"/>
    <s v="ANT-0104"/>
    <n v="51"/>
    <s v="Résolu"/>
    <x v="1"/>
    <s v=" non répertoriées"/>
    <s v=" non répertoriées"/>
    <x v="1"/>
    <s v=" non répertoriées"/>
    <n v="1"/>
    <n v="51"/>
    <d v="2023-10-26T02:08:00"/>
  </r>
  <r>
    <d v="2023-10-20T13:40:00"/>
    <s v="ANT-0679"/>
    <n v="96"/>
    <s v="Résolu"/>
    <x v="2"/>
    <n v="-7.1587569999999996"/>
    <n v="18.975141000000001"/>
    <x v="2"/>
    <s v="Ericsson"/>
    <n v="3"/>
    <n v="266"/>
    <d v="2023-10-20T13:40:00"/>
  </r>
  <r>
    <d v="2023-10-14T12:27:00"/>
    <s v="ANT-0533"/>
    <n v="88"/>
    <s v="Non Résolu"/>
    <x v="5"/>
    <n v="4.8265669999999998"/>
    <n v="28.535277000000001"/>
    <x v="3"/>
    <s v="Huawei"/>
    <n v="2"/>
    <n v="162"/>
    <d v="2023-10-17T02:16:00"/>
  </r>
  <r>
    <d v="2023-10-31T15:24:00"/>
    <s v="ANT-0277"/>
    <n v="106"/>
    <s v="Résolu"/>
    <x v="6"/>
    <n v="-6.8149179999999996"/>
    <n v="23.258102000000001"/>
    <x v="2"/>
    <s v="Huawei"/>
    <n v="1"/>
    <n v="106"/>
    <d v="2023-10-31T15:24:00"/>
  </r>
  <r>
    <d v="2023-10-01T01:34:00"/>
    <s v="ANT-0638"/>
    <n v="9"/>
    <s v="Résolu"/>
    <x v="1"/>
    <s v=" non répertoriées"/>
    <s v=" non répertoriées"/>
    <x v="1"/>
    <s v=" non répertoriées"/>
    <n v="2"/>
    <n v="118"/>
    <d v="2023-10-06T17:04:00"/>
  </r>
  <r>
    <d v="2023-10-07T23:23:00"/>
    <s v="ANT-0621"/>
    <n v="53"/>
    <s v="Non Résolu"/>
    <x v="7"/>
    <n v="-2.926736"/>
    <n v="18.170461"/>
    <x v="2"/>
    <s v="Ericsson"/>
    <n v="1"/>
    <n v="53"/>
    <d v="2023-10-07T23:23:00"/>
  </r>
  <r>
    <d v="2023-10-31T00:57:00"/>
    <s v="ANT-0718"/>
    <n v="117"/>
    <s v="Non Résolu"/>
    <x v="2"/>
    <n v="1.981107"/>
    <n v="23.932569000000001"/>
    <x v="3"/>
    <s v="Nokia"/>
    <n v="3"/>
    <n v="295"/>
    <d v="2023-10-31T00:57:00"/>
  </r>
  <r>
    <d v="2023-10-11T16:12:00"/>
    <s v="ANT-0141"/>
    <n v="86"/>
    <s v="En Cours"/>
    <x v="1"/>
    <s v=" non répertoriées"/>
    <s v=" non répertoriées"/>
    <x v="1"/>
    <s v=" non répertoriées"/>
    <n v="3"/>
    <n v="201"/>
    <d v="2023-10-23T12:24:00"/>
  </r>
  <r>
    <d v="2023-10-21T23:15:00"/>
    <s v="ANT-0851"/>
    <n v="103"/>
    <s v="Résolu"/>
    <x v="1"/>
    <s v=" non répertoriées"/>
    <s v=" non répertoriées"/>
    <x v="1"/>
    <s v=" non répertoriées"/>
    <n v="3"/>
    <n v="303"/>
    <d v="2023-10-21T23:15:00"/>
  </r>
  <r>
    <d v="2023-10-08T22:56:00"/>
    <s v="ANT-0921"/>
    <n v="73"/>
    <s v="Non Résolu"/>
    <x v="7"/>
    <n v="2.016505"/>
    <n v="14.294164"/>
    <x v="2"/>
    <s v="Huawei"/>
    <n v="2"/>
    <n v="138"/>
    <d v="2023-10-08T22:56:00"/>
  </r>
  <r>
    <d v="2023-10-12T09:08:00"/>
    <s v="ANT-0108"/>
    <n v="84"/>
    <s v="Résolu"/>
    <x v="1"/>
    <s v=" non répertoriées"/>
    <s v=" non répertoriées"/>
    <x v="1"/>
    <s v=" non répertoriées"/>
    <n v="1"/>
    <n v="84"/>
    <d v="2023-10-12T09:08:00"/>
  </r>
  <r>
    <d v="2023-10-04T12:32:00"/>
    <s v="ANT-0524"/>
    <n v="11"/>
    <s v="Non Résolu"/>
    <x v="12"/>
    <n v="-7.402336"/>
    <n v="27.376697"/>
    <x v="0"/>
    <s v="Huawei"/>
    <n v="3"/>
    <n v="127"/>
    <d v="2023-10-13T10:44:00"/>
  </r>
  <r>
    <d v="2023-10-19T09:10:00"/>
    <s v="ANT-0737"/>
    <n v="81"/>
    <s v="Non Résolu"/>
    <x v="2"/>
    <n v="-2.8211520000000001"/>
    <n v="20.651419000000001"/>
    <x v="2"/>
    <s v="Ericsson"/>
    <n v="5"/>
    <n v="389"/>
    <d v="2023-10-20T11:26:00"/>
  </r>
  <r>
    <d v="2023-10-03T01:19:00"/>
    <s v="ANT-0633"/>
    <n v="11"/>
    <s v="Résolu"/>
    <x v="1"/>
    <s v=" non répertoriées"/>
    <s v=" non répertoriées"/>
    <x v="1"/>
    <s v=" non répertoriées"/>
    <n v="2"/>
    <n v="71"/>
    <d v="2023-10-22T20:35:00"/>
  </r>
  <r>
    <d v="2023-10-31T09:29:00"/>
    <s v="ANT-0121"/>
    <n v="89"/>
    <s v="En Cours"/>
    <x v="20"/>
    <n v="-7.3952039999999997"/>
    <n v="21.651043999999999"/>
    <x v="0"/>
    <s v="Huawei"/>
    <n v="1"/>
    <n v="89"/>
    <d v="2023-10-31T09:29:00"/>
  </r>
  <r>
    <d v="2023-10-24T16:38:00"/>
    <s v="ANT-0290"/>
    <n v="18"/>
    <s v="Non Résolu"/>
    <x v="1"/>
    <s v=" non répertoriées"/>
    <s v=" non répertoriées"/>
    <x v="1"/>
    <s v=" non répertoriées"/>
    <n v="2"/>
    <n v="39"/>
    <d v="2023-10-24T16:38:00"/>
  </r>
  <r>
    <d v="2023-10-17T10:27:00"/>
    <s v="ANT-0117"/>
    <n v="88"/>
    <s v="Résolu"/>
    <x v="25"/>
    <n v="1.938083"/>
    <n v="28.25281"/>
    <x v="0"/>
    <s v="Nokia"/>
    <n v="3"/>
    <n v="205"/>
    <d v="2023-10-17T10:27:00"/>
  </r>
  <r>
    <d v="2023-10-29T21:08:00"/>
    <s v="ANT-0804"/>
    <n v="112"/>
    <s v="En Cours"/>
    <x v="18"/>
    <n v="-4.1250960000000001"/>
    <n v="27.799897999999999"/>
    <x v="3"/>
    <s v="Nokia"/>
    <n v="2"/>
    <n v="223"/>
    <d v="2023-10-29T21:08:00"/>
  </r>
  <r>
    <d v="2023-10-12T21:20:00"/>
    <s v="ANT-0670"/>
    <n v="87"/>
    <s v="Non Résolu"/>
    <x v="22"/>
    <n v="-7.1483749999999997"/>
    <n v="26.014271000000001"/>
    <x v="2"/>
    <s v="Huawei"/>
    <n v="3"/>
    <n v="291"/>
    <d v="2023-10-20T12:39:00"/>
  </r>
  <r>
    <d v="2023-10-14T23:07:00"/>
    <s v="ANT-0019"/>
    <n v="25"/>
    <s v="Non Résolu"/>
    <x v="1"/>
    <s v=" non répertoriées"/>
    <s v=" non répertoriées"/>
    <x v="1"/>
    <s v=" non répertoriées"/>
    <n v="1"/>
    <n v="25"/>
    <d v="2023-10-14T23:07:00"/>
  </r>
  <r>
    <d v="2023-10-04T01:00:00"/>
    <s v="ANT-0106"/>
    <n v="69"/>
    <s v="En Cours"/>
    <x v="20"/>
    <n v="-2.2876210000000001"/>
    <n v="27.582545"/>
    <x v="0"/>
    <s v="Huawei"/>
    <n v="2"/>
    <n v="170"/>
    <d v="2023-10-21T21:27:00"/>
  </r>
  <r>
    <d v="2023-10-28T04:42:00"/>
    <s v="ANT-0414"/>
    <n v="113"/>
    <s v="Non Résolu"/>
    <x v="21"/>
    <n v="-7.5418399999999997"/>
    <n v="16.931206"/>
    <x v="3"/>
    <s v="Nokia"/>
    <n v="2"/>
    <n v="191"/>
    <d v="2023-10-28T04:42:00"/>
  </r>
  <r>
    <d v="2023-10-21T05:21:00"/>
    <s v="ANT-0423"/>
    <n v="65"/>
    <s v="En Cours"/>
    <x v="26"/>
    <n v="-1.3938550000000001"/>
    <n v="15.097554000000001"/>
    <x v="0"/>
    <s v="Huawei"/>
    <n v="2"/>
    <n v="167"/>
    <d v="2023-10-23T18:40:00"/>
  </r>
  <r>
    <d v="2023-10-12T14:39:00"/>
    <s v="ANT-0037"/>
    <n v="114"/>
    <s v="Résolu"/>
    <x v="18"/>
    <n v="-7.0076900000000002"/>
    <n v="27.367121999999998"/>
    <x v="3"/>
    <s v="Nokia"/>
    <n v="2"/>
    <n v="189"/>
    <d v="2023-10-20T02:26:00"/>
  </r>
  <r>
    <d v="2023-10-09T23:05:00"/>
    <s v="ANT-0571"/>
    <n v="68"/>
    <s v="Résolu"/>
    <x v="20"/>
    <n v="-2.3269820000000001"/>
    <n v="14.609259"/>
    <x v="3"/>
    <s v="Nokia"/>
    <n v="1"/>
    <n v="68"/>
    <d v="2023-10-09T23:05:00"/>
  </r>
  <r>
    <d v="2023-10-12T10:11:00"/>
    <s v="ANT-0563"/>
    <n v="116"/>
    <s v="Non Résolu"/>
    <x v="9"/>
    <n v="-1.8555980000000001"/>
    <n v="30.421918000000002"/>
    <x v="3"/>
    <s v="ZTE"/>
    <n v="5"/>
    <n v="226"/>
    <d v="2023-10-23T14:20:00"/>
  </r>
  <r>
    <d v="2023-10-04T12:25:00"/>
    <s v="ANT-0001"/>
    <n v="26"/>
    <s v="Résolu"/>
    <x v="6"/>
    <n v="-8.1437910000000002"/>
    <n v="28.946161"/>
    <x v="0"/>
    <s v="ZTE"/>
    <n v="3"/>
    <n v="136"/>
    <d v="2023-10-12T06:42:00"/>
  </r>
  <r>
    <d v="2023-10-31T14:17:00"/>
    <s v="ANT-0846"/>
    <n v="14"/>
    <s v="Résolu"/>
    <x v="21"/>
    <n v="-7.1079169999999996"/>
    <n v="13.636272"/>
    <x v="2"/>
    <s v="Nokia"/>
    <n v="2"/>
    <n v="75"/>
    <d v="2023-10-31T14:17:00"/>
  </r>
  <r>
    <d v="2023-10-27T12:44:00"/>
    <s v="ANT-0094"/>
    <n v="101"/>
    <s v="En Cours"/>
    <x v="25"/>
    <n v="-10.650321"/>
    <n v="15.917044000000001"/>
    <x v="0"/>
    <s v="Nokia"/>
    <n v="1"/>
    <n v="101"/>
    <d v="2023-10-27T12:44:00"/>
  </r>
  <r>
    <d v="2023-10-28T15:51:00"/>
    <s v="ANT-0811"/>
    <n v="67"/>
    <s v="En Cours"/>
    <x v="11"/>
    <n v="-5.125"/>
    <n v="23.513119"/>
    <x v="2"/>
    <s v="Huawei"/>
    <n v="2"/>
    <n v="174"/>
    <d v="2023-10-28T15:51:00"/>
  </r>
  <r>
    <d v="2023-10-14T20:56:00"/>
    <s v="ANT-0619"/>
    <n v="46"/>
    <s v="Non Résolu"/>
    <x v="17"/>
    <n v="-7.513261"/>
    <n v="24.338812000000001"/>
    <x v="2"/>
    <s v="Huawei"/>
    <n v="1"/>
    <n v="46"/>
    <d v="2023-10-14T20:56:00"/>
  </r>
  <r>
    <d v="2023-10-26T05:07:00"/>
    <s v="ANT-0987"/>
    <n v="35"/>
    <s v="En Cours"/>
    <x v="1"/>
    <s v=" non répertoriées"/>
    <s v=" non répertoriées"/>
    <x v="1"/>
    <s v=" non répertoriées"/>
    <n v="1"/>
    <n v="35"/>
    <d v="2023-10-26T05:07:00"/>
  </r>
  <r>
    <d v="2023-10-05T22:46:00"/>
    <s v="ANT-0634"/>
    <n v="47"/>
    <s v="Non Résolu"/>
    <x v="1"/>
    <s v=" non répertoriées"/>
    <s v=" non répertoriées"/>
    <x v="1"/>
    <s v=" non répertoriées"/>
    <n v="1"/>
    <n v="47"/>
    <d v="2023-10-05T22:46:00"/>
  </r>
  <r>
    <d v="2023-10-02T05:06:00"/>
    <s v="ANT-0653"/>
    <n v="40"/>
    <s v="Non Résolu"/>
    <x v="9"/>
    <n v="0.82868600000000003"/>
    <n v="26.958843999999999"/>
    <x v="2"/>
    <s v="ZTE"/>
    <n v="5"/>
    <n v="385"/>
    <d v="2023-10-30T01:35:00"/>
  </r>
  <r>
    <d v="2023-10-14T18:30:00"/>
    <s v="ANT-0312"/>
    <n v="11"/>
    <s v="En Cours"/>
    <x v="1"/>
    <s v=" non répertoriées"/>
    <s v=" non répertoriées"/>
    <x v="1"/>
    <s v=" non répertoriées"/>
    <n v="1"/>
    <n v="11"/>
    <d v="2023-10-14T18:30:00"/>
  </r>
  <r>
    <d v="2023-10-26T18:43:00"/>
    <s v="ANT-0912"/>
    <n v="69"/>
    <s v="Non Résolu"/>
    <x v="1"/>
    <s v=" non répertoriées"/>
    <s v=" non répertoriées"/>
    <x v="1"/>
    <s v=" non répertoriées"/>
    <n v="2"/>
    <n v="138"/>
    <d v="2023-10-26T18:43:00"/>
  </r>
  <r>
    <d v="2023-10-15T05:39:00"/>
    <s v="ANT-0521"/>
    <n v="33"/>
    <s v="Résolu"/>
    <x v="25"/>
    <n v="-10.318835"/>
    <n v="21.252382000000001"/>
    <x v="0"/>
    <s v="Ericsson"/>
    <n v="1"/>
    <n v="33"/>
    <d v="2023-10-15T05:39:00"/>
  </r>
  <r>
    <d v="2023-10-13T11:39:00"/>
    <s v="ANT-0576"/>
    <n v="75"/>
    <s v="Résolu"/>
    <x v="1"/>
    <s v=" non répertoriées"/>
    <s v=" non répertoriées"/>
    <x v="1"/>
    <s v=" non répertoriées"/>
    <n v="1"/>
    <n v="75"/>
    <d v="2023-10-13T11:39:00"/>
  </r>
  <r>
    <d v="2023-10-01T21:56:00"/>
    <s v="ANT-0212"/>
    <n v="87"/>
    <s v="Résolu"/>
    <x v="17"/>
    <n v="3.175935"/>
    <n v="16.862832000000001"/>
    <x v="2"/>
    <s v="Ericsson"/>
    <n v="1"/>
    <n v="87"/>
    <d v="2023-10-01T21:56:00"/>
  </r>
  <r>
    <d v="2023-10-27T23:57:00"/>
    <s v="ANT-0671"/>
    <n v="53"/>
    <s v="En Cours"/>
    <x v="6"/>
    <n v="-7.8373179999999998"/>
    <n v="20.527591999999999"/>
    <x v="0"/>
    <s v="Ericsson"/>
    <n v="1"/>
    <n v="53"/>
    <d v="2023-10-27T23:57:00"/>
  </r>
  <r>
    <d v="2023-10-05T15:58:00"/>
    <s v="ANT-0688"/>
    <n v="56"/>
    <s v="Résolu"/>
    <x v="1"/>
    <s v=" non répertoriées"/>
    <s v=" non répertoriées"/>
    <x v="1"/>
    <s v=" non répertoriées"/>
    <n v="5"/>
    <n v="312"/>
    <d v="2023-10-25T06:55:00"/>
  </r>
  <r>
    <d v="2023-10-16T03:56:00"/>
    <s v="ANT-0468"/>
    <n v="109"/>
    <s v="Non Résolu"/>
    <x v="1"/>
    <s v=" non répertoriées"/>
    <s v=" non répertoriées"/>
    <x v="1"/>
    <s v=" non répertoriées"/>
    <n v="1"/>
    <n v="109"/>
    <d v="2023-10-16T03:56:00"/>
  </r>
  <r>
    <d v="2023-10-14T14:02:00"/>
    <s v="ANT-0974"/>
    <n v="35"/>
    <s v="Non Résolu"/>
    <x v="1"/>
    <s v=" non répertoriées"/>
    <s v=" non répertoriées"/>
    <x v="1"/>
    <s v=" non répertoriées"/>
    <n v="1"/>
    <n v="35"/>
    <d v="2023-10-14T14:02:00"/>
  </r>
  <r>
    <d v="2023-10-03T08:41:00"/>
    <s v="ANT-0350"/>
    <n v="15"/>
    <s v="Non Résolu"/>
    <x v="1"/>
    <s v=" non répertoriées"/>
    <s v=" non répertoriées"/>
    <x v="1"/>
    <s v=" non répertoriées"/>
    <n v="1"/>
    <n v="15"/>
    <d v="2023-10-03T08:41:00"/>
  </r>
  <r>
    <d v="2023-10-11T00:45:00"/>
    <s v="ANT-0373"/>
    <n v="63"/>
    <s v="En Cours"/>
    <x v="4"/>
    <n v="-9.0798120000000004"/>
    <n v="14.945484"/>
    <x v="2"/>
    <s v="Ericsson"/>
    <n v="2"/>
    <n v="78"/>
    <d v="2023-10-11T00:45:00"/>
  </r>
  <r>
    <d v="2023-10-28T21:33:00"/>
    <s v="ANT-0846"/>
    <n v="61"/>
    <s v="Résolu"/>
    <x v="21"/>
    <n v="-7.1079169999999996"/>
    <n v="13.636272"/>
    <x v="2"/>
    <s v="Nokia"/>
    <n v="2"/>
    <n v="75"/>
    <d v="2023-10-31T14:17:00"/>
  </r>
  <r>
    <d v="2023-10-25T23:36:00"/>
    <s v="ANT-0056"/>
    <n v="107"/>
    <s v="En Cours"/>
    <x v="24"/>
    <n v="-9.3652280000000001"/>
    <n v="18.674116000000001"/>
    <x v="0"/>
    <s v="Huawei"/>
    <n v="4"/>
    <n v="177"/>
    <d v="2023-10-25T23:36:00"/>
  </r>
  <r>
    <d v="2023-10-24T18:14:00"/>
    <s v="ANT-0837"/>
    <n v="78"/>
    <s v="Non Résolu"/>
    <x v="19"/>
    <n v="-5.3762689999999997"/>
    <n v="28.189575999999999"/>
    <x v="2"/>
    <s v="Huawei"/>
    <n v="4"/>
    <n v="237"/>
    <d v="2023-10-24T18:14:00"/>
  </r>
  <r>
    <d v="2023-10-31T21:55:00"/>
    <s v="ANT-0229"/>
    <n v="62"/>
    <s v="Résolu"/>
    <x v="15"/>
    <n v="-1.9540519999999999"/>
    <n v="12.667945"/>
    <x v="0"/>
    <s v="Huawei"/>
    <n v="2"/>
    <n v="75"/>
    <d v="2023-10-31T21:55:00"/>
  </r>
  <r>
    <d v="2023-10-11T16:33:00"/>
    <s v="ANT-0865"/>
    <n v="16"/>
    <s v="Résolu"/>
    <x v="22"/>
    <n v="-4.869434"/>
    <n v="22.326522000000001"/>
    <x v="2"/>
    <s v="Ericsson"/>
    <n v="2"/>
    <n v="92"/>
    <d v="2023-10-11T16:33:00"/>
  </r>
  <r>
    <d v="2023-10-23T22:39:00"/>
    <s v="ANT-0466"/>
    <n v="114"/>
    <s v="Résolu"/>
    <x v="26"/>
    <n v="-9.6407190000000007"/>
    <n v="21.336704999999998"/>
    <x v="0"/>
    <s v="ZTE"/>
    <n v="1"/>
    <n v="114"/>
    <d v="2023-10-23T22:39:00"/>
  </r>
  <r>
    <d v="2023-10-04T13:42:00"/>
    <s v="ANT-0340"/>
    <n v="68"/>
    <s v="En Cours"/>
    <x v="1"/>
    <s v=" non répertoriées"/>
    <s v=" non répertoriées"/>
    <x v="1"/>
    <s v=" non répertoriées"/>
    <n v="1"/>
    <n v="68"/>
    <d v="2023-10-04T13:42:00"/>
  </r>
  <r>
    <d v="2023-10-24T07:30:00"/>
    <s v="ANT-0574"/>
    <n v="62"/>
    <s v="Résolu"/>
    <x v="1"/>
    <s v=" non répertoriées"/>
    <s v=" non répertoriées"/>
    <x v="1"/>
    <s v=" non répertoriées"/>
    <n v="1"/>
    <n v="62"/>
    <d v="2023-10-24T07:30:00"/>
  </r>
  <r>
    <d v="2023-10-12T21:43:00"/>
    <s v="ANT-0786"/>
    <n v="45"/>
    <s v="En Cours"/>
    <x v="8"/>
    <n v="-12.342053999999999"/>
    <n v="18.756862000000002"/>
    <x v="3"/>
    <s v="Ericsson"/>
    <n v="2"/>
    <n v="88"/>
    <d v="2023-10-12T21:43:00"/>
  </r>
  <r>
    <d v="2023-10-21T12:09:00"/>
    <s v="ANT-0635"/>
    <n v="20"/>
    <s v="Résolu"/>
    <x v="1"/>
    <s v=" non répertoriées"/>
    <s v=" non répertoriées"/>
    <x v="1"/>
    <s v=" non répertoriées"/>
    <n v="3"/>
    <n v="114"/>
    <d v="2023-10-30T23:41:00"/>
  </r>
  <r>
    <d v="2023-10-27T17:57:00"/>
    <s v="ANT-0615"/>
    <n v="68"/>
    <s v="Non Résolu"/>
    <x v="1"/>
    <s v=" non répertoriées"/>
    <s v=" non répertoriées"/>
    <x v="1"/>
    <s v=" non répertoriées"/>
    <n v="1"/>
    <n v="68"/>
    <d v="2023-10-27T17:57:00"/>
  </r>
  <r>
    <d v="2023-10-20T01:00:00"/>
    <s v="ANT-0485"/>
    <n v="100"/>
    <s v="En Cours"/>
    <x v="1"/>
    <s v=" non répertoriées"/>
    <s v=" non répertoriées"/>
    <x v="1"/>
    <s v=" non répertoriées"/>
    <n v="2"/>
    <n v="146"/>
    <d v="2023-10-20T01:00:00"/>
  </r>
  <r>
    <d v="2023-10-26T18:43:00"/>
    <s v="ANT-0912"/>
    <n v="69"/>
    <s v="Non Résolu"/>
    <x v="1"/>
    <s v=" non répertoriées"/>
    <s v=" non répertoriées"/>
    <x v="1"/>
    <s v=" non répertoriées"/>
    <n v="2"/>
    <n v="138"/>
    <d v="2023-10-26T18:43:00"/>
  </r>
  <r>
    <d v="2023-10-04T14:29:00"/>
    <s v="ANT-0753"/>
    <n v="106"/>
    <s v="Non Résolu"/>
    <x v="7"/>
    <n v="-5.1507670000000001"/>
    <n v="28.075324999999999"/>
    <x v="2"/>
    <s v="Huawei"/>
    <n v="1"/>
    <n v="106"/>
    <d v="2023-10-04T14:29:00"/>
  </r>
  <r>
    <d v="2023-10-22T18:32:00"/>
    <s v="ANT-0527"/>
    <n v="107"/>
    <s v="Résolu"/>
    <x v="3"/>
    <n v="-4.4451280000000004"/>
    <n v="16.536944999999999"/>
    <x v="0"/>
    <s v="Ericsson"/>
    <n v="2"/>
    <n v="209"/>
    <d v="2023-10-22T18:32:00"/>
  </r>
  <r>
    <d v="2023-10-05T15:00:00"/>
    <s v="ANT-0123"/>
    <n v="94"/>
    <s v="En Cours"/>
    <x v="20"/>
    <n v="-1.6893210000000001"/>
    <n v="30.446543999999999"/>
    <x v="0"/>
    <s v="Huawei"/>
    <n v="1"/>
    <n v="94"/>
    <d v="2023-10-05T15:00:00"/>
  </r>
  <r>
    <d v="2023-10-17T23:03:00"/>
    <s v="ANT-0387"/>
    <n v="41"/>
    <s v="Non Résolu"/>
    <x v="24"/>
    <n v="-7.5641280000000002"/>
    <n v="18.129529999999999"/>
    <x v="3"/>
    <s v="Huawei"/>
    <n v="1"/>
    <n v="41"/>
    <d v="2023-10-17T23:03:00"/>
  </r>
  <r>
    <d v="2023-10-18T13:53:00"/>
    <s v="ANT-0042"/>
    <n v="93"/>
    <s v="Non Résolu"/>
    <x v="3"/>
    <n v="-10.735106"/>
    <n v="27.868673999999999"/>
    <x v="3"/>
    <s v="Ericsson"/>
    <n v="1"/>
    <n v="93"/>
    <d v="2023-10-18T13:53:00"/>
  </r>
  <r>
    <d v="2023-10-19T15:59:00"/>
    <s v="ANT-0439"/>
    <n v="90"/>
    <s v="En Cours"/>
    <x v="1"/>
    <s v=" non répertoriées"/>
    <s v=" non répertoriées"/>
    <x v="1"/>
    <s v=" non répertoriées"/>
    <n v="1"/>
    <n v="90"/>
    <d v="2023-10-19T15:59:00"/>
  </r>
  <r>
    <d v="2023-10-19T05:46:00"/>
    <s v="ANT-0570"/>
    <n v="53"/>
    <s v="En Cours"/>
    <x v="1"/>
    <s v=" non répertoriées"/>
    <s v=" non répertoriées"/>
    <x v="1"/>
    <s v=" non répertoriées"/>
    <n v="2"/>
    <n v="92"/>
    <d v="2023-10-19T21:01:00"/>
  </r>
  <r>
    <d v="2023-10-27T04:06:00"/>
    <s v="ANT-0271"/>
    <n v="54"/>
    <s v="Résolu"/>
    <x v="15"/>
    <n v="-5.1030600000000002"/>
    <n v="22.849231"/>
    <x v="2"/>
    <s v="ZTE"/>
    <n v="2"/>
    <n v="127"/>
    <d v="2023-10-27T04:06:00"/>
  </r>
  <r>
    <d v="2023-10-13T21:38:00"/>
    <s v="ANT-0134"/>
    <n v="58"/>
    <s v="Résolu"/>
    <x v="4"/>
    <n v="-10.963041"/>
    <n v="12.269857"/>
    <x v="0"/>
    <s v="Huawei"/>
    <n v="3"/>
    <n v="199"/>
    <d v="2023-10-29T14:55:00"/>
  </r>
  <r>
    <d v="2023-10-20T10:32:00"/>
    <s v="ANT-0165"/>
    <n v="105"/>
    <s v="Non Résolu"/>
    <x v="8"/>
    <n v="-0.54908599999999996"/>
    <n v="14.816867"/>
    <x v="2"/>
    <s v="ZTE"/>
    <n v="1"/>
    <n v="105"/>
    <d v="2023-10-20T10:32:00"/>
  </r>
  <r>
    <d v="2023-10-29T12:26:00"/>
    <s v="ANT-0599"/>
    <n v="92"/>
    <s v="En Cours"/>
    <x v="1"/>
    <s v=" non répertoriées"/>
    <s v=" non répertoriées"/>
    <x v="1"/>
    <s v=" non répertoriées"/>
    <n v="2"/>
    <n v="183"/>
    <d v="2023-10-29T12:26:00"/>
  </r>
  <r>
    <d v="2023-10-20T22:48:00"/>
    <s v="ANT-0867"/>
    <n v="45"/>
    <s v="En Cours"/>
    <x v="1"/>
    <s v=" non répertoriées"/>
    <s v=" non répertoriées"/>
    <x v="1"/>
    <s v=" non répertoriées"/>
    <n v="3"/>
    <n v="267"/>
    <d v="2023-10-24T10:51:00"/>
  </r>
  <r>
    <d v="2023-10-08T08:25:00"/>
    <s v="ANT-0262"/>
    <n v="75"/>
    <s v="En Cours"/>
    <x v="1"/>
    <s v=" non répertoriées"/>
    <s v=" non répertoriées"/>
    <x v="1"/>
    <s v=" non répertoriées"/>
    <n v="1"/>
    <n v="75"/>
    <d v="2023-10-08T08:25:00"/>
  </r>
  <r>
    <d v="2023-10-31T10:18:00"/>
    <s v="ANT-0006"/>
    <n v="11"/>
    <s v="En Cours"/>
    <x v="20"/>
    <n v="-2.8532869999999999"/>
    <n v="22.117896000000002"/>
    <x v="2"/>
    <s v="Huawei"/>
    <n v="2"/>
    <n v="114"/>
    <d v="2023-10-31T20:50:00"/>
  </r>
  <r>
    <d v="2023-10-15T04:08:00"/>
    <s v="ANT-0339"/>
    <n v="6"/>
    <s v="Résolu"/>
    <x v="20"/>
    <n v="-3.6945459999999999"/>
    <n v="16.809108999999999"/>
    <x v="2"/>
    <s v="ZTE"/>
    <n v="4"/>
    <n v="258"/>
    <d v="2023-10-29T14:45:00"/>
  </r>
  <r>
    <d v="2023-10-14T19:44:00"/>
    <s v="ANT-0478"/>
    <n v="100"/>
    <s v="Non Résolu"/>
    <x v="1"/>
    <s v=" non répertoriées"/>
    <s v=" non répertoriées"/>
    <x v="1"/>
    <s v=" non répertoriées"/>
    <n v="1"/>
    <n v="100"/>
    <d v="2023-10-14T19:44:00"/>
  </r>
  <r>
    <d v="2023-10-29T23:32:00"/>
    <s v="ANT-0727"/>
    <n v="37"/>
    <s v="Non Résolu"/>
    <x v="1"/>
    <s v=" non répertoriées"/>
    <s v=" non répertoriées"/>
    <x v="1"/>
    <s v=" non répertoriées"/>
    <n v="3"/>
    <n v="96"/>
    <d v="2023-10-31T21:53:00"/>
  </r>
  <r>
    <d v="2023-10-10T22:35:00"/>
    <s v="ANT-0960"/>
    <n v="30"/>
    <s v="En Cours"/>
    <x v="1"/>
    <s v=" non répertoriées"/>
    <s v=" non répertoriées"/>
    <x v="1"/>
    <s v=" non répertoriées"/>
    <n v="2"/>
    <n v="146"/>
    <d v="2023-10-10T22:35:00"/>
  </r>
  <r>
    <d v="2023-10-28T10:45:00"/>
    <s v="ANT-0159"/>
    <n v="84"/>
    <s v="Non Résolu"/>
    <x v="13"/>
    <n v="2.4414509999999998"/>
    <n v="30.167489"/>
    <x v="2"/>
    <s v="Nokia"/>
    <n v="2"/>
    <n v="203"/>
    <d v="2023-10-28T10:45:00"/>
  </r>
  <r>
    <d v="2023-10-24T17:40:00"/>
    <s v="ANT-0041"/>
    <n v="116"/>
    <s v="Non Résolu"/>
    <x v="7"/>
    <n v="0.16841400000000001"/>
    <n v="30.029876999999999"/>
    <x v="2"/>
    <s v="Huawei"/>
    <n v="2"/>
    <n v="194"/>
    <d v="2023-10-24T17:40:00"/>
  </r>
  <r>
    <d v="2023-10-07T06:13:00"/>
    <s v="ANT-0158"/>
    <n v="104"/>
    <s v="Résolu"/>
    <x v="1"/>
    <s v=" non répertoriées"/>
    <s v=" non répertoriées"/>
    <x v="1"/>
    <s v=" non répertoriées"/>
    <n v="1"/>
    <n v="104"/>
    <d v="2023-10-07T06:13:00"/>
  </r>
  <r>
    <d v="2023-10-20T22:18:00"/>
    <s v="ANT-0951"/>
    <n v="115"/>
    <s v="Résolu"/>
    <x v="1"/>
    <s v=" non répertoriées"/>
    <s v=" non répertoriées"/>
    <x v="1"/>
    <s v=" non répertoriées"/>
    <n v="2"/>
    <n v="230"/>
    <d v="2023-10-20T22:18:00"/>
  </r>
  <r>
    <d v="2023-10-22T11:58:00"/>
    <s v="ANT-0331"/>
    <n v="116"/>
    <s v="Non Résolu"/>
    <x v="1"/>
    <s v=" non répertoriées"/>
    <s v=" non répertoriées"/>
    <x v="1"/>
    <s v=" non répertoriées"/>
    <n v="1"/>
    <n v="116"/>
    <d v="2023-10-22T11:58:00"/>
  </r>
  <r>
    <d v="2023-10-22T04:45:00"/>
    <s v="ANT-0612"/>
    <n v="61"/>
    <s v="En Cours"/>
    <x v="4"/>
    <n v="-7.5129409999999996"/>
    <n v="18.701522000000001"/>
    <x v="0"/>
    <s v="Nokia"/>
    <n v="2"/>
    <n v="150"/>
    <d v="2023-10-22T04:45:00"/>
  </r>
  <r>
    <d v="2023-10-21T05:32:00"/>
    <s v="ANT-0053"/>
    <n v="111"/>
    <s v="En Cours"/>
    <x v="1"/>
    <s v=" non répertoriées"/>
    <s v=" non répertoriées"/>
    <x v="1"/>
    <s v=" non répertoriées"/>
    <n v="3"/>
    <n v="171"/>
    <d v="2023-10-28T03:15:00"/>
  </r>
  <r>
    <d v="2023-10-18T22:40:00"/>
    <s v="ANT-0793"/>
    <n v="33"/>
    <s v="Résolu"/>
    <x v="1"/>
    <s v=" non répertoriées"/>
    <s v=" non répertoriées"/>
    <x v="1"/>
    <s v=" non répertoriées"/>
    <n v="1"/>
    <n v="33"/>
    <d v="2023-10-18T22:40:00"/>
  </r>
  <r>
    <d v="2023-10-11T22:07:00"/>
    <s v="ANT-0955"/>
    <n v="86"/>
    <s v="Non Résolu"/>
    <x v="1"/>
    <s v=" non répertoriées"/>
    <s v=" non répertoriées"/>
    <x v="1"/>
    <s v=" non répertoriées"/>
    <n v="3"/>
    <n v="214"/>
    <d v="2023-10-21T08:50:00"/>
  </r>
  <r>
    <d v="2023-10-25T11:35:00"/>
    <s v="ANT-0641"/>
    <n v="95"/>
    <s v="Non Résolu"/>
    <x v="5"/>
    <n v="-2.2371569999999998"/>
    <n v="25.926188"/>
    <x v="3"/>
    <s v="Nokia"/>
    <n v="3"/>
    <n v="171"/>
    <d v="2023-10-25T11:35:00"/>
  </r>
  <r>
    <d v="2023-10-16T18:36:00"/>
    <s v="ANT-0631"/>
    <n v="95"/>
    <s v="Non Résolu"/>
    <x v="10"/>
    <n v="-0.85624699999999998"/>
    <n v="28.624870000000001"/>
    <x v="3"/>
    <s v="Ericsson"/>
    <n v="2"/>
    <n v="187"/>
    <d v="2023-10-16T18:36:00"/>
  </r>
  <r>
    <d v="2023-10-31T21:45:00"/>
    <s v="ANT-0864"/>
    <n v="87"/>
    <s v="Résolu"/>
    <x v="1"/>
    <s v=" non répertoriées"/>
    <s v=" non répertoriées"/>
    <x v="1"/>
    <s v=" non répertoriées"/>
    <n v="2"/>
    <n v="94"/>
    <d v="2023-10-31T21:45:00"/>
  </r>
  <r>
    <d v="2023-10-14T21:47:00"/>
    <s v="ANT-0678"/>
    <n v="52"/>
    <s v="Résolu"/>
    <x v="9"/>
    <n v="-10.298385"/>
    <n v="29.698117"/>
    <x v="2"/>
    <s v="Nokia"/>
    <n v="2"/>
    <n v="72"/>
    <d v="2023-10-25T05:31:00"/>
  </r>
  <r>
    <d v="2023-10-29T17:18:00"/>
    <s v="ant-0309"/>
    <n v="101"/>
    <s v="Non Résolu"/>
    <x v="1"/>
    <s v=" non répertoriées"/>
    <s v=" non répertoriées"/>
    <x v="1"/>
    <s v=" non répertoriées"/>
    <n v="2"/>
    <n v="166"/>
    <d v="2023-10-31T13:52:00"/>
  </r>
  <r>
    <d v="2023-10-29T13:51:00"/>
    <s v="ANT-0503"/>
    <n v="80"/>
    <s v="En Cours"/>
    <x v="22"/>
    <n v="-1.8045979999999999"/>
    <n v="12.511096999999999"/>
    <x v="3"/>
    <s v="Huawei"/>
    <n v="4"/>
    <n v="211"/>
    <d v="2023-10-29T13:51:00"/>
  </r>
  <r>
    <d v="2023-10-01T16:06:00"/>
    <s v="ANT-0809"/>
    <n v="74"/>
    <s v="En Cours"/>
    <x v="18"/>
    <n v="-4.6426759999999998"/>
    <n v="22.124254000000001"/>
    <x v="0"/>
    <s v="ZTE"/>
    <n v="1"/>
    <n v="74"/>
    <d v="2023-10-01T16:06:00"/>
  </r>
  <r>
    <d v="2023-10-01T12:09:00"/>
    <s v="ANT-0587"/>
    <n v="99"/>
    <s v="Résolu"/>
    <x v="7"/>
    <n v="-10.945031"/>
    <n v="27.922274000000002"/>
    <x v="0"/>
    <s v="Ericsson"/>
    <n v="3"/>
    <n v="298"/>
    <d v="2023-10-31T03:04:00"/>
  </r>
  <r>
    <d v="2023-10-02T21:03:00"/>
    <s v="ANT-0564"/>
    <n v="82"/>
    <s v="En Cours"/>
    <x v="9"/>
    <n v="-12.336202"/>
    <n v="13.693683999999999"/>
    <x v="2"/>
    <s v="Huawei"/>
    <n v="4"/>
    <n v="190"/>
    <d v="2023-10-31T11:40:00"/>
  </r>
  <r>
    <d v="2023-10-07T08:48:00"/>
    <s v="ANT-0367"/>
    <n v="30"/>
    <s v="En Cours"/>
    <x v="1"/>
    <s v=" non répertoriées"/>
    <s v=" non répertoriées"/>
    <x v="1"/>
    <s v=" non répertoriées"/>
    <n v="1"/>
    <n v="30"/>
    <d v="2023-10-07T08:48:00"/>
  </r>
  <r>
    <d v="2023-10-26T05:18:00"/>
    <s v="ANT-0075"/>
    <n v="104"/>
    <s v="Non Résolu"/>
    <x v="3"/>
    <n v="-8.0800809999999998"/>
    <n v="30.147970999999998"/>
    <x v="2"/>
    <s v="Huawei"/>
    <n v="2"/>
    <n v="148"/>
    <d v="2023-10-26T05:18:00"/>
  </r>
  <r>
    <d v="2023-10-22T08:09:00"/>
    <s v="ANT-0803"/>
    <n v="97"/>
    <s v="Non Résolu"/>
    <x v="1"/>
    <s v=" non répertoriées"/>
    <s v=" non répertoriées"/>
    <x v="1"/>
    <s v=" non répertoriées"/>
    <n v="2"/>
    <n v="113"/>
    <d v="2023-10-22T08:09:00"/>
  </r>
  <r>
    <d v="2023-10-27T01:44:00"/>
    <s v="ANT-0725"/>
    <n v="29"/>
    <s v="En Cours"/>
    <x v="1"/>
    <s v=" non répertoriées"/>
    <s v=" non répertoriées"/>
    <x v="1"/>
    <s v=" non répertoriées"/>
    <n v="1"/>
    <n v="29"/>
    <d v="2023-10-27T01:44:00"/>
  </r>
  <r>
    <d v="2023-10-26T09:13:00"/>
    <s v="ANT-0326"/>
    <n v="42"/>
    <s v="Résolu"/>
    <x v="1"/>
    <s v=" non répertoriées"/>
    <s v=" non répertoriées"/>
    <x v="1"/>
    <s v=" non répertoriées"/>
    <n v="2"/>
    <n v="75"/>
    <d v="2023-10-31T12:54:00"/>
  </r>
  <r>
    <d v="2023-10-25T17:02:00"/>
    <s v="ANT-0539"/>
    <n v="62"/>
    <s v="Non Résolu"/>
    <x v="1"/>
    <s v=" non répertoriées"/>
    <s v=" non répertoriées"/>
    <x v="1"/>
    <s v=" non répertoriées"/>
    <n v="1"/>
    <n v="62"/>
    <d v="2023-10-25T17:02:00"/>
  </r>
  <r>
    <d v="2023-10-12T14:06:00"/>
    <s v="ANT-0226"/>
    <n v="27"/>
    <s v="En Cours"/>
    <x v="14"/>
    <n v="-7.8215969999999997"/>
    <n v="26.797349000000001"/>
    <x v="3"/>
    <s v="Ericsson"/>
    <n v="1"/>
    <n v="27"/>
    <d v="2023-10-12T14:06:00"/>
  </r>
  <r>
    <d v="2023-10-20T21:47:00"/>
    <s v="ANT-0980"/>
    <n v="92"/>
    <s v="Non Résolu"/>
    <x v="1"/>
    <s v=" non répertoriées"/>
    <s v=" non répertoriées"/>
    <x v="1"/>
    <s v=" non répertoriées"/>
    <n v="1"/>
    <n v="92"/>
    <d v="2023-10-20T21:47:00"/>
  </r>
  <r>
    <d v="2023-10-18T07:47:00"/>
    <s v="ANT-0189"/>
    <n v="14"/>
    <s v="Non Résolu"/>
    <x v="1"/>
    <s v=" non répertoriées"/>
    <s v=" non répertoriées"/>
    <x v="1"/>
    <s v=" non répertoriées"/>
    <n v="1"/>
    <n v="14"/>
    <d v="2023-10-18T07:47:00"/>
  </r>
  <r>
    <d v="2023-10-21T17:24:00"/>
    <s v="ANT-0534"/>
    <n v="28"/>
    <s v="En Cours"/>
    <x v="0"/>
    <n v="-9.002459"/>
    <n v="25.182109000000001"/>
    <x v="2"/>
    <s v="Huawei"/>
    <n v="2"/>
    <n v="64"/>
    <d v="2023-10-26T23:10:00"/>
  </r>
  <r>
    <d v="2023-10-08T16:50:00"/>
    <s v="ANT-0070"/>
    <n v="27"/>
    <s v="En Cours"/>
    <x v="17"/>
    <n v="-10.764815"/>
    <n v="14.602039"/>
    <x v="0"/>
    <s v="Nokia"/>
    <n v="1"/>
    <n v="27"/>
    <d v="2023-10-08T16:50:00"/>
  </r>
  <r>
    <d v="2023-10-20T22:18:00"/>
    <s v="ANT-0951"/>
    <n v="115"/>
    <s v="Résolu"/>
    <x v="1"/>
    <s v=" non répertoriées"/>
    <s v=" non répertoriées"/>
    <x v="1"/>
    <s v=" non répertoriées"/>
    <n v="2"/>
    <n v="230"/>
    <d v="2023-10-20T22:18:00"/>
  </r>
  <r>
    <d v="2023-10-31T17:34:00"/>
    <s v="ANT-0199"/>
    <n v="52"/>
    <s v="Résolu"/>
    <x v="1"/>
    <s v=" non répertoriées"/>
    <s v=" non répertoriées"/>
    <x v="1"/>
    <s v=" non répertoriées"/>
    <n v="2"/>
    <n v="61"/>
    <d v="2023-10-31T17:34:00"/>
  </r>
  <r>
    <d v="2023-10-01T20:04:00"/>
    <s v="ANT-0118"/>
    <n v="6"/>
    <s v="Résolu"/>
    <x v="1"/>
    <s v=" non répertoriées"/>
    <s v=" non répertoriées"/>
    <x v="1"/>
    <s v=" non répertoriées"/>
    <n v="3"/>
    <n v="167"/>
    <d v="2023-10-11T00:11:00"/>
  </r>
  <r>
    <d v="2023-10-07T21:40:00"/>
    <s v="ANT-0186"/>
    <n v="75"/>
    <s v="En Cours"/>
    <x v="1"/>
    <s v=" non répertoriées"/>
    <s v=" non répertoriées"/>
    <x v="1"/>
    <s v=" non répertoriées"/>
    <n v="1"/>
    <n v="75"/>
    <d v="2023-10-07T21:40:00"/>
  </r>
  <r>
    <d v="2023-10-25T06:55:00"/>
    <s v="ANT-0688"/>
    <n v="116"/>
    <s v="En Cours"/>
    <x v="1"/>
    <s v=" non répertoriées"/>
    <s v=" non répertoriées"/>
    <x v="1"/>
    <s v=" non répertoriées"/>
    <n v="5"/>
    <n v="312"/>
    <d v="2023-10-25T06:55:00"/>
  </r>
  <r>
    <d v="2023-10-22T13:53:00"/>
    <s v="ANT-0819"/>
    <n v="76"/>
    <s v="En Cours"/>
    <x v="1"/>
    <s v=" non répertoriées"/>
    <s v=" non répertoriées"/>
    <x v="1"/>
    <s v=" non répertoriées"/>
    <n v="2"/>
    <n v="85"/>
    <d v="2023-10-22T13:53:00"/>
  </r>
  <r>
    <d v="2023-10-04T06:34:00"/>
    <s v="ANT-0581"/>
    <n v="23"/>
    <s v="En Cours"/>
    <x v="1"/>
    <s v=" non répertoriées"/>
    <s v=" non répertoriées"/>
    <x v="1"/>
    <s v=" non répertoriées"/>
    <n v="2"/>
    <n v="83"/>
    <d v="2023-10-05T08:08:00"/>
  </r>
  <r>
    <d v="2023-10-27T22:56:00"/>
    <s v="ANT-0873"/>
    <n v="20"/>
    <s v="Non Résolu"/>
    <x v="1"/>
    <s v=" non répertoriées"/>
    <s v=" non répertoriées"/>
    <x v="1"/>
    <s v=" non répertoriées"/>
    <n v="1"/>
    <n v="20"/>
    <d v="2023-10-27T22:56:00"/>
  </r>
  <r>
    <d v="2023-10-24T13:41:00"/>
    <s v="ANT-0056"/>
    <n v="10"/>
    <s v="Non Résolu"/>
    <x v="24"/>
    <n v="-9.3652280000000001"/>
    <n v="18.674116000000001"/>
    <x v="0"/>
    <s v="Huawei"/>
    <n v="4"/>
    <n v="177"/>
    <d v="2023-10-25T23:36:00"/>
  </r>
  <r>
    <d v="2023-10-27T02:47:00"/>
    <s v="ANT-0872"/>
    <n v="5"/>
    <s v="En Cours"/>
    <x v="23"/>
    <n v="2.486888"/>
    <n v="23.798074"/>
    <x v="2"/>
    <s v="ZTE"/>
    <n v="2"/>
    <n v="39"/>
    <d v="2023-10-31T15:12:00"/>
  </r>
  <r>
    <d v="2023-10-22T04:01:00"/>
    <s v="ANT-0770"/>
    <n v="78"/>
    <s v="Non Résolu"/>
    <x v="12"/>
    <n v="2.4741019999999998"/>
    <n v="29.297391000000001"/>
    <x v="0"/>
    <s v="Ericsson"/>
    <n v="3"/>
    <n v="217"/>
    <d v="2023-10-22T04:01:00"/>
  </r>
  <r>
    <d v="2023-10-15T22:21:00"/>
    <s v="ANT-0955"/>
    <n v="81"/>
    <s v="Non Résolu"/>
    <x v="1"/>
    <s v=" non répertoriées"/>
    <s v=" non répertoriées"/>
    <x v="1"/>
    <s v=" non répertoriées"/>
    <n v="3"/>
    <n v="214"/>
    <d v="2023-10-21T08:50:00"/>
  </r>
  <r>
    <d v="2023-10-02T02:04:00"/>
    <s v="ANT-0563"/>
    <n v="55"/>
    <s v="Résolu"/>
    <x v="9"/>
    <n v="-1.8555980000000001"/>
    <n v="30.421918000000002"/>
    <x v="3"/>
    <s v="ZTE"/>
    <n v="5"/>
    <n v="226"/>
    <d v="2023-10-23T14:20:00"/>
  </r>
  <r>
    <d v="2023-10-02T05:50:00"/>
    <s v="ANT-0473"/>
    <n v="73"/>
    <s v="Non Résolu"/>
    <x v="1"/>
    <s v=" non répertoriées"/>
    <s v=" non répertoriées"/>
    <x v="1"/>
    <s v=" non répertoriées"/>
    <n v="3"/>
    <n v="209"/>
    <d v="2023-10-03T16:41:00"/>
  </r>
  <r>
    <d v="2023-10-09T17:04:00"/>
    <s v="ANT-0661"/>
    <n v="75"/>
    <s v="Non Résolu"/>
    <x v="1"/>
    <s v=" non répertoriées"/>
    <s v=" non répertoriées"/>
    <x v="1"/>
    <s v=" non répertoriées"/>
    <n v="2"/>
    <n v="168"/>
    <d v="2023-10-09T17:04:00"/>
  </r>
  <r>
    <d v="2023-10-19T07:58:00"/>
    <s v="ANT-0563"/>
    <n v="15"/>
    <s v="En Cours"/>
    <x v="9"/>
    <n v="-1.8555980000000001"/>
    <n v="30.421918000000002"/>
    <x v="3"/>
    <s v="ZTE"/>
    <n v="5"/>
    <n v="226"/>
    <d v="2023-10-23T14:20:00"/>
  </r>
  <r>
    <d v="2023-10-09T13:24:00"/>
    <s v="ANT-0075"/>
    <n v="44"/>
    <s v="En Cours"/>
    <x v="3"/>
    <n v="-8.0800809999999998"/>
    <n v="30.147970999999998"/>
    <x v="2"/>
    <s v="Huawei"/>
    <n v="2"/>
    <n v="148"/>
    <d v="2023-10-26T05:18:00"/>
  </r>
  <r>
    <d v="2023-10-15T20:25:00"/>
    <s v="ANT-0298"/>
    <n v="31"/>
    <s v="En Cours"/>
    <x v="23"/>
    <n v="-5.4073029999999997"/>
    <n v="29.762294000000001"/>
    <x v="3"/>
    <s v="Ericsson"/>
    <n v="2"/>
    <n v="97"/>
    <d v="2023-10-15T20:25:00"/>
  </r>
  <r>
    <d v="2023-10-14T10:01:00"/>
    <s v="ANT-0688"/>
    <n v="100"/>
    <s v="Résolu"/>
    <x v="1"/>
    <s v=" non répertoriées"/>
    <s v=" non répertoriées"/>
    <x v="1"/>
    <s v=" non répertoriées"/>
    <n v="5"/>
    <n v="312"/>
    <d v="2023-10-25T06:55:00"/>
  </r>
  <r>
    <d v="2023-10-13T21:07:00"/>
    <s v="ANT-0069"/>
    <n v="99"/>
    <s v="Résolu"/>
    <x v="1"/>
    <s v=" non répertoriées"/>
    <s v=" non répertoriées"/>
    <x v="1"/>
    <s v=" non répertoriées"/>
    <n v="2"/>
    <n v="195"/>
    <d v="2023-10-21T06:18:00"/>
  </r>
  <r>
    <d v="2023-10-18T00:41:00"/>
    <s v="ANT-0257"/>
    <n v="120"/>
    <s v="En Cours"/>
    <x v="13"/>
    <n v="-4.1694589999999998"/>
    <n v="23.376487000000001"/>
    <x v="3"/>
    <s v="Nokia"/>
    <n v="2"/>
    <n v="177"/>
    <d v="2023-10-31T20:44:00"/>
  </r>
  <r>
    <d v="2023-10-24T19:04:00"/>
    <s v="ANT-0101"/>
    <n v="97"/>
    <s v="Résolu"/>
    <x v="22"/>
    <n v="1.0134879999999999"/>
    <n v="20.363515"/>
    <x v="0"/>
    <s v="Nokia"/>
    <n v="1"/>
    <n v="97"/>
    <d v="2023-10-24T19:04:00"/>
  </r>
  <r>
    <d v="2023-10-25T23:37:00"/>
    <s v="ANT-0203"/>
    <n v="49"/>
    <s v="Résolu"/>
    <x v="1"/>
    <s v=" non répertoriées"/>
    <s v=" non répertoriées"/>
    <x v="1"/>
    <s v=" non répertoriées"/>
    <n v="1"/>
    <n v="49"/>
    <d v="2023-10-25T23:37:00"/>
  </r>
  <r>
    <d v="2023-10-02T22:54:00"/>
    <s v="ANT-0744"/>
    <n v="32"/>
    <s v="Non Résolu"/>
    <x v="1"/>
    <s v=" non répertoriées"/>
    <s v=" non répertoriées"/>
    <x v="1"/>
    <s v=" non répertoriées"/>
    <n v="1"/>
    <n v="32"/>
    <d v="2023-10-02T22:54:00"/>
  </r>
  <r>
    <d v="2023-10-03T11:59:00"/>
    <s v="ANT-0595"/>
    <n v="57"/>
    <s v="Non Résolu"/>
    <x v="1"/>
    <s v=" non répertoriées"/>
    <s v=" non répertoriées"/>
    <x v="1"/>
    <s v=" non répertoriées"/>
    <n v="2"/>
    <n v="131"/>
    <d v="2023-10-17T00:02:00"/>
  </r>
  <r>
    <d v="2023-10-17T03:18:00"/>
    <s v="ANT-0499"/>
    <n v="120"/>
    <s v="Non Résolu"/>
    <x v="19"/>
    <n v="-7.2267089999999996"/>
    <n v="28.421362999999999"/>
    <x v="2"/>
    <s v="Ericsson"/>
    <n v="1"/>
    <n v="120"/>
    <d v="2023-10-17T03:18:00"/>
  </r>
  <r>
    <d v="2023-10-26T21:19:00"/>
    <s v="ANT-0975"/>
    <n v="87"/>
    <s v="En Cours"/>
    <x v="26"/>
    <n v="-5.8145569999999998"/>
    <n v="21.942052"/>
    <x v="2"/>
    <s v="Huawei"/>
    <n v="1"/>
    <n v="87"/>
    <d v="2023-10-26T21:19:00"/>
  </r>
  <r>
    <d v="2023-10-20T02:18:00"/>
    <s v="ANT-0339"/>
    <n v="113"/>
    <s v="En Cours"/>
    <x v="20"/>
    <n v="-3.6945459999999999"/>
    <n v="16.809108999999999"/>
    <x v="2"/>
    <s v="ZTE"/>
    <n v="4"/>
    <n v="258"/>
    <d v="2023-10-29T14:45:00"/>
  </r>
  <r>
    <d v="2023-10-25T14:24:00"/>
    <s v="ANT-0366"/>
    <n v="70"/>
    <s v="En Cours"/>
    <x v="1"/>
    <s v=" non répertoriées"/>
    <s v=" non répertoriées"/>
    <x v="1"/>
    <s v=" non répertoriées"/>
    <n v="1"/>
    <n v="70"/>
    <d v="2023-10-25T14:24:00"/>
  </r>
  <r>
    <d v="2023-10-13T21:01:00"/>
    <s v="ANT-0132"/>
    <n v="23"/>
    <s v="Résolu"/>
    <x v="12"/>
    <n v="1.2691650000000001"/>
    <n v="18.789956"/>
    <x v="3"/>
    <s v="Nokia"/>
    <n v="1"/>
    <n v="23"/>
    <d v="2023-10-13T21:01:00"/>
  </r>
  <r>
    <d v="2023-10-16T05:34:00"/>
    <s v="ANT-0688"/>
    <n v="25"/>
    <s v="Non Résolu"/>
    <x v="1"/>
    <s v=" non répertoriées"/>
    <s v=" non répertoriées"/>
    <x v="1"/>
    <s v=" non répertoriées"/>
    <n v="5"/>
    <n v="312"/>
    <d v="2023-10-25T06:55:00"/>
  </r>
  <r>
    <d v="2023-10-08T04:47:00"/>
    <s v="ANT-0672"/>
    <n v="28"/>
    <s v="Non Résolu"/>
    <x v="1"/>
    <s v=" non répertoriées"/>
    <s v=" non répertoriées"/>
    <x v="1"/>
    <s v=" non répertoriées"/>
    <n v="2"/>
    <n v="115"/>
    <d v="2023-10-15T01:58:00"/>
  </r>
  <r>
    <d v="2023-10-13T17:18:00"/>
    <s v="ANT-0241"/>
    <n v="33"/>
    <s v="En Cours"/>
    <x v="15"/>
    <n v="-5.7957599999999996"/>
    <n v="14.078258"/>
    <x v="2"/>
    <s v="Ericsson"/>
    <n v="1"/>
    <n v="33"/>
    <d v="2023-10-13T17:18:00"/>
  </r>
  <r>
    <d v="2023-10-31T20:09:00"/>
    <s v="ANT-0103"/>
    <n v="83"/>
    <s v="En Cours"/>
    <x v="14"/>
    <n v="-0.79459900000000006"/>
    <n v="26.775570999999999"/>
    <x v="2"/>
    <s v="Huawei"/>
    <n v="3"/>
    <n v="222"/>
    <d v="2023-10-31T20:09:00"/>
  </r>
  <r>
    <d v="2023-10-10T21:56:00"/>
    <s v="ANT-0292"/>
    <n v="111"/>
    <s v="En Cours"/>
    <x v="20"/>
    <n v="-6.4197189999999997"/>
    <n v="22.287264"/>
    <x v="3"/>
    <s v="Ericsson"/>
    <n v="3"/>
    <n v="159"/>
    <d v="2023-10-17T23:17:00"/>
  </r>
  <r>
    <d v="2023-10-30T23:41:00"/>
    <s v="ANT-0635"/>
    <n v="37"/>
    <s v="En Cours"/>
    <x v="1"/>
    <s v=" non répertoriées"/>
    <s v=" non répertoriées"/>
    <x v="1"/>
    <s v=" non répertoriées"/>
    <n v="3"/>
    <n v="114"/>
    <d v="2023-10-30T23:41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84C96-9D02-4CEC-9FC5-DD6246D33106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K33" firstHeaderRow="1" firstDataRow="3" firstDataCol="1"/>
  <pivotFields count="12">
    <pivotField dataField="1" numFmtId="164" showAll="0"/>
    <pivotField showAll="0"/>
    <pivotField dataField="1" showAll="0"/>
    <pivotField showAll="0"/>
    <pivotField axis="axisRow" showAll="0">
      <items count="28">
        <item x="1"/>
        <item x="20"/>
        <item x="14"/>
        <item x="7"/>
        <item x="26"/>
        <item x="22"/>
        <item x="18"/>
        <item x="11"/>
        <item x="3"/>
        <item x="23"/>
        <item x="21"/>
        <item x="2"/>
        <item x="4"/>
        <item x="12"/>
        <item x="5"/>
        <item x="16"/>
        <item x="24"/>
        <item x="25"/>
        <item x="19"/>
        <item x="9"/>
        <item x="6"/>
        <item x="17"/>
        <item x="13"/>
        <item x="8"/>
        <item x="0"/>
        <item x="10"/>
        <item x="15"/>
        <item t="default"/>
      </items>
    </pivotField>
    <pivotField showAll="0"/>
    <pivotField showAll="0"/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4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2">
    <field x="7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omme de Duree_Panne_Min" fld="2" baseField="0" baseItem="0"/>
    <dataField name="Moyenne de Date_Heure_Panne" fld="0" subtotal="average" baseField="4" baseItem="9" numFmtId="164"/>
  </dataFields>
  <formats count="62">
    <format dxfId="102">
      <pivotArea type="all" dataOnly="0" outline="0" fieldPosition="0"/>
    </format>
    <format dxfId="101">
      <pivotArea outline="0" collapsedLevelsAreSubtotals="1" fieldPosition="0"/>
    </format>
    <format dxfId="100">
      <pivotArea type="origin" dataOnly="0" labelOnly="1" outline="0" fieldPosition="0"/>
    </format>
    <format dxfId="99">
      <pivotArea field="7" type="button" dataOnly="0" labelOnly="1" outline="0" axis="axisCol" fieldPosition="0"/>
    </format>
    <format dxfId="98">
      <pivotArea field="-2" type="button" dataOnly="0" labelOnly="1" outline="0" axis="axisCol" fieldPosition="1"/>
    </format>
    <format dxfId="97">
      <pivotArea type="topRight" dataOnly="0" labelOnly="1" outline="0" fieldPosition="0"/>
    </format>
    <format dxfId="96">
      <pivotArea field="4" type="button" dataOnly="0" labelOnly="1" outline="0" axis="axisRow" fieldPosition="0"/>
    </format>
    <format dxfId="95">
      <pivotArea dataOnly="0" labelOnly="1" fieldPosition="0">
        <references count="1">
          <reference field="4" count="0"/>
        </references>
      </pivotArea>
    </format>
    <format dxfId="94">
      <pivotArea dataOnly="0" labelOnly="1" grandRow="1" outline="0" fieldPosition="0"/>
    </format>
    <format dxfId="93">
      <pivotArea dataOnly="0" labelOnly="1" fieldPosition="0">
        <references count="1">
          <reference field="7" count="0"/>
        </references>
      </pivotArea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type="origin" dataOnly="0" labelOnly="1" outline="0" fieldPosition="0"/>
    </format>
    <format dxfId="89">
      <pivotArea field="7" type="button" dataOnly="0" labelOnly="1" outline="0" axis="axisCol" fieldPosition="0"/>
    </format>
    <format dxfId="88">
      <pivotArea field="-2" type="button" dataOnly="0" labelOnly="1" outline="0" axis="axisCol" fieldPosition="1"/>
    </format>
    <format dxfId="87">
      <pivotArea type="topRight" dataOnly="0" labelOnly="1" outline="0" fieldPosition="0"/>
    </format>
    <format dxfId="86">
      <pivotArea field="4" type="button" dataOnly="0" labelOnly="1" outline="0" axis="axisRow" fieldPosition="0"/>
    </format>
    <format dxfId="85">
      <pivotArea dataOnly="0" labelOnly="1" fieldPosition="0">
        <references count="1">
          <reference field="4" count="0"/>
        </references>
      </pivotArea>
    </format>
    <format dxfId="84">
      <pivotArea dataOnly="0" labelOnly="1" grandRow="1" outline="0" fieldPosition="0"/>
    </format>
    <format dxfId="83">
      <pivotArea dataOnly="0" labelOnly="1" fieldPosition="0">
        <references count="1">
          <reference field="7" count="0"/>
        </references>
      </pivotArea>
    </format>
    <format dxfId="73">
      <pivotArea type="origin" dataOnly="0" labelOnly="1" outline="0" fieldPosition="0"/>
    </format>
    <format dxfId="72">
      <pivotArea field="7" type="button" dataOnly="0" labelOnly="1" outline="0" axis="axisCol" fieldPosition="0"/>
    </format>
    <format dxfId="71">
      <pivotArea field="-2" type="button" dataOnly="0" labelOnly="1" outline="0" axis="axisCol" fieldPosition="1"/>
    </format>
    <format dxfId="70">
      <pivotArea type="topRight" dataOnly="0" labelOnly="1" outline="0" fieldPosition="0"/>
    </format>
    <format dxfId="69">
      <pivotArea field="4" type="button" dataOnly="0" labelOnly="1" outline="0" axis="axisRow" fieldPosition="0"/>
    </format>
    <format dxfId="68">
      <pivotArea dataOnly="0" labelOnly="1" fieldPosition="0">
        <references count="1">
          <reference field="7" count="0"/>
        </references>
      </pivotArea>
    </format>
    <format dxfId="67">
      <pivotArea field="7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5">
      <pivotArea field="7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0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1"/>
          </reference>
        </references>
      </pivotArea>
    </format>
    <format dxfId="61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2"/>
          </reference>
        </references>
      </pivotArea>
    </format>
    <format dxfId="60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3"/>
          </reference>
        </references>
      </pivotArea>
    </format>
    <format dxfId="57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7" type="button" dataOnly="0" labelOnly="1" outline="0" axis="axisCol" fieldPosition="0"/>
    </format>
    <format dxfId="37">
      <pivotArea field="-2" type="button" dataOnly="0" labelOnly="1" outline="0" axis="axisCol" fieldPosition="1"/>
    </format>
    <format dxfId="36">
      <pivotArea type="topRight" dataOnly="0" labelOnly="1" outline="0" fieldPosition="0"/>
    </format>
    <format dxfId="35">
      <pivotArea field="4" type="button" dataOnly="0" labelOnly="1" outline="0" axis="axisRow" fieldPosition="0"/>
    </format>
    <format dxfId="34">
      <pivotArea dataOnly="0" labelOnly="1" fieldPosition="0">
        <references count="1">
          <reference field="4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1">
          <reference field="7" count="0"/>
        </references>
      </pivotArea>
    </format>
    <format dxfId="31">
      <pivotArea field="7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">
      <pivotArea field="7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0"/>
          </reference>
        </references>
      </pivotArea>
    </format>
    <format dxfId="26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1"/>
          </reference>
        </references>
      </pivotArea>
    </format>
    <format dxfId="25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2"/>
          </reference>
        </references>
      </pivotArea>
    </format>
    <format dxfId="24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3"/>
          </reference>
        </references>
      </pivotArea>
    </format>
    <format dxfId="21">
      <pivotArea type="topRight" dataOnly="0" labelOnly="1" outline="0" offset="C1:H1" fieldPosition="0"/>
    </format>
    <format dxfId="19">
      <pivotArea dataOnly="0" labelOnly="1" fieldPosition="0">
        <references count="1">
          <reference field="7" count="2">
            <x v="2"/>
            <x v="3"/>
          </reference>
        </references>
      </pivotArea>
    </format>
    <format dxfId="15">
      <pivotArea field="7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">
      <pivotArea field="7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2"/>
          </reference>
        </references>
      </pivotArea>
    </format>
    <format dxfId="9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3"/>
          </reference>
        </references>
      </pivotArea>
    </format>
    <format dxfId="7">
      <pivotArea type="origin" dataOnly="0" labelOnly="1" outline="0" fieldPosition="0"/>
    </format>
    <format dxfId="6">
      <pivotArea field="7" type="button" dataOnly="0" labelOnly="1" outline="0" axis="axisCol" fieldPosition="0"/>
    </format>
    <format dxfId="5">
      <pivotArea field="-2" type="button" dataOnly="0" labelOnly="1" outline="0" axis="axisCol" fieldPosition="1"/>
    </format>
    <format dxfId="4">
      <pivotArea type="topRight" dataOnly="0" labelOnly="1" outline="0" offset="A1:B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7" count="2">
            <x v="0"/>
            <x v="1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0"/>
          </reference>
        </references>
      </pivotArea>
    </format>
    <format dxfId="0">
      <pivotArea dataOnly="0" labelOnly="1" outline="0" fieldPosition="0">
        <references count="2">
          <reference field="4294967294" count="2">
            <x v="0"/>
            <x v="1"/>
          </reference>
          <reference field="7" count="1" selected="0"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7" xr16:uid="{4DB8A68E-0557-4B0B-B1CC-F0BB8743FEC2}" autoFormatId="16" applyNumberFormats="0" applyBorderFormats="0" applyFontFormats="0" applyPatternFormats="0" applyAlignmentFormats="0" applyWidthHeightFormats="0">
  <queryTableRefresh nextId="15" unboundColumnsRight="8">
    <queryTableFields count="12"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2" dataBound="0" tableColumnId="1"/>
      <queryTableField id="13" dataBound="0" tableColumnId="11"/>
      <queryTableField id="14" dataBound="0" tableColumnId="12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2" xr16:uid="{E5B704BF-5859-4477-9BBF-7870F7F86141}" autoFormatId="16" applyNumberFormats="0" applyBorderFormats="0" applyFontFormats="0" applyPatternFormats="0" applyAlignmentFormats="0" applyWidthHeightFormats="0">
  <queryTableRefresh nextId="21" unboundColumnsRight="3">
    <queryTableFields count="11"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13" name="Duree_Cumulee_Panne_heur" tableColumnId="13"/>
      <queryTableField id="7" name="Facture_Mensuelle" tableColumnId="7"/>
      <queryTableField id="8" name="Plaintes_Service_Client" tableColumnId="8"/>
      <queryTableField id="9" name="annéé" tableColumnId="9"/>
      <queryTableField id="16" dataBound="0" tableColumnId="14"/>
      <queryTableField id="18" dataBound="0" tableColumnId="16"/>
      <queryTableField id="20" dataBound="0" tableColumnId="18"/>
    </queryTableFields>
    <queryTableDeletedFields count="2">
      <deletedField name="Source.Name"/>
      <deletedField name="Source.Na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8" xr16:uid="{09CA8A57-9958-4E8F-A958-258D988FB9DF}" autoFormatId="16" applyNumberFormats="0" applyBorderFormats="0" applyFontFormats="0" applyPatternFormats="0" applyAlignmentFormats="0" applyWidthHeightFormats="0">
  <queryTableRefresh nextId="5">
    <queryTableFields count="4">
      <queryTableField id="1" name="Cell_ID" tableColumnId="1"/>
      <queryTableField id="2" name="Nombre aboné" tableColumnId="2"/>
      <queryTableField id="3" name="durée" tableColumnId="3"/>
      <queryTableField id="4" name="dernière heurr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9" xr16:uid="{C4FCCFDB-F77F-4DBC-B3F5-7F4FA67FF64E}" autoFormatId="16" applyNumberFormats="0" applyBorderFormats="0" applyFontFormats="0" applyPatternFormats="0" applyAlignmentFormats="0" applyWidthHeightFormats="0">
  <queryTableRefresh nextId="8">
    <queryTableFields count="6"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CF7B2-F246-4F73-B988-3393C575AB38}" name="logos" displayName="logos" ref="A1:L1078" tableType="queryTable" totalsRowShown="0" headerRowDxfId="122">
  <autoFilter ref="A1:L1078" xr:uid="{D11CF7B2-F246-4F73-B988-3393C575AB38}"/>
  <tableColumns count="12">
    <tableColumn id="2" xr3:uid="{B74E0722-2E1B-4F6E-A90B-985E2278875E}" uniqueName="2" name="Date_Heure_Panne" queryTableFieldId="2" dataDxfId="121"/>
    <tableColumn id="3" xr3:uid="{A8BD0097-D42B-40A9-8C70-89ACDDB61561}" uniqueName="3" name="Cell_ID" queryTableFieldId="3" dataDxfId="120"/>
    <tableColumn id="4" xr3:uid="{ADA1D29F-BF2E-4275-A396-E9DE5E403D8F}" uniqueName="4" name="Duree_Panne_Min" queryTableFieldId="4"/>
    <tableColumn id="5" xr3:uid="{F5139FAA-9AED-4C19-9051-5BFC3C86728B}" uniqueName="5" name="Statut_Resolution" queryTableFieldId="5" dataDxfId="119"/>
    <tableColumn id="6" xr3:uid="{843AF241-8E86-4AC2-8B3B-A58C8619B1D4}" uniqueName="6" name="region" queryTableFieldId="6" dataDxfId="118">
      <calculatedColumnFormula>IFERROR(VLOOKUP(logos[[#This Row],[Cell_ID]],'registe maintenance'!A:B,2,FALSE)," non répertoriées")</calculatedColumnFormula>
    </tableColumn>
    <tableColumn id="7" xr3:uid="{440B8A59-2D99-444D-A848-1B4D76A22211}" uniqueName="7" name="Latitude" queryTableFieldId="7" dataDxfId="117">
      <calculatedColumnFormula>IFERROR(VLOOKUP(logos[[#This Row],[Cell_ID]],'registe maintenance'!A:C,3,FALSE)," non répertoriées")</calculatedColumnFormula>
    </tableColumn>
    <tableColumn id="8" xr3:uid="{86079EA9-9DE3-427A-A849-C78B95640E1F}" uniqueName="8" name="Longitude" queryTableFieldId="8" dataDxfId="116">
      <calculatedColumnFormula>IFERROR(VLOOKUP(logos[[#This Row],[Cell_ID]],'registe maintenance'!A:D,4,FALSE)," non répertoriées")</calculatedColumnFormula>
    </tableColumn>
    <tableColumn id="9" xr3:uid="{24EBBB48-FC06-406D-B4AA-0C5D5C8A192A}" uniqueName="9" name="Technologie" queryTableFieldId="9" dataDxfId="115">
      <calculatedColumnFormula>IFERROR(VLOOKUP(logos[[#This Row],[Cell_ID]],'registe maintenance'!A:E,5,FALSE)," non répertoriées")</calculatedColumnFormula>
    </tableColumn>
    <tableColumn id="10" xr3:uid="{973418A8-218E-494E-AA1B-EE595C496991}" uniqueName="10" name="Equipementier" queryTableFieldId="10" dataDxfId="114">
      <calculatedColumnFormula>IFERROR(VLOOKUP(logos[[#This Row],[Cell_ID]],'registe maintenance'!A:F,6,FALSE)," non répertoriées")</calculatedColumnFormula>
    </tableColumn>
    <tableColumn id="1" xr3:uid="{2843F849-9DDD-4CCE-98C5-1748B941C0BB}" uniqueName="1" name="nb abonné" queryTableFieldId="12" dataDxfId="113">
      <calculatedColumnFormula>IFERROR(VLOOKUP(B2,'logos transformer '!A:B,2,FALSE),"na")</calculatedColumnFormula>
    </tableColumn>
    <tableColumn id="11" xr3:uid="{6398CECD-347E-4090-8356-80A1FB62EF72}" uniqueName="11" name="durée cuumulé" queryTableFieldId="13" dataDxfId="112">
      <calculatedColumnFormula>IFERROR(VLOOKUP(B2,'logos transformer '!A:C,3,FALSE),"na")</calculatedColumnFormula>
    </tableColumn>
    <tableColumn id="12" xr3:uid="{BB496E34-EC2A-494B-9FAD-77122D15541E}" uniqueName="12" name="derniere heure" queryTableFieldId="14" dataDxfId="111">
      <calculatedColumnFormula>IFERROR(VLOOKUP(B2,'logos transformer '!A:D,4,FALSE),"na")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AF4A0C-52E0-4F67-9E44-582FFDC959C1}" name="client_charne__2" displayName="client_charne__2" ref="A1:K751" tableType="queryTable" totalsRowShown="0" headerRowDxfId="110">
  <autoFilter ref="A1:K751" xr:uid="{86AF4A0C-52E0-4F67-9E44-582FFDC959C1}"/>
  <tableColumns count="11">
    <tableColumn id="2" xr3:uid="{9111CAAB-F62E-4B05-AA31-20CC1BA8D0D9}" uniqueName="2" name="ID_Client" queryTableFieldId="2" dataDxfId="109"/>
    <tableColumn id="3" xr3:uid="{CEA7CCA2-3DA3-4B91-AB7D-E37803D917B2}" uniqueName="3" name="Province_Client" queryTableFieldId="3" dataDxfId="108"/>
    <tableColumn id="4" xr3:uid="{54ED45DE-816D-4B4A-8DD1-6492ED461E58}" uniqueName="4" name="Anciennete_Mois" queryTableFieldId="4" dataDxfId="107"/>
    <tableColumn id="5" xr3:uid="{F2681CBF-E485-462A-8BBA-6FF14D759932}" uniqueName="5" name="Type_Forfait" queryTableFieldId="5" dataDxfId="106"/>
    <tableColumn id="13" xr3:uid="{CBF92873-FC7A-4BEB-9EA3-1E141D8F918B}" uniqueName="13" name="Duree_Cumulee_Panne_heur" queryTableFieldId="13"/>
    <tableColumn id="7" xr3:uid="{80FA42EF-0669-41E8-BDA1-E302A5D600DD}" uniqueName="7" name="Facture_Mensuelle" queryTableFieldId="7" dataDxfId="105"/>
    <tableColumn id="8" xr3:uid="{590020E0-A241-4AB7-BC2D-B63D5213E54A}" uniqueName="8" name="Plaintes_Service_Client" queryTableFieldId="8"/>
    <tableColumn id="9" xr3:uid="{6ECC433B-BCBB-4E63-86A2-8EDE3EBA4F73}" uniqueName="9" name="anciennette_annéé" queryTableFieldId="9"/>
    <tableColumn id="14" xr3:uid="{76766538-0784-4FE8-8072-41D1A4287B88}" uniqueName="14" name="Type_client " queryTableFieldId="16" dataDxfId="104">
      <calculatedColumnFormula>IF(F2&lt;80,"B2B","-")</calculatedColumnFormula>
    </tableColumn>
    <tableColumn id="16" xr3:uid="{E8EFBE79-8079-4BF2-9607-7019A0A9B662}" uniqueName="16" name="remise" queryTableFieldId="18" dataCellStyle="Pourcentage">
      <calculatedColumnFormula>IF(AND(E2&gt;12,H2&gt;5),70%,
IF(OR(AND(E2&gt;=4,E2&lt;=12),AND(H2&lt;5,ISNUMBER(SEARCH("Premium",D2)))),45%,
IF(I2="B2B",10%,0%)))</calculatedColumnFormula>
    </tableColumn>
    <tableColumn id="18" xr3:uid="{1DDD9965-0CB7-4226-8C82-21FF25E5B969}" uniqueName="18" name="perte" queryTableFieldId="20" dataDxfId="103">
      <calculatedColumnFormula>F2*J2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051946-A87F-45BD-B997-428D74F44147}" name="logos__2" displayName="logos__2" ref="A1:D661" tableType="queryTable" totalsRowShown="0">
  <autoFilter ref="A1:D661" xr:uid="{84051946-A87F-45BD-B997-428D74F44147}"/>
  <tableColumns count="4">
    <tableColumn id="1" xr3:uid="{35DA6C70-24A8-4A71-BC62-392D375D6613}" uniqueName="1" name="Cell_ID" queryTableFieldId="1" dataDxfId="82"/>
    <tableColumn id="2" xr3:uid="{25AB48D8-45A7-4F6B-B186-D316F429F617}" uniqueName="2" name="Nombre aboné" queryTableFieldId="2"/>
    <tableColumn id="3" xr3:uid="{AA486E23-B92B-4523-954F-94F713B46911}" uniqueName="3" name="durée" queryTableFieldId="3"/>
    <tableColumn id="4" xr3:uid="{EB9AED22-17E7-4454-B757-EEED09FD171D}" uniqueName="4" name="dernière heurre" queryTableFieldId="4" dataDxfId="8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10E7FC-338B-4782-BBF4-E9AAB0AA8584}" name="maintenance" displayName="maintenance" ref="A1:F499" tableType="queryTable" totalsRowShown="0" dataDxfId="80">
  <autoFilter ref="A1:F499" xr:uid="{EA10E7FC-338B-4782-BBF4-E9AAB0AA8584}"/>
  <tableColumns count="6">
    <tableColumn id="2" xr3:uid="{F7F53318-5832-4295-959A-A40777B7C2E3}" uniqueName="2" name="ID_Antenne" queryTableFieldId="2" dataDxfId="79"/>
    <tableColumn id="3" xr3:uid="{4B61717B-4FC9-452E-9CC7-CD6CF8D6FCF6}" uniqueName="3" name="Province_RDC" queryTableFieldId="3" dataDxfId="78"/>
    <tableColumn id="4" xr3:uid="{11011A66-AF3D-41F1-9E99-47663EB47575}" uniqueName="4" name="Latitude" queryTableFieldId="4" dataDxfId="77"/>
    <tableColumn id="5" xr3:uid="{937DC043-0E0A-4D8B-A411-9A01513F3538}" uniqueName="5" name="Longitude" queryTableFieldId="5" dataDxfId="76"/>
    <tableColumn id="6" xr3:uid="{44EA7782-66F5-4B47-94E2-EC41AC1E0A9B}" uniqueName="6" name="Technologie" queryTableFieldId="6" dataDxfId="75"/>
    <tableColumn id="7" xr3:uid="{6380118D-9F35-489C-877A-F0F663B47EA1}" uniqueName="7" name="Equipementier" queryTableFieldId="7" dataDxfId="7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3ABD-CD5F-4C7F-9AE9-6ECAD442D782}">
  <dimension ref="A1:L1078"/>
  <sheetViews>
    <sheetView zoomScale="92" zoomScaleNormal="92" workbookViewId="0">
      <selection activeCell="D9" sqref="D9"/>
    </sheetView>
  </sheetViews>
  <sheetFormatPr baseColWidth="10" defaultRowHeight="14.4" x14ac:dyDescent="0.3"/>
  <cols>
    <col min="1" max="1" width="22.6640625" style="1" bestFit="1" customWidth="1"/>
    <col min="2" max="2" width="19.5546875" bestFit="1" customWidth="1"/>
    <col min="3" max="3" width="18.33203125" bestFit="1" customWidth="1"/>
    <col min="4" max="4" width="19" bestFit="1" customWidth="1"/>
    <col min="5" max="5" width="18.33203125" bestFit="1" customWidth="1"/>
    <col min="6" max="9" width="15" bestFit="1" customWidth="1"/>
    <col min="10" max="10" width="16.21875" bestFit="1" customWidth="1"/>
    <col min="11" max="11" width="15.21875" bestFit="1" customWidth="1"/>
    <col min="12" max="12" width="16.44140625" style="1" bestFit="1" customWidth="1"/>
  </cols>
  <sheetData>
    <row r="1" spans="1:12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883</v>
      </c>
      <c r="F1" s="8" t="s">
        <v>670</v>
      </c>
      <c r="G1" s="8" t="s">
        <v>671</v>
      </c>
      <c r="H1" s="8" t="s">
        <v>672</v>
      </c>
      <c r="I1" s="8" t="s">
        <v>673</v>
      </c>
      <c r="J1" s="8" t="s">
        <v>1655</v>
      </c>
      <c r="K1" s="8" t="s">
        <v>1656</v>
      </c>
      <c r="L1" s="7" t="s">
        <v>1657</v>
      </c>
    </row>
    <row r="2" spans="1:12" x14ac:dyDescent="0.3">
      <c r="A2" s="1">
        <v>45203.032638888893</v>
      </c>
      <c r="B2" t="s">
        <v>4</v>
      </c>
      <c r="C2">
        <v>73</v>
      </c>
      <c r="D2" t="s">
        <v>5</v>
      </c>
      <c r="E2" t="str">
        <f>IFERROR(VLOOKUP(logos[[#This Row],[Cell_ID]],'registe maintenance'!A:B,2,FALSE)," non répertoriées")</f>
        <v>Tanganyika</v>
      </c>
      <c r="F2">
        <f>IFERROR(VLOOKUP(logos[[#This Row],[Cell_ID]],'registe maintenance'!A:C,3,FALSE)," non répertoriées")</f>
        <v>-11.144149000000001</v>
      </c>
      <c r="G2">
        <f>IFERROR(VLOOKUP(logos[[#This Row],[Cell_ID]],'registe maintenance'!A:D,4,FALSE)," non répertoriées")</f>
        <v>27.244658999999999</v>
      </c>
      <c r="H2" t="str">
        <f>IFERROR(VLOOKUP(logos[[#This Row],[Cell_ID]],'registe maintenance'!A:E,5,FALSE)," non répertoriées")</f>
        <v>4G</v>
      </c>
      <c r="I2" t="str">
        <f>IFERROR(VLOOKUP(logos[[#This Row],[Cell_ID]],'registe maintenance'!A:F,6,FALSE)," non répertoriées")</f>
        <v>Nokia</v>
      </c>
      <c r="J2">
        <f>IFERROR(VLOOKUP(B2,'logos transformer '!A:B,2,FALSE),"na")</f>
        <v>2</v>
      </c>
      <c r="K2">
        <f>IFERROR(VLOOKUP(B2,'logos transformer '!A:C,3,FALSE),"na")</f>
        <v>136</v>
      </c>
      <c r="L2" s="1">
        <f>IFERROR(VLOOKUP(B2,'logos transformer '!A:D,4,FALSE),"na")</f>
        <v>45228.791666666664</v>
      </c>
    </row>
    <row r="3" spans="1:12" x14ac:dyDescent="0.3">
      <c r="A3" s="1">
        <v>45208.301388888889</v>
      </c>
      <c r="B3" t="s">
        <v>6</v>
      </c>
      <c r="C3">
        <v>38</v>
      </c>
      <c r="D3" t="s">
        <v>5</v>
      </c>
      <c r="E3" t="str">
        <f>IFERROR(VLOOKUP(logos[[#This Row],[Cell_ID]],'registe maintenance'!A:B,2,FALSE)," non répertoriées")</f>
        <v xml:space="preserve"> non répertoriées</v>
      </c>
      <c r="F3" t="str">
        <f>IFERROR(VLOOKUP(logos[[#This Row],[Cell_ID]],'registe maintenance'!A:C,3,FALSE)," non répertoriées")</f>
        <v xml:space="preserve"> non répertoriées</v>
      </c>
      <c r="G3" t="str">
        <f>IFERROR(VLOOKUP(logos[[#This Row],[Cell_ID]],'registe maintenance'!A:D,4,FALSE)," non répertoriées")</f>
        <v xml:space="preserve"> non répertoriées</v>
      </c>
      <c r="H3" t="str">
        <f>IFERROR(VLOOKUP(logos[[#This Row],[Cell_ID]],'registe maintenance'!A:E,5,FALSE)," non répertoriées")</f>
        <v xml:space="preserve"> non répertoriées</v>
      </c>
      <c r="I3" t="str">
        <f>IFERROR(VLOOKUP(logos[[#This Row],[Cell_ID]],'registe maintenance'!A:F,6,FALSE)," non répertoriées")</f>
        <v xml:space="preserve"> non répertoriées</v>
      </c>
      <c r="J3">
        <f>IFERROR(VLOOKUP(B3,'logos transformer '!A:B,2,FALSE),"na")</f>
        <v>3</v>
      </c>
      <c r="K3">
        <f>IFERROR(VLOOKUP(B3,'logos transformer '!A:C,3,FALSE),"na")</f>
        <v>161</v>
      </c>
      <c r="L3" s="1">
        <f>IFERROR(VLOOKUP(B3,'logos transformer '!A:D,4,FALSE),"na")</f>
        <v>45226.003472222219</v>
      </c>
    </row>
    <row r="4" spans="1:12" x14ac:dyDescent="0.3">
      <c r="A4" s="1">
        <v>45204.962500000001</v>
      </c>
      <c r="B4" t="s">
        <v>7</v>
      </c>
      <c r="C4">
        <v>100</v>
      </c>
      <c r="D4" t="s">
        <v>8</v>
      </c>
      <c r="E4" t="str">
        <f>IFERROR(VLOOKUP(logos[[#This Row],[Cell_ID]],'registe maintenance'!A:B,2,FALSE)," non répertoriées")</f>
        <v xml:space="preserve"> non répertoriées</v>
      </c>
      <c r="F4" t="str">
        <f>IFERROR(VLOOKUP(logos[[#This Row],[Cell_ID]],'registe maintenance'!A:C,3,FALSE)," non répertoriées")</f>
        <v xml:space="preserve"> non répertoriées</v>
      </c>
      <c r="G4" t="str">
        <f>IFERROR(VLOOKUP(logos[[#This Row],[Cell_ID]],'registe maintenance'!A:D,4,FALSE)," non répertoriées")</f>
        <v xml:space="preserve"> non répertoriées</v>
      </c>
      <c r="H4" t="str">
        <f>IFERROR(VLOOKUP(logos[[#This Row],[Cell_ID]],'registe maintenance'!A:E,5,FALSE)," non répertoriées")</f>
        <v xml:space="preserve"> non répertoriées</v>
      </c>
      <c r="I4" t="str">
        <f>IFERROR(VLOOKUP(logos[[#This Row],[Cell_ID]],'registe maintenance'!A:F,6,FALSE)," non répertoriées")</f>
        <v xml:space="preserve"> non répertoriées</v>
      </c>
      <c r="J4">
        <f>IFERROR(VLOOKUP(B4,'logos transformer '!A:B,2,FALSE),"na")</f>
        <v>2</v>
      </c>
      <c r="K4">
        <f>IFERROR(VLOOKUP(B4,'logos transformer '!A:C,3,FALSE),"na")</f>
        <v>153</v>
      </c>
      <c r="L4" s="1">
        <f>IFERROR(VLOOKUP(B4,'logos transformer '!A:D,4,FALSE),"na")</f>
        <v>45224.378472222219</v>
      </c>
    </row>
    <row r="5" spans="1:12" x14ac:dyDescent="0.3">
      <c r="A5" s="1">
        <v>45221.997916666667</v>
      </c>
      <c r="B5" t="s">
        <v>9</v>
      </c>
      <c r="C5">
        <v>79</v>
      </c>
      <c r="D5" t="s">
        <v>10</v>
      </c>
      <c r="E5" t="str">
        <f>IFERROR(VLOOKUP(logos[[#This Row],[Cell_ID]],'registe maintenance'!A:B,2,FALSE)," non répertoriées")</f>
        <v xml:space="preserve"> non répertoriées</v>
      </c>
      <c r="F5" t="str">
        <f>IFERROR(VLOOKUP(logos[[#This Row],[Cell_ID]],'registe maintenance'!A:C,3,FALSE)," non répertoriées")</f>
        <v xml:space="preserve"> non répertoriées</v>
      </c>
      <c r="G5" t="str">
        <f>IFERROR(VLOOKUP(logos[[#This Row],[Cell_ID]],'registe maintenance'!A:D,4,FALSE)," non répertoriées")</f>
        <v xml:space="preserve"> non répertoriées</v>
      </c>
      <c r="H5" t="str">
        <f>IFERROR(VLOOKUP(logos[[#This Row],[Cell_ID]],'registe maintenance'!A:E,5,FALSE)," non répertoriées")</f>
        <v xml:space="preserve"> non répertoriées</v>
      </c>
      <c r="I5" t="str">
        <f>IFERROR(VLOOKUP(logos[[#This Row],[Cell_ID]],'registe maintenance'!A:F,6,FALSE)," non répertoriées")</f>
        <v xml:space="preserve"> non répertoriées</v>
      </c>
      <c r="J5">
        <f>IFERROR(VLOOKUP(B5,'logos transformer '!A:B,2,FALSE),"na")</f>
        <v>2</v>
      </c>
      <c r="K5">
        <f>IFERROR(VLOOKUP(B5,'logos transformer '!A:C,3,FALSE),"na")</f>
        <v>129</v>
      </c>
      <c r="L5" s="1">
        <f>IFERROR(VLOOKUP(B5,'logos transformer '!A:D,4,FALSE),"na")</f>
        <v>45221.997916666667</v>
      </c>
    </row>
    <row r="6" spans="1:12" x14ac:dyDescent="0.3">
      <c r="A6" s="1">
        <v>45217.109027777777</v>
      </c>
      <c r="B6" t="s">
        <v>11</v>
      </c>
      <c r="C6">
        <v>59</v>
      </c>
      <c r="D6" t="s">
        <v>5</v>
      </c>
      <c r="E6" t="str">
        <f>IFERROR(VLOOKUP(logos[[#This Row],[Cell_ID]],'registe maintenance'!A:B,2,FALSE)," non répertoriées")</f>
        <v xml:space="preserve"> non répertoriées</v>
      </c>
      <c r="F6" t="str">
        <f>IFERROR(VLOOKUP(logos[[#This Row],[Cell_ID]],'registe maintenance'!A:C,3,FALSE)," non répertoriées")</f>
        <v xml:space="preserve"> non répertoriées</v>
      </c>
      <c r="G6" t="str">
        <f>IFERROR(VLOOKUP(logos[[#This Row],[Cell_ID]],'registe maintenance'!A:D,4,FALSE)," non répertoriées")</f>
        <v xml:space="preserve"> non répertoriées</v>
      </c>
      <c r="H6" t="str">
        <f>IFERROR(VLOOKUP(logos[[#This Row],[Cell_ID]],'registe maintenance'!A:E,5,FALSE)," non répertoriées")</f>
        <v xml:space="preserve"> non répertoriées</v>
      </c>
      <c r="I6" t="str">
        <f>IFERROR(VLOOKUP(logos[[#This Row],[Cell_ID]],'registe maintenance'!A:F,6,FALSE)," non répertoriées")</f>
        <v xml:space="preserve"> non répertoriées</v>
      </c>
      <c r="J6">
        <f>IFERROR(VLOOKUP(B6,'logos transformer '!A:B,2,FALSE),"na")</f>
        <v>3</v>
      </c>
      <c r="K6">
        <f>IFERROR(VLOOKUP(B6,'logos transformer '!A:C,3,FALSE),"na")</f>
        <v>161</v>
      </c>
      <c r="L6" s="1">
        <f>IFERROR(VLOOKUP(B6,'logos transformer '!A:D,4,FALSE),"na")</f>
        <v>45222.771527777775</v>
      </c>
    </row>
    <row r="7" spans="1:12" x14ac:dyDescent="0.3">
      <c r="A7" s="1">
        <v>45213.042361111111</v>
      </c>
      <c r="B7" t="s">
        <v>12</v>
      </c>
      <c r="C7">
        <v>119</v>
      </c>
      <c r="D7" t="s">
        <v>8</v>
      </c>
      <c r="E7" t="str">
        <f>IFERROR(VLOOKUP(logos[[#This Row],[Cell_ID]],'registe maintenance'!A:B,2,FALSE)," non répertoriées")</f>
        <v>Kongo-Central</v>
      </c>
      <c r="F7">
        <f>IFERROR(VLOOKUP(logos[[#This Row],[Cell_ID]],'registe maintenance'!A:C,3,FALSE)," non répertoriées")</f>
        <v>-2.8211520000000001</v>
      </c>
      <c r="G7">
        <f>IFERROR(VLOOKUP(logos[[#This Row],[Cell_ID]],'registe maintenance'!A:D,4,FALSE)," non répertoriées")</f>
        <v>20.651419000000001</v>
      </c>
      <c r="H7" t="str">
        <f>IFERROR(VLOOKUP(logos[[#This Row],[Cell_ID]],'registe maintenance'!A:E,5,FALSE)," non répertoriées")</f>
        <v>5G</v>
      </c>
      <c r="I7" t="str">
        <f>IFERROR(VLOOKUP(logos[[#This Row],[Cell_ID]],'registe maintenance'!A:F,6,FALSE)," non répertoriées")</f>
        <v>Ericsson</v>
      </c>
      <c r="J7">
        <f>IFERROR(VLOOKUP(B7,'logos transformer '!A:B,2,FALSE),"na")</f>
        <v>5</v>
      </c>
      <c r="K7">
        <f>IFERROR(VLOOKUP(B7,'logos transformer '!A:C,3,FALSE),"na")</f>
        <v>389</v>
      </c>
      <c r="L7" s="1">
        <f>IFERROR(VLOOKUP(B7,'logos transformer '!A:D,4,FALSE),"na")</f>
        <v>45219.476388888892</v>
      </c>
    </row>
    <row r="8" spans="1:12" x14ac:dyDescent="0.3">
      <c r="A8" s="1">
        <v>45202.259722222218</v>
      </c>
      <c r="B8" t="s">
        <v>13</v>
      </c>
      <c r="C8">
        <v>79</v>
      </c>
      <c r="D8" t="s">
        <v>5</v>
      </c>
      <c r="E8" t="str">
        <f>IFERROR(VLOOKUP(logos[[#This Row],[Cell_ID]],'registe maintenance'!A:B,2,FALSE)," non répertoriées")</f>
        <v>Kasai-Central</v>
      </c>
      <c r="F8">
        <f>IFERROR(VLOOKUP(logos[[#This Row],[Cell_ID]],'registe maintenance'!A:C,3,FALSE)," non répertoriées")</f>
        <v>-1.648264</v>
      </c>
      <c r="G8">
        <f>IFERROR(VLOOKUP(logos[[#This Row],[Cell_ID]],'registe maintenance'!A:D,4,FALSE)," non répertoriées")</f>
        <v>28.866143999999998</v>
      </c>
      <c r="H8" t="str">
        <f>IFERROR(VLOOKUP(logos[[#This Row],[Cell_ID]],'registe maintenance'!A:E,5,FALSE)," non répertoriées")</f>
        <v>5G</v>
      </c>
      <c r="I8" t="str">
        <f>IFERROR(VLOOKUP(logos[[#This Row],[Cell_ID]],'registe maintenance'!A:F,6,FALSE)," non répertoriées")</f>
        <v>Ericsson</v>
      </c>
      <c r="J8">
        <f>IFERROR(VLOOKUP(B8,'logos transformer '!A:B,2,FALSE),"na")</f>
        <v>2</v>
      </c>
      <c r="K8">
        <f>IFERROR(VLOOKUP(B8,'logos transformer '!A:C,3,FALSE),"na")</f>
        <v>87</v>
      </c>
      <c r="L8" s="1">
        <f>IFERROR(VLOOKUP(B8,'logos transformer '!A:D,4,FALSE),"na")</f>
        <v>45221.180555555555</v>
      </c>
    </row>
    <row r="9" spans="1:12" x14ac:dyDescent="0.3">
      <c r="A9" s="1">
        <v>45216.792361111111</v>
      </c>
      <c r="B9" t="s">
        <v>14</v>
      </c>
      <c r="C9">
        <v>56</v>
      </c>
      <c r="D9" t="s">
        <v>5</v>
      </c>
      <c r="E9" t="str">
        <f>IFERROR(VLOOKUP(logos[[#This Row],[Cell_ID]],'registe maintenance'!A:B,2,FALSE)," non répertoriées")</f>
        <v xml:space="preserve"> non répertoriées</v>
      </c>
      <c r="F9" t="str">
        <f>IFERROR(VLOOKUP(logos[[#This Row],[Cell_ID]],'registe maintenance'!A:C,3,FALSE)," non répertoriées")</f>
        <v xml:space="preserve"> non répertoriées</v>
      </c>
      <c r="G9" t="str">
        <f>IFERROR(VLOOKUP(logos[[#This Row],[Cell_ID]],'registe maintenance'!A:D,4,FALSE)," non répertoriées")</f>
        <v xml:space="preserve"> non répertoriées</v>
      </c>
      <c r="H9" t="str">
        <f>IFERROR(VLOOKUP(logos[[#This Row],[Cell_ID]],'registe maintenance'!A:E,5,FALSE)," non répertoriées")</f>
        <v xml:space="preserve"> non répertoriées</v>
      </c>
      <c r="I9" t="str">
        <f>IFERROR(VLOOKUP(logos[[#This Row],[Cell_ID]],'registe maintenance'!A:F,6,FALSE)," non répertoriées")</f>
        <v xml:space="preserve"> non répertoriées</v>
      </c>
      <c r="J9">
        <f>IFERROR(VLOOKUP(B9,'logos transformer '!A:B,2,FALSE),"na")</f>
        <v>2</v>
      </c>
      <c r="K9">
        <f>IFERROR(VLOOKUP(B9,'logos transformer '!A:C,3,FALSE),"na")</f>
        <v>92</v>
      </c>
      <c r="L9" s="1">
        <f>IFERROR(VLOOKUP(B9,'logos transformer '!A:D,4,FALSE),"na")</f>
        <v>45216.792361111111</v>
      </c>
    </row>
    <row r="10" spans="1:12" x14ac:dyDescent="0.3">
      <c r="A10" s="1">
        <v>45217.28125</v>
      </c>
      <c r="B10" t="s">
        <v>15</v>
      </c>
      <c r="C10">
        <v>51</v>
      </c>
      <c r="D10" t="s">
        <v>8</v>
      </c>
      <c r="E10" t="str">
        <f>IFERROR(VLOOKUP(logos[[#This Row],[Cell_ID]],'registe maintenance'!A:B,2,FALSE)," non répertoriées")</f>
        <v xml:space="preserve"> non répertoriées</v>
      </c>
      <c r="F10" t="str">
        <f>IFERROR(VLOOKUP(logos[[#This Row],[Cell_ID]],'registe maintenance'!A:C,3,FALSE)," non répertoriées")</f>
        <v xml:space="preserve"> non répertoriées</v>
      </c>
      <c r="G10" t="str">
        <f>IFERROR(VLOOKUP(logos[[#This Row],[Cell_ID]],'registe maintenance'!A:D,4,FALSE)," non répertoriées")</f>
        <v xml:space="preserve"> non répertoriées</v>
      </c>
      <c r="H10" t="str">
        <f>IFERROR(VLOOKUP(logos[[#This Row],[Cell_ID]],'registe maintenance'!A:E,5,FALSE)," non répertoriées")</f>
        <v xml:space="preserve"> non répertoriées</v>
      </c>
      <c r="I10" t="str">
        <f>IFERROR(VLOOKUP(logos[[#This Row],[Cell_ID]],'registe maintenance'!A:F,6,FALSE)," non répertoriées")</f>
        <v xml:space="preserve"> non répertoriées</v>
      </c>
      <c r="J10">
        <f>IFERROR(VLOOKUP(B10,'logos transformer '!A:B,2,FALSE),"na")</f>
        <v>1</v>
      </c>
      <c r="K10">
        <f>IFERROR(VLOOKUP(B10,'logos transformer '!A:C,3,FALSE),"na")</f>
        <v>51</v>
      </c>
      <c r="L10" s="1">
        <f>IFERROR(VLOOKUP(B10,'logos transformer '!A:D,4,FALSE),"na")</f>
        <v>45217.28125</v>
      </c>
    </row>
    <row r="11" spans="1:12" x14ac:dyDescent="0.3">
      <c r="A11" s="1">
        <v>45220.94027777778</v>
      </c>
      <c r="B11" t="s">
        <v>16</v>
      </c>
      <c r="C11">
        <v>33</v>
      </c>
      <c r="D11" t="s">
        <v>10</v>
      </c>
      <c r="E11" t="str">
        <f>IFERROR(VLOOKUP(logos[[#This Row],[Cell_ID]],'registe maintenance'!A:B,2,FALSE)," non répertoriées")</f>
        <v xml:space="preserve"> non répertoriées</v>
      </c>
      <c r="F11" t="str">
        <f>IFERROR(VLOOKUP(logos[[#This Row],[Cell_ID]],'registe maintenance'!A:C,3,FALSE)," non répertoriées")</f>
        <v xml:space="preserve"> non répertoriées</v>
      </c>
      <c r="G11" t="str">
        <f>IFERROR(VLOOKUP(logos[[#This Row],[Cell_ID]],'registe maintenance'!A:D,4,FALSE)," non répertoriées")</f>
        <v xml:space="preserve"> non répertoriées</v>
      </c>
      <c r="H11" t="str">
        <f>IFERROR(VLOOKUP(logos[[#This Row],[Cell_ID]],'registe maintenance'!A:E,5,FALSE)," non répertoriées")</f>
        <v xml:space="preserve"> non répertoriées</v>
      </c>
      <c r="I11" t="str">
        <f>IFERROR(VLOOKUP(logos[[#This Row],[Cell_ID]],'registe maintenance'!A:F,6,FALSE)," non répertoriées")</f>
        <v xml:space="preserve"> non répertoriées</v>
      </c>
      <c r="J11">
        <f>IFERROR(VLOOKUP(B11,'logos transformer '!A:B,2,FALSE),"na")</f>
        <v>2</v>
      </c>
      <c r="K11">
        <f>IFERROR(VLOOKUP(B11,'logos transformer '!A:C,3,FALSE),"na")</f>
        <v>114</v>
      </c>
      <c r="L11" s="1">
        <f>IFERROR(VLOOKUP(B11,'logos transformer '!A:D,4,FALSE),"na")</f>
        <v>45227.48333333333</v>
      </c>
    </row>
    <row r="12" spans="1:12" x14ac:dyDescent="0.3">
      <c r="A12" s="1">
        <v>45213.311111111107</v>
      </c>
      <c r="B12" t="s">
        <v>17</v>
      </c>
      <c r="C12">
        <v>22</v>
      </c>
      <c r="D12" t="s">
        <v>8</v>
      </c>
      <c r="E12" t="str">
        <f>IFERROR(VLOOKUP(logos[[#This Row],[Cell_ID]],'registe maintenance'!A:B,2,FALSE)," non répertoriées")</f>
        <v>Kwango</v>
      </c>
      <c r="F12">
        <f>IFERROR(VLOOKUP(logos[[#This Row],[Cell_ID]],'registe maintenance'!A:C,3,FALSE)," non répertoriées")</f>
        <v>4.8319039999999998</v>
      </c>
      <c r="G12">
        <f>IFERROR(VLOOKUP(logos[[#This Row],[Cell_ID]],'registe maintenance'!A:D,4,FALSE)," non répertoriées")</f>
        <v>20.733468999999999</v>
      </c>
      <c r="H12" t="str">
        <f>IFERROR(VLOOKUP(logos[[#This Row],[Cell_ID]],'registe maintenance'!A:E,5,FALSE)," non répertoriées")</f>
        <v>5G</v>
      </c>
      <c r="I12" t="str">
        <f>IFERROR(VLOOKUP(logos[[#This Row],[Cell_ID]],'registe maintenance'!A:F,6,FALSE)," non répertoriées")</f>
        <v>Ericsson</v>
      </c>
      <c r="J12">
        <f>IFERROR(VLOOKUP(B12,'logos transformer '!A:B,2,FALSE),"na")</f>
        <v>2</v>
      </c>
      <c r="K12">
        <f>IFERROR(VLOOKUP(B12,'logos transformer '!A:C,3,FALSE),"na")</f>
        <v>101</v>
      </c>
      <c r="L12" s="1">
        <f>IFERROR(VLOOKUP(B12,'logos transformer '!A:D,4,FALSE),"na")</f>
        <v>45213.311111111114</v>
      </c>
    </row>
    <row r="13" spans="1:12" x14ac:dyDescent="0.3">
      <c r="A13" s="1">
        <v>45218.368750000001</v>
      </c>
      <c r="B13" t="s">
        <v>18</v>
      </c>
      <c r="C13">
        <v>70</v>
      </c>
      <c r="D13" t="s">
        <v>5</v>
      </c>
      <c r="E13" t="str">
        <f>IFERROR(VLOOKUP(logos[[#This Row],[Cell_ID]],'registe maintenance'!A:B,2,FALSE)," non répertoriées")</f>
        <v>Lomami</v>
      </c>
      <c r="F13">
        <f>IFERROR(VLOOKUP(logos[[#This Row],[Cell_ID]],'registe maintenance'!A:C,3,FALSE)," non répertoriées")</f>
        <v>-8.4227860000000003</v>
      </c>
      <c r="G13">
        <f>IFERROR(VLOOKUP(logos[[#This Row],[Cell_ID]],'registe maintenance'!A:D,4,FALSE)," non répertoriées")</f>
        <v>16.781293000000002</v>
      </c>
      <c r="H13" t="str">
        <f>IFERROR(VLOOKUP(logos[[#This Row],[Cell_ID]],'registe maintenance'!A:E,5,FALSE)," non répertoriées")</f>
        <v>4G</v>
      </c>
      <c r="I13" t="str">
        <f>IFERROR(VLOOKUP(logos[[#This Row],[Cell_ID]],'registe maintenance'!A:F,6,FALSE)," non répertoriées")</f>
        <v>Huawei</v>
      </c>
      <c r="J13">
        <f>IFERROR(VLOOKUP(B13,'logos transformer '!A:B,2,FALSE),"na")</f>
        <v>2</v>
      </c>
      <c r="K13">
        <f>IFERROR(VLOOKUP(B13,'logos transformer '!A:C,3,FALSE),"na")</f>
        <v>155</v>
      </c>
      <c r="L13" s="1">
        <f>IFERROR(VLOOKUP(B13,'logos transformer '!A:D,4,FALSE),"na")</f>
        <v>45218.368750000001</v>
      </c>
    </row>
    <row r="14" spans="1:12" x14ac:dyDescent="0.3">
      <c r="A14" s="1">
        <v>45227.033333333333</v>
      </c>
      <c r="B14" t="s">
        <v>19</v>
      </c>
      <c r="C14">
        <v>68</v>
      </c>
      <c r="D14" t="s">
        <v>10</v>
      </c>
      <c r="E14" t="str">
        <f>IFERROR(VLOOKUP(logos[[#This Row],[Cell_ID]],'registe maintenance'!A:B,2,FALSE)," non répertoriées")</f>
        <v>Nord-Ubangi</v>
      </c>
      <c r="F14">
        <f>IFERROR(VLOOKUP(logos[[#This Row],[Cell_ID]],'registe maintenance'!A:C,3,FALSE)," non répertoriées")</f>
        <v>-10.375266999999999</v>
      </c>
      <c r="G14">
        <f>IFERROR(VLOOKUP(logos[[#This Row],[Cell_ID]],'registe maintenance'!A:D,4,FALSE)," non répertoriées")</f>
        <v>17.993663000000002</v>
      </c>
      <c r="H14" t="str">
        <f>IFERROR(VLOOKUP(logos[[#This Row],[Cell_ID]],'registe maintenance'!A:E,5,FALSE)," non répertoriées")</f>
        <v>5G</v>
      </c>
      <c r="I14" t="str">
        <f>IFERROR(VLOOKUP(logos[[#This Row],[Cell_ID]],'registe maintenance'!A:F,6,FALSE)," non répertoriées")</f>
        <v>ZTE</v>
      </c>
      <c r="J14">
        <f>IFERROR(VLOOKUP(B14,'logos transformer '!A:B,2,FALSE),"na")</f>
        <v>1</v>
      </c>
      <c r="K14">
        <f>IFERROR(VLOOKUP(B14,'logos transformer '!A:C,3,FALSE),"na")</f>
        <v>68</v>
      </c>
      <c r="L14" s="1">
        <f>IFERROR(VLOOKUP(B14,'logos transformer '!A:D,4,FALSE),"na")</f>
        <v>45227.033333333333</v>
      </c>
    </row>
    <row r="15" spans="1:12" x14ac:dyDescent="0.3">
      <c r="A15" s="1">
        <v>45225.238888888889</v>
      </c>
      <c r="B15" t="s">
        <v>20</v>
      </c>
      <c r="C15">
        <v>16</v>
      </c>
      <c r="D15" t="s">
        <v>8</v>
      </c>
      <c r="E15" t="str">
        <f>IFERROR(VLOOKUP(logos[[#This Row],[Cell_ID]],'registe maintenance'!A:B,2,FALSE)," non répertoriées")</f>
        <v xml:space="preserve"> non répertoriées</v>
      </c>
      <c r="F15" t="str">
        <f>IFERROR(VLOOKUP(logos[[#This Row],[Cell_ID]],'registe maintenance'!A:C,3,FALSE)," non répertoriées")</f>
        <v xml:space="preserve"> non répertoriées</v>
      </c>
      <c r="G15" t="str">
        <f>IFERROR(VLOOKUP(logos[[#This Row],[Cell_ID]],'registe maintenance'!A:D,4,FALSE)," non répertoriées")</f>
        <v xml:space="preserve"> non répertoriées</v>
      </c>
      <c r="H15" t="str">
        <f>IFERROR(VLOOKUP(logos[[#This Row],[Cell_ID]],'registe maintenance'!A:E,5,FALSE)," non répertoriées")</f>
        <v xml:space="preserve"> non répertoriées</v>
      </c>
      <c r="I15" t="str">
        <f>IFERROR(VLOOKUP(logos[[#This Row],[Cell_ID]],'registe maintenance'!A:F,6,FALSE)," non répertoriées")</f>
        <v xml:space="preserve"> non répertoriées</v>
      </c>
      <c r="J15">
        <f>IFERROR(VLOOKUP(B15,'logos transformer '!A:B,2,FALSE),"na")</f>
        <v>3</v>
      </c>
      <c r="K15">
        <f>IFERROR(VLOOKUP(B15,'logos transformer '!A:C,3,FALSE),"na")</f>
        <v>143</v>
      </c>
      <c r="L15" s="1">
        <f>IFERROR(VLOOKUP(B15,'logos transformer '!A:D,4,FALSE),"na")</f>
        <v>45225.238888888889</v>
      </c>
    </row>
    <row r="16" spans="1:12" x14ac:dyDescent="0.3">
      <c r="A16" s="1">
        <v>45213.428472222222</v>
      </c>
      <c r="B16" t="s">
        <v>21</v>
      </c>
      <c r="C16">
        <v>101</v>
      </c>
      <c r="D16" t="s">
        <v>8</v>
      </c>
      <c r="E16" t="str">
        <f>IFERROR(VLOOKUP(logos[[#This Row],[Cell_ID]],'registe maintenance'!A:B,2,FALSE)," non répertoriées")</f>
        <v xml:space="preserve"> non répertoriées</v>
      </c>
      <c r="F16" t="str">
        <f>IFERROR(VLOOKUP(logos[[#This Row],[Cell_ID]],'registe maintenance'!A:C,3,FALSE)," non répertoriées")</f>
        <v xml:space="preserve"> non répertoriées</v>
      </c>
      <c r="G16" t="str">
        <f>IFERROR(VLOOKUP(logos[[#This Row],[Cell_ID]],'registe maintenance'!A:D,4,FALSE)," non répertoriées")</f>
        <v xml:space="preserve"> non répertoriées</v>
      </c>
      <c r="H16" t="str">
        <f>IFERROR(VLOOKUP(logos[[#This Row],[Cell_ID]],'registe maintenance'!A:E,5,FALSE)," non répertoriées")</f>
        <v xml:space="preserve"> non répertoriées</v>
      </c>
      <c r="I16" t="str">
        <f>IFERROR(VLOOKUP(logos[[#This Row],[Cell_ID]],'registe maintenance'!A:F,6,FALSE)," non répertoriées")</f>
        <v xml:space="preserve"> non répertoriées</v>
      </c>
      <c r="J16" t="str">
        <f>IFERROR(VLOOKUP(B16,'logos transformer '!A:B,2,FALSE),"na")</f>
        <v>na</v>
      </c>
      <c r="K16" t="str">
        <f>IFERROR(VLOOKUP(B16,'logos transformer '!A:C,3,FALSE),"na")</f>
        <v>na</v>
      </c>
      <c r="L16" s="1" t="str">
        <f>IFERROR(VLOOKUP(B16,'logos transformer '!A:D,4,FALSE),"na")</f>
        <v>na</v>
      </c>
    </row>
    <row r="17" spans="1:12" x14ac:dyDescent="0.3">
      <c r="A17" s="1">
        <v>45204.283333333333</v>
      </c>
      <c r="B17" t="s">
        <v>22</v>
      </c>
      <c r="C17">
        <v>11</v>
      </c>
      <c r="D17" t="s">
        <v>10</v>
      </c>
      <c r="E17" t="str">
        <f>IFERROR(VLOOKUP(logos[[#This Row],[Cell_ID]],'registe maintenance'!A:B,2,FALSE)," non répertoriées")</f>
        <v>Lomami</v>
      </c>
      <c r="F17">
        <f>IFERROR(VLOOKUP(logos[[#This Row],[Cell_ID]],'registe maintenance'!A:C,3,FALSE)," non répertoriées")</f>
        <v>-2.2371569999999998</v>
      </c>
      <c r="G17">
        <f>IFERROR(VLOOKUP(logos[[#This Row],[Cell_ID]],'registe maintenance'!A:D,4,FALSE)," non répertoriées")</f>
        <v>25.926188</v>
      </c>
      <c r="H17" t="str">
        <f>IFERROR(VLOOKUP(logos[[#This Row],[Cell_ID]],'registe maintenance'!A:E,5,FALSE)," non répertoriées")</f>
        <v>3G</v>
      </c>
      <c r="I17" t="str">
        <f>IFERROR(VLOOKUP(logos[[#This Row],[Cell_ID]],'registe maintenance'!A:F,6,FALSE)," non répertoriées")</f>
        <v>Nokia</v>
      </c>
      <c r="J17">
        <f>IFERROR(VLOOKUP(B17,'logos transformer '!A:B,2,FALSE),"na")</f>
        <v>3</v>
      </c>
      <c r="K17">
        <f>IFERROR(VLOOKUP(B17,'logos transformer '!A:C,3,FALSE),"na")</f>
        <v>171</v>
      </c>
      <c r="L17" s="1">
        <f>IFERROR(VLOOKUP(B17,'logos transformer '!A:D,4,FALSE),"na")</f>
        <v>45224.482638888891</v>
      </c>
    </row>
    <row r="18" spans="1:12" x14ac:dyDescent="0.3">
      <c r="A18" s="1">
        <v>45210.128472222219</v>
      </c>
      <c r="B18" t="s">
        <v>23</v>
      </c>
      <c r="C18">
        <v>115</v>
      </c>
      <c r="D18" t="s">
        <v>5</v>
      </c>
      <c r="E18" t="str">
        <f>IFERROR(VLOOKUP(logos[[#This Row],[Cell_ID]],'registe maintenance'!A:B,2,FALSE)," non répertoriées")</f>
        <v xml:space="preserve"> non répertoriées</v>
      </c>
      <c r="F18" t="str">
        <f>IFERROR(VLOOKUP(logos[[#This Row],[Cell_ID]],'registe maintenance'!A:C,3,FALSE)," non répertoriées")</f>
        <v xml:space="preserve"> non répertoriées</v>
      </c>
      <c r="G18" t="str">
        <f>IFERROR(VLOOKUP(logos[[#This Row],[Cell_ID]],'registe maintenance'!A:D,4,FALSE)," non répertoriées")</f>
        <v xml:space="preserve"> non répertoriées</v>
      </c>
      <c r="H18" t="str">
        <f>IFERROR(VLOOKUP(logos[[#This Row],[Cell_ID]],'registe maintenance'!A:E,5,FALSE)," non répertoriées")</f>
        <v xml:space="preserve"> non répertoriées</v>
      </c>
      <c r="I18" t="str">
        <f>IFERROR(VLOOKUP(logos[[#This Row],[Cell_ID]],'registe maintenance'!A:F,6,FALSE)," non répertoriées")</f>
        <v xml:space="preserve"> non répertoriées</v>
      </c>
      <c r="J18">
        <f>IFERROR(VLOOKUP(B18,'logos transformer '!A:B,2,FALSE),"na")</f>
        <v>4</v>
      </c>
      <c r="K18">
        <f>IFERROR(VLOOKUP(B18,'logos transformer '!A:C,3,FALSE),"na")</f>
        <v>381</v>
      </c>
      <c r="L18" s="1">
        <f>IFERROR(VLOOKUP(B18,'logos transformer '!A:D,4,FALSE),"na")</f>
        <v>45220.091666666667</v>
      </c>
    </row>
    <row r="19" spans="1:12" x14ac:dyDescent="0.3">
      <c r="A19" s="1">
        <v>45212.140277777777</v>
      </c>
      <c r="B19" t="s">
        <v>24</v>
      </c>
      <c r="C19">
        <v>19</v>
      </c>
      <c r="D19" t="s">
        <v>8</v>
      </c>
      <c r="E19" t="str">
        <f>IFERROR(VLOOKUP(logos[[#This Row],[Cell_ID]],'registe maintenance'!A:B,2,FALSE)," non répertoriées")</f>
        <v>Tanganyika</v>
      </c>
      <c r="F19">
        <f>IFERROR(VLOOKUP(logos[[#This Row],[Cell_ID]],'registe maintenance'!A:C,3,FALSE)," non répertoriées")</f>
        <v>-9.4708620000000003</v>
      </c>
      <c r="G19">
        <f>IFERROR(VLOOKUP(logos[[#This Row],[Cell_ID]],'registe maintenance'!A:D,4,FALSE)," non répertoriées")</f>
        <v>29.234387999999999</v>
      </c>
      <c r="H19" t="str">
        <f>IFERROR(VLOOKUP(logos[[#This Row],[Cell_ID]],'registe maintenance'!A:E,5,FALSE)," non répertoriées")</f>
        <v>3G</v>
      </c>
      <c r="I19" t="str">
        <f>IFERROR(VLOOKUP(logos[[#This Row],[Cell_ID]],'registe maintenance'!A:F,6,FALSE)," non répertoriées")</f>
        <v>ZTE</v>
      </c>
      <c r="J19">
        <f>IFERROR(VLOOKUP(B19,'logos transformer '!A:B,2,FALSE),"na")</f>
        <v>1</v>
      </c>
      <c r="K19">
        <f>IFERROR(VLOOKUP(B19,'logos transformer '!A:C,3,FALSE),"na")</f>
        <v>19</v>
      </c>
      <c r="L19" s="1">
        <f>IFERROR(VLOOKUP(B19,'logos transformer '!A:D,4,FALSE),"na")</f>
        <v>45212.140277777777</v>
      </c>
    </row>
    <row r="20" spans="1:12" x14ac:dyDescent="0.3">
      <c r="A20" s="1">
        <v>45227.484722222223</v>
      </c>
      <c r="B20" t="s">
        <v>25</v>
      </c>
      <c r="C20">
        <v>24</v>
      </c>
      <c r="D20" t="s">
        <v>8</v>
      </c>
      <c r="E20" t="str">
        <f>IFERROR(VLOOKUP(logos[[#This Row],[Cell_ID]],'registe maintenance'!A:B,2,FALSE)," non répertoriées")</f>
        <v xml:space="preserve"> non répertoriées</v>
      </c>
      <c r="F20" t="str">
        <f>IFERROR(VLOOKUP(logos[[#This Row],[Cell_ID]],'registe maintenance'!A:C,3,FALSE)," non répertoriées")</f>
        <v xml:space="preserve"> non répertoriées</v>
      </c>
      <c r="G20" t="str">
        <f>IFERROR(VLOOKUP(logos[[#This Row],[Cell_ID]],'registe maintenance'!A:D,4,FALSE)," non répertoriées")</f>
        <v xml:space="preserve"> non répertoriées</v>
      </c>
      <c r="H20" t="str">
        <f>IFERROR(VLOOKUP(logos[[#This Row],[Cell_ID]],'registe maintenance'!A:E,5,FALSE)," non répertoriées")</f>
        <v xml:space="preserve"> non répertoriées</v>
      </c>
      <c r="I20" t="str">
        <f>IFERROR(VLOOKUP(logos[[#This Row],[Cell_ID]],'registe maintenance'!A:F,6,FALSE)," non répertoriées")</f>
        <v xml:space="preserve"> non répertoriées</v>
      </c>
      <c r="J20">
        <f>IFERROR(VLOOKUP(B20,'logos transformer '!A:B,2,FALSE),"na")</f>
        <v>2</v>
      </c>
      <c r="K20">
        <f>IFERROR(VLOOKUP(B20,'logos transformer '!A:C,3,FALSE),"na")</f>
        <v>76</v>
      </c>
      <c r="L20" s="1">
        <f>IFERROR(VLOOKUP(B20,'logos transformer '!A:D,4,FALSE),"na")</f>
        <v>45227.484722222223</v>
      </c>
    </row>
    <row r="21" spans="1:12" x14ac:dyDescent="0.3">
      <c r="A21" s="1">
        <v>45208.073611111111</v>
      </c>
      <c r="B21" t="s">
        <v>18</v>
      </c>
      <c r="C21">
        <v>85</v>
      </c>
      <c r="D21" t="s">
        <v>8</v>
      </c>
      <c r="E21" t="str">
        <f>IFERROR(VLOOKUP(logos[[#This Row],[Cell_ID]],'registe maintenance'!A:B,2,FALSE)," non répertoriées")</f>
        <v>Lomami</v>
      </c>
      <c r="F21">
        <f>IFERROR(VLOOKUP(logos[[#This Row],[Cell_ID]],'registe maintenance'!A:C,3,FALSE)," non répertoriées")</f>
        <v>-8.4227860000000003</v>
      </c>
      <c r="G21">
        <f>IFERROR(VLOOKUP(logos[[#This Row],[Cell_ID]],'registe maintenance'!A:D,4,FALSE)," non répertoriées")</f>
        <v>16.781293000000002</v>
      </c>
      <c r="H21" t="str">
        <f>IFERROR(VLOOKUP(logos[[#This Row],[Cell_ID]],'registe maintenance'!A:E,5,FALSE)," non répertoriées")</f>
        <v>4G</v>
      </c>
      <c r="I21" t="str">
        <f>IFERROR(VLOOKUP(logos[[#This Row],[Cell_ID]],'registe maintenance'!A:F,6,FALSE)," non répertoriées")</f>
        <v>Huawei</v>
      </c>
      <c r="J21">
        <f>IFERROR(VLOOKUP(B21,'logos transformer '!A:B,2,FALSE),"na")</f>
        <v>2</v>
      </c>
      <c r="K21">
        <f>IFERROR(VLOOKUP(B21,'logos transformer '!A:C,3,FALSE),"na")</f>
        <v>155</v>
      </c>
      <c r="L21" s="1">
        <f>IFERROR(VLOOKUP(B21,'logos transformer '!A:D,4,FALSE),"na")</f>
        <v>45218.368750000001</v>
      </c>
    </row>
    <row r="22" spans="1:12" x14ac:dyDescent="0.3">
      <c r="A22" s="1">
        <v>45214.713194444441</v>
      </c>
      <c r="B22" t="s">
        <v>26</v>
      </c>
      <c r="C22">
        <v>25</v>
      </c>
      <c r="D22" t="s">
        <v>5</v>
      </c>
      <c r="E22" t="str">
        <f>IFERROR(VLOOKUP(logos[[#This Row],[Cell_ID]],'registe maintenance'!A:B,2,FALSE)," non répertoriées")</f>
        <v>Haut-Katanga</v>
      </c>
      <c r="F22">
        <f>IFERROR(VLOOKUP(logos[[#This Row],[Cell_ID]],'registe maintenance'!A:C,3,FALSE)," non répertoriées")</f>
        <v>0.172153</v>
      </c>
      <c r="G22">
        <f>IFERROR(VLOOKUP(logos[[#This Row],[Cell_ID]],'registe maintenance'!A:D,4,FALSE)," non répertoriées")</f>
        <v>21.091376</v>
      </c>
      <c r="H22" t="str">
        <f>IFERROR(VLOOKUP(logos[[#This Row],[Cell_ID]],'registe maintenance'!A:E,5,FALSE)," non répertoriées")</f>
        <v>3G</v>
      </c>
      <c r="I22" t="str">
        <f>IFERROR(VLOOKUP(logos[[#This Row],[Cell_ID]],'registe maintenance'!A:F,6,FALSE)," non répertoriées")</f>
        <v>Ericsson</v>
      </c>
      <c r="J22">
        <f>IFERROR(VLOOKUP(B22,'logos transformer '!A:B,2,FALSE),"na")</f>
        <v>3</v>
      </c>
      <c r="K22">
        <f>IFERROR(VLOOKUP(B22,'logos transformer '!A:C,3,FALSE),"na")</f>
        <v>165</v>
      </c>
      <c r="L22" s="1">
        <f>IFERROR(VLOOKUP(B22,'logos transformer '!A:D,4,FALSE),"na")</f>
        <v>45224.428472222222</v>
      </c>
    </row>
    <row r="23" spans="1:12" x14ac:dyDescent="0.3">
      <c r="A23" s="1">
        <v>45229.503472222219</v>
      </c>
      <c r="B23" t="s">
        <v>27</v>
      </c>
      <c r="C23">
        <v>106</v>
      </c>
      <c r="D23" t="s">
        <v>8</v>
      </c>
      <c r="E23" t="str">
        <f>IFERROR(VLOOKUP(logos[[#This Row],[Cell_ID]],'registe maintenance'!A:B,2,FALSE)," non répertoriées")</f>
        <v xml:space="preserve"> non répertoriées</v>
      </c>
      <c r="F23" t="str">
        <f>IFERROR(VLOOKUP(logos[[#This Row],[Cell_ID]],'registe maintenance'!A:C,3,FALSE)," non répertoriées")</f>
        <v xml:space="preserve"> non répertoriées</v>
      </c>
      <c r="G23" t="str">
        <f>IFERROR(VLOOKUP(logos[[#This Row],[Cell_ID]],'registe maintenance'!A:D,4,FALSE)," non répertoriées")</f>
        <v xml:space="preserve"> non répertoriées</v>
      </c>
      <c r="H23" t="str">
        <f>IFERROR(VLOOKUP(logos[[#This Row],[Cell_ID]],'registe maintenance'!A:E,5,FALSE)," non répertoriées")</f>
        <v xml:space="preserve"> non répertoriées</v>
      </c>
      <c r="I23" t="str">
        <f>IFERROR(VLOOKUP(logos[[#This Row],[Cell_ID]],'registe maintenance'!A:F,6,FALSE)," non répertoriées")</f>
        <v xml:space="preserve"> non répertoriées</v>
      </c>
      <c r="J23">
        <f>IFERROR(VLOOKUP(B23,'logos transformer '!A:B,2,FALSE),"na")</f>
        <v>1</v>
      </c>
      <c r="K23">
        <f>IFERROR(VLOOKUP(B23,'logos transformer '!A:C,3,FALSE),"na")</f>
        <v>106</v>
      </c>
      <c r="L23" s="1">
        <f>IFERROR(VLOOKUP(B23,'logos transformer '!A:D,4,FALSE),"na")</f>
        <v>45229.503472222219</v>
      </c>
    </row>
    <row r="24" spans="1:12" x14ac:dyDescent="0.3">
      <c r="A24" s="1">
        <v>45217.411805555559</v>
      </c>
      <c r="B24" t="s">
        <v>28</v>
      </c>
      <c r="C24">
        <v>92</v>
      </c>
      <c r="D24" t="s">
        <v>10</v>
      </c>
      <c r="E24" t="str">
        <f>IFERROR(VLOOKUP(logos[[#This Row],[Cell_ID]],'registe maintenance'!A:B,2,FALSE)," non répertoriées")</f>
        <v xml:space="preserve"> non répertoriées</v>
      </c>
      <c r="F24" t="str">
        <f>IFERROR(VLOOKUP(logos[[#This Row],[Cell_ID]],'registe maintenance'!A:C,3,FALSE)," non répertoriées")</f>
        <v xml:space="preserve"> non répertoriées</v>
      </c>
      <c r="G24" t="str">
        <f>IFERROR(VLOOKUP(logos[[#This Row],[Cell_ID]],'registe maintenance'!A:D,4,FALSE)," non répertoriées")</f>
        <v xml:space="preserve"> non répertoriées</v>
      </c>
      <c r="H24" t="str">
        <f>IFERROR(VLOOKUP(logos[[#This Row],[Cell_ID]],'registe maintenance'!A:E,5,FALSE)," non répertoriées")</f>
        <v xml:space="preserve"> non répertoriées</v>
      </c>
      <c r="I24" t="str">
        <f>IFERROR(VLOOKUP(logos[[#This Row],[Cell_ID]],'registe maintenance'!A:F,6,FALSE)," non répertoriées")</f>
        <v xml:space="preserve"> non répertoriées</v>
      </c>
      <c r="J24">
        <f>IFERROR(VLOOKUP(B24,'logos transformer '!A:B,2,FALSE),"na")</f>
        <v>2</v>
      </c>
      <c r="K24">
        <f>IFERROR(VLOOKUP(B24,'logos transformer '!A:C,3,FALSE),"na")</f>
        <v>190</v>
      </c>
      <c r="L24" s="1">
        <f>IFERROR(VLOOKUP(B24,'logos transformer '!A:D,4,FALSE),"na")</f>
        <v>45217.411805555559</v>
      </c>
    </row>
    <row r="25" spans="1:12" x14ac:dyDescent="0.3">
      <c r="A25" s="1">
        <v>45220.830555555563</v>
      </c>
      <c r="B25" t="s">
        <v>29</v>
      </c>
      <c r="C25">
        <v>59</v>
      </c>
      <c r="D25" t="s">
        <v>10</v>
      </c>
      <c r="E25" t="str">
        <f>IFERROR(VLOOKUP(logos[[#This Row],[Cell_ID]],'registe maintenance'!A:B,2,FALSE)," non répertoriées")</f>
        <v xml:space="preserve"> non répertoriées</v>
      </c>
      <c r="F25" t="str">
        <f>IFERROR(VLOOKUP(logos[[#This Row],[Cell_ID]],'registe maintenance'!A:C,3,FALSE)," non répertoriées")</f>
        <v xml:space="preserve"> non répertoriées</v>
      </c>
      <c r="G25" t="str">
        <f>IFERROR(VLOOKUP(logos[[#This Row],[Cell_ID]],'registe maintenance'!A:D,4,FALSE)," non répertoriées")</f>
        <v xml:space="preserve"> non répertoriées</v>
      </c>
      <c r="H25" t="str">
        <f>IFERROR(VLOOKUP(logos[[#This Row],[Cell_ID]],'registe maintenance'!A:E,5,FALSE)," non répertoriées")</f>
        <v xml:space="preserve"> non répertoriées</v>
      </c>
      <c r="I25" t="str">
        <f>IFERROR(VLOOKUP(logos[[#This Row],[Cell_ID]],'registe maintenance'!A:F,6,FALSE)," non répertoriées")</f>
        <v xml:space="preserve"> non répertoriées</v>
      </c>
      <c r="J25">
        <f>IFERROR(VLOOKUP(B25,'logos transformer '!A:B,2,FALSE),"na")</f>
        <v>2</v>
      </c>
      <c r="K25">
        <f>IFERROR(VLOOKUP(B25,'logos transformer '!A:C,3,FALSE),"na")</f>
        <v>91</v>
      </c>
      <c r="L25" s="1">
        <f>IFERROR(VLOOKUP(B25,'logos transformer '!A:D,4,FALSE),"na")</f>
        <v>45224.456944444442</v>
      </c>
    </row>
    <row r="26" spans="1:12" x14ac:dyDescent="0.3">
      <c r="A26" s="1">
        <v>45227.48333333333</v>
      </c>
      <c r="B26" t="s">
        <v>16</v>
      </c>
      <c r="C26">
        <v>81</v>
      </c>
      <c r="D26" t="s">
        <v>8</v>
      </c>
      <c r="E26" t="str">
        <f>IFERROR(VLOOKUP(logos[[#This Row],[Cell_ID]],'registe maintenance'!A:B,2,FALSE)," non répertoriées")</f>
        <v xml:space="preserve"> non répertoriées</v>
      </c>
      <c r="F26" t="str">
        <f>IFERROR(VLOOKUP(logos[[#This Row],[Cell_ID]],'registe maintenance'!A:C,3,FALSE)," non répertoriées")</f>
        <v xml:space="preserve"> non répertoriées</v>
      </c>
      <c r="G26" t="str">
        <f>IFERROR(VLOOKUP(logos[[#This Row],[Cell_ID]],'registe maintenance'!A:D,4,FALSE)," non répertoriées")</f>
        <v xml:space="preserve"> non répertoriées</v>
      </c>
      <c r="H26" t="str">
        <f>IFERROR(VLOOKUP(logos[[#This Row],[Cell_ID]],'registe maintenance'!A:E,5,FALSE)," non répertoriées")</f>
        <v xml:space="preserve"> non répertoriées</v>
      </c>
      <c r="I26" t="str">
        <f>IFERROR(VLOOKUP(logos[[#This Row],[Cell_ID]],'registe maintenance'!A:F,6,FALSE)," non répertoriées")</f>
        <v xml:space="preserve"> non répertoriées</v>
      </c>
      <c r="J26">
        <f>IFERROR(VLOOKUP(B26,'logos transformer '!A:B,2,FALSE),"na")</f>
        <v>2</v>
      </c>
      <c r="K26">
        <f>IFERROR(VLOOKUP(B26,'logos transformer '!A:C,3,FALSE),"na")</f>
        <v>114</v>
      </c>
      <c r="L26" s="1">
        <f>IFERROR(VLOOKUP(B26,'logos transformer '!A:D,4,FALSE),"na")</f>
        <v>45227.48333333333</v>
      </c>
    </row>
    <row r="27" spans="1:12" x14ac:dyDescent="0.3">
      <c r="A27" s="1">
        <v>45206.919444444437</v>
      </c>
      <c r="B27" t="s">
        <v>30</v>
      </c>
      <c r="C27">
        <v>13</v>
      </c>
      <c r="D27" t="s">
        <v>8</v>
      </c>
      <c r="E27" t="str">
        <f>IFERROR(VLOOKUP(logos[[#This Row],[Cell_ID]],'registe maintenance'!A:B,2,FALSE)," non répertoriées")</f>
        <v>Sud-Ubangi</v>
      </c>
      <c r="F27">
        <f>IFERROR(VLOOKUP(logos[[#This Row],[Cell_ID]],'registe maintenance'!A:C,3,FALSE)," non répertoriées")</f>
        <v>-10.56448</v>
      </c>
      <c r="G27">
        <f>IFERROR(VLOOKUP(logos[[#This Row],[Cell_ID]],'registe maintenance'!A:D,4,FALSE)," non répertoriées")</f>
        <v>19.792876</v>
      </c>
      <c r="H27" t="str">
        <f>IFERROR(VLOOKUP(logos[[#This Row],[Cell_ID]],'registe maintenance'!A:E,5,FALSE)," non répertoriées")</f>
        <v>5G</v>
      </c>
      <c r="I27" t="str">
        <f>IFERROR(VLOOKUP(logos[[#This Row],[Cell_ID]],'registe maintenance'!A:F,6,FALSE)," non répertoriées")</f>
        <v>Ericsson</v>
      </c>
      <c r="J27">
        <f>IFERROR(VLOOKUP(B27,'logos transformer '!A:B,2,FALSE),"na")</f>
        <v>3</v>
      </c>
      <c r="K27">
        <f>IFERROR(VLOOKUP(B27,'logos transformer '!A:C,3,FALSE),"na")</f>
        <v>185</v>
      </c>
      <c r="L27" s="1">
        <f>IFERROR(VLOOKUP(B27,'logos transformer '!A:D,4,FALSE),"na")</f>
        <v>45229.595833333333</v>
      </c>
    </row>
    <row r="28" spans="1:12" x14ac:dyDescent="0.3">
      <c r="A28" s="1">
        <v>45201.884722222218</v>
      </c>
      <c r="B28" t="s">
        <v>31</v>
      </c>
      <c r="C28">
        <v>54</v>
      </c>
      <c r="D28" t="s">
        <v>10</v>
      </c>
      <c r="E28" t="str">
        <f>IFERROR(VLOOKUP(logos[[#This Row],[Cell_ID]],'registe maintenance'!A:B,2,FALSE)," non répertoriées")</f>
        <v>Nord-Kivu</v>
      </c>
      <c r="F28">
        <f>IFERROR(VLOOKUP(logos[[#This Row],[Cell_ID]],'registe maintenance'!A:C,3,FALSE)," non répertoriées")</f>
        <v>4.6287159999999998</v>
      </c>
      <c r="G28">
        <f>IFERROR(VLOOKUP(logos[[#This Row],[Cell_ID]],'registe maintenance'!A:D,4,FALSE)," non répertoriées")</f>
        <v>19.407077999999998</v>
      </c>
      <c r="H28" t="str">
        <f>IFERROR(VLOOKUP(logos[[#This Row],[Cell_ID]],'registe maintenance'!A:E,5,FALSE)," non répertoriées")</f>
        <v>4G</v>
      </c>
      <c r="I28" t="str">
        <f>IFERROR(VLOOKUP(logos[[#This Row],[Cell_ID]],'registe maintenance'!A:F,6,FALSE)," non répertoriées")</f>
        <v>Ericsson</v>
      </c>
      <c r="J28">
        <f>IFERROR(VLOOKUP(B28,'logos transformer '!A:B,2,FALSE),"na")</f>
        <v>2</v>
      </c>
      <c r="K28">
        <f>IFERROR(VLOOKUP(B28,'logos transformer '!A:C,3,FALSE),"na")</f>
        <v>165</v>
      </c>
      <c r="L28" s="1">
        <f>IFERROR(VLOOKUP(B28,'logos transformer '!A:D,4,FALSE),"na")</f>
        <v>45211.477083333331</v>
      </c>
    </row>
    <row r="29" spans="1:12" x14ac:dyDescent="0.3">
      <c r="A29" s="1">
        <v>45224.378472222219</v>
      </c>
      <c r="B29" t="s">
        <v>7</v>
      </c>
      <c r="C29">
        <v>53</v>
      </c>
      <c r="D29" t="s">
        <v>10</v>
      </c>
      <c r="E29" t="str">
        <f>IFERROR(VLOOKUP(logos[[#This Row],[Cell_ID]],'registe maintenance'!A:B,2,FALSE)," non répertoriées")</f>
        <v xml:space="preserve"> non répertoriées</v>
      </c>
      <c r="F29" t="str">
        <f>IFERROR(VLOOKUP(logos[[#This Row],[Cell_ID]],'registe maintenance'!A:C,3,FALSE)," non répertoriées")</f>
        <v xml:space="preserve"> non répertoriées</v>
      </c>
      <c r="G29" t="str">
        <f>IFERROR(VLOOKUP(logos[[#This Row],[Cell_ID]],'registe maintenance'!A:D,4,FALSE)," non répertoriées")</f>
        <v xml:space="preserve"> non répertoriées</v>
      </c>
      <c r="H29" t="str">
        <f>IFERROR(VLOOKUP(logos[[#This Row],[Cell_ID]],'registe maintenance'!A:E,5,FALSE)," non répertoriées")</f>
        <v xml:space="preserve"> non répertoriées</v>
      </c>
      <c r="I29" t="str">
        <f>IFERROR(VLOOKUP(logos[[#This Row],[Cell_ID]],'registe maintenance'!A:F,6,FALSE)," non répertoriées")</f>
        <v xml:space="preserve"> non répertoriées</v>
      </c>
      <c r="J29">
        <f>IFERROR(VLOOKUP(B29,'logos transformer '!A:B,2,FALSE),"na")</f>
        <v>2</v>
      </c>
      <c r="K29">
        <f>IFERROR(VLOOKUP(B29,'logos transformer '!A:C,3,FALSE),"na")</f>
        <v>153</v>
      </c>
      <c r="L29" s="1">
        <f>IFERROR(VLOOKUP(B29,'logos transformer '!A:D,4,FALSE),"na")</f>
        <v>45224.378472222219</v>
      </c>
    </row>
    <row r="30" spans="1:12" x14ac:dyDescent="0.3">
      <c r="A30" s="1">
        <v>45227.329861111109</v>
      </c>
      <c r="B30" t="s">
        <v>32</v>
      </c>
      <c r="C30">
        <v>81</v>
      </c>
      <c r="D30" t="s">
        <v>8</v>
      </c>
      <c r="E30" t="str">
        <f>IFERROR(VLOOKUP(logos[[#This Row],[Cell_ID]],'registe maintenance'!A:B,2,FALSE)," non répertoriées")</f>
        <v xml:space="preserve"> non répertoriées</v>
      </c>
      <c r="F30" t="str">
        <f>IFERROR(VLOOKUP(logos[[#This Row],[Cell_ID]],'registe maintenance'!A:C,3,FALSE)," non répertoriées")</f>
        <v xml:space="preserve"> non répertoriées</v>
      </c>
      <c r="G30" t="str">
        <f>IFERROR(VLOOKUP(logos[[#This Row],[Cell_ID]],'registe maintenance'!A:D,4,FALSE)," non répertoriées")</f>
        <v xml:space="preserve"> non répertoriées</v>
      </c>
      <c r="H30" t="str">
        <f>IFERROR(VLOOKUP(logos[[#This Row],[Cell_ID]],'registe maintenance'!A:E,5,FALSE)," non répertoriées")</f>
        <v xml:space="preserve"> non répertoriées</v>
      </c>
      <c r="I30" t="str">
        <f>IFERROR(VLOOKUP(logos[[#This Row],[Cell_ID]],'registe maintenance'!A:F,6,FALSE)," non répertoriées")</f>
        <v xml:space="preserve"> non répertoriées</v>
      </c>
      <c r="J30">
        <f>IFERROR(VLOOKUP(B30,'logos transformer '!A:B,2,FALSE),"na")</f>
        <v>4</v>
      </c>
      <c r="K30">
        <f>IFERROR(VLOOKUP(B30,'logos transformer '!A:C,3,FALSE),"na")</f>
        <v>224</v>
      </c>
      <c r="L30" s="1">
        <f>IFERROR(VLOOKUP(B30,'logos transformer '!A:D,4,FALSE),"na")</f>
        <v>45227.329861111109</v>
      </c>
    </row>
    <row r="31" spans="1:12" x14ac:dyDescent="0.3">
      <c r="A31" s="1">
        <v>45203.511805555558</v>
      </c>
      <c r="B31" t="s">
        <v>33</v>
      </c>
      <c r="C31">
        <v>64</v>
      </c>
      <c r="D31" t="s">
        <v>10</v>
      </c>
      <c r="E31" t="str">
        <f>IFERROR(VLOOKUP(logos[[#This Row],[Cell_ID]],'registe maintenance'!A:B,2,FALSE)," non répertoriées")</f>
        <v>Tshopo</v>
      </c>
      <c r="F31">
        <f>IFERROR(VLOOKUP(logos[[#This Row],[Cell_ID]],'registe maintenance'!A:C,3,FALSE)," non répertoriées")</f>
        <v>0.23583499999999999</v>
      </c>
      <c r="G31">
        <f>IFERROR(VLOOKUP(logos[[#This Row],[Cell_ID]],'registe maintenance'!A:D,4,FALSE)," non répertoriées")</f>
        <v>24.889558999999998</v>
      </c>
      <c r="H31" t="str">
        <f>IFERROR(VLOOKUP(logos[[#This Row],[Cell_ID]],'registe maintenance'!A:E,5,FALSE)," non répertoriées")</f>
        <v>3G</v>
      </c>
      <c r="I31" t="str">
        <f>IFERROR(VLOOKUP(logos[[#This Row],[Cell_ID]],'registe maintenance'!A:F,6,FALSE)," non répertoriées")</f>
        <v>ZTE</v>
      </c>
      <c r="J31">
        <f>IFERROR(VLOOKUP(B31,'logos transformer '!A:B,2,FALSE),"na")</f>
        <v>1</v>
      </c>
      <c r="K31">
        <f>IFERROR(VLOOKUP(B31,'logos transformer '!A:C,3,FALSE),"na")</f>
        <v>64</v>
      </c>
      <c r="L31" s="1">
        <f>IFERROR(VLOOKUP(B31,'logos transformer '!A:D,4,FALSE),"na")</f>
        <v>45203.511805555558</v>
      </c>
    </row>
    <row r="32" spans="1:12" x14ac:dyDescent="0.3">
      <c r="A32" s="1">
        <v>45214.870138888888</v>
      </c>
      <c r="B32" t="s">
        <v>34</v>
      </c>
      <c r="C32">
        <v>72</v>
      </c>
      <c r="D32" t="s">
        <v>5</v>
      </c>
      <c r="E32" t="str">
        <f>IFERROR(VLOOKUP(logos[[#This Row],[Cell_ID]],'registe maintenance'!A:B,2,FALSE)," non répertoriées")</f>
        <v xml:space="preserve"> non répertoriées</v>
      </c>
      <c r="F32" t="str">
        <f>IFERROR(VLOOKUP(logos[[#This Row],[Cell_ID]],'registe maintenance'!A:C,3,FALSE)," non répertoriées")</f>
        <v xml:space="preserve"> non répertoriées</v>
      </c>
      <c r="G32" t="str">
        <f>IFERROR(VLOOKUP(logos[[#This Row],[Cell_ID]],'registe maintenance'!A:D,4,FALSE)," non répertoriées")</f>
        <v xml:space="preserve"> non répertoriées</v>
      </c>
      <c r="H32" t="str">
        <f>IFERROR(VLOOKUP(logos[[#This Row],[Cell_ID]],'registe maintenance'!A:E,5,FALSE)," non répertoriées")</f>
        <v xml:space="preserve"> non répertoriées</v>
      </c>
      <c r="I32" t="str">
        <f>IFERROR(VLOOKUP(logos[[#This Row],[Cell_ID]],'registe maintenance'!A:F,6,FALSE)," non répertoriées")</f>
        <v xml:space="preserve"> non répertoriées</v>
      </c>
      <c r="J32">
        <f>IFERROR(VLOOKUP(B32,'logos transformer '!A:B,2,FALSE),"na")</f>
        <v>5</v>
      </c>
      <c r="K32">
        <f>IFERROR(VLOOKUP(B32,'logos transformer '!A:C,3,FALSE),"na")</f>
        <v>390</v>
      </c>
      <c r="L32" s="1">
        <f>IFERROR(VLOOKUP(B32,'logos transformer '!A:D,4,FALSE),"na")</f>
        <v>45227.306250000001</v>
      </c>
    </row>
    <row r="33" spans="1:12" x14ac:dyDescent="0.3">
      <c r="A33" s="1">
        <v>45211.224305555559</v>
      </c>
      <c r="B33" t="s">
        <v>35</v>
      </c>
      <c r="C33">
        <v>37</v>
      </c>
      <c r="D33" t="s">
        <v>5</v>
      </c>
      <c r="E33" t="str">
        <f>IFERROR(VLOOKUP(logos[[#This Row],[Cell_ID]],'registe maintenance'!A:B,2,FALSE)," non répertoriées")</f>
        <v>Tanganyika</v>
      </c>
      <c r="F33">
        <f>IFERROR(VLOOKUP(logos[[#This Row],[Cell_ID]],'registe maintenance'!A:C,3,FALSE)," non répertoriées")</f>
        <v>-2.4662510000000002</v>
      </c>
      <c r="G33">
        <f>IFERROR(VLOOKUP(logos[[#This Row],[Cell_ID]],'registe maintenance'!A:D,4,FALSE)," non répertoriées")</f>
        <v>18.007998000000001</v>
      </c>
      <c r="H33" t="str">
        <f>IFERROR(VLOOKUP(logos[[#This Row],[Cell_ID]],'registe maintenance'!A:E,5,FALSE)," non répertoriées")</f>
        <v>5G</v>
      </c>
      <c r="I33" t="str">
        <f>IFERROR(VLOOKUP(logos[[#This Row],[Cell_ID]],'registe maintenance'!A:F,6,FALSE)," non répertoriées")</f>
        <v>Ericsson</v>
      </c>
      <c r="J33">
        <f>IFERROR(VLOOKUP(B33,'logos transformer '!A:B,2,FALSE),"na")</f>
        <v>2</v>
      </c>
      <c r="K33">
        <f>IFERROR(VLOOKUP(B33,'logos transformer '!A:C,3,FALSE),"na")</f>
        <v>51</v>
      </c>
      <c r="L33" s="1">
        <f>IFERROR(VLOOKUP(B33,'logos transformer '!A:D,4,FALSE),"na")</f>
        <v>45221.717361111114</v>
      </c>
    </row>
    <row r="34" spans="1:12" x14ac:dyDescent="0.3">
      <c r="A34" s="1">
        <v>45211.279166666667</v>
      </c>
      <c r="B34" t="s">
        <v>36</v>
      </c>
      <c r="C34">
        <v>75</v>
      </c>
      <c r="D34" t="s">
        <v>5</v>
      </c>
      <c r="E34" t="str">
        <f>IFERROR(VLOOKUP(logos[[#This Row],[Cell_ID]],'registe maintenance'!A:B,2,FALSE)," non répertoriées")</f>
        <v>Nord-Ubangi</v>
      </c>
      <c r="F34">
        <f>IFERROR(VLOOKUP(logos[[#This Row],[Cell_ID]],'registe maintenance'!A:C,3,FALSE)," non répertoriées")</f>
        <v>-8.1437910000000002</v>
      </c>
      <c r="G34">
        <f>IFERROR(VLOOKUP(logos[[#This Row],[Cell_ID]],'registe maintenance'!A:D,4,FALSE)," non répertoriées")</f>
        <v>28.946161</v>
      </c>
      <c r="H34" t="str">
        <f>IFERROR(VLOOKUP(logos[[#This Row],[Cell_ID]],'registe maintenance'!A:E,5,FALSE)," non répertoriées")</f>
        <v>4G</v>
      </c>
      <c r="I34" t="str">
        <f>IFERROR(VLOOKUP(logos[[#This Row],[Cell_ID]],'registe maintenance'!A:F,6,FALSE)," non répertoriées")</f>
        <v>ZTE</v>
      </c>
      <c r="J34">
        <f>IFERROR(VLOOKUP(B34,'logos transformer '!A:B,2,FALSE),"na")</f>
        <v>3</v>
      </c>
      <c r="K34">
        <f>IFERROR(VLOOKUP(B34,'logos transformer '!A:C,3,FALSE),"na")</f>
        <v>136</v>
      </c>
      <c r="L34" s="1">
        <f>IFERROR(VLOOKUP(B34,'logos transformer '!A:D,4,FALSE),"na")</f>
        <v>45211.279166666667</v>
      </c>
    </row>
    <row r="35" spans="1:12" x14ac:dyDescent="0.3">
      <c r="A35" s="1">
        <v>45208.957638888889</v>
      </c>
      <c r="B35" t="s">
        <v>37</v>
      </c>
      <c r="C35">
        <v>115</v>
      </c>
      <c r="D35" t="s">
        <v>5</v>
      </c>
      <c r="E35" t="str">
        <f>IFERROR(VLOOKUP(logos[[#This Row],[Cell_ID]],'registe maintenance'!A:B,2,FALSE)," non répertoriées")</f>
        <v>Tshopo</v>
      </c>
      <c r="F35">
        <f>IFERROR(VLOOKUP(logos[[#This Row],[Cell_ID]],'registe maintenance'!A:C,3,FALSE)," non répertoriées")</f>
        <v>-6.1837850000000003</v>
      </c>
      <c r="G35">
        <f>IFERROR(VLOOKUP(logos[[#This Row],[Cell_ID]],'registe maintenance'!A:D,4,FALSE)," non répertoriées")</f>
        <v>25.138759</v>
      </c>
      <c r="H35" t="str">
        <f>IFERROR(VLOOKUP(logos[[#This Row],[Cell_ID]],'registe maintenance'!A:E,5,FALSE)," non répertoriées")</f>
        <v>3G</v>
      </c>
      <c r="I35" t="str">
        <f>IFERROR(VLOOKUP(logos[[#This Row],[Cell_ID]],'registe maintenance'!A:F,6,FALSE)," non répertoriées")</f>
        <v>Ericsson</v>
      </c>
      <c r="J35">
        <f>IFERROR(VLOOKUP(B35,'logos transformer '!A:B,2,FALSE),"na")</f>
        <v>1</v>
      </c>
      <c r="K35">
        <f>IFERROR(VLOOKUP(B35,'logos transformer '!A:C,3,FALSE),"na")</f>
        <v>115</v>
      </c>
      <c r="L35" s="1">
        <f>IFERROR(VLOOKUP(B35,'logos transformer '!A:D,4,FALSE),"na")</f>
        <v>45208.957638888889</v>
      </c>
    </row>
    <row r="36" spans="1:12" x14ac:dyDescent="0.3">
      <c r="A36" s="1">
        <v>45221.836111111108</v>
      </c>
      <c r="B36" t="s">
        <v>38</v>
      </c>
      <c r="C36">
        <v>6</v>
      </c>
      <c r="D36" t="s">
        <v>10</v>
      </c>
      <c r="E36" t="str">
        <f>IFERROR(VLOOKUP(logos[[#This Row],[Cell_ID]],'registe maintenance'!A:B,2,FALSE)," non répertoriées")</f>
        <v>Kasai</v>
      </c>
      <c r="F36">
        <f>IFERROR(VLOOKUP(logos[[#This Row],[Cell_ID]],'registe maintenance'!A:C,3,FALSE)," non répertoriées")</f>
        <v>-4.9789079999999997</v>
      </c>
      <c r="G36">
        <f>IFERROR(VLOOKUP(logos[[#This Row],[Cell_ID]],'registe maintenance'!A:D,4,FALSE)," non répertoriées")</f>
        <v>28.506295000000001</v>
      </c>
      <c r="H36" t="str">
        <f>IFERROR(VLOOKUP(logos[[#This Row],[Cell_ID]],'registe maintenance'!A:E,5,FALSE)," non répertoriées")</f>
        <v>4G</v>
      </c>
      <c r="I36" t="str">
        <f>IFERROR(VLOOKUP(logos[[#This Row],[Cell_ID]],'registe maintenance'!A:F,6,FALSE)," non répertoriées")</f>
        <v>Huawei</v>
      </c>
      <c r="J36">
        <f>IFERROR(VLOOKUP(B36,'logos transformer '!A:B,2,FALSE),"na")</f>
        <v>2</v>
      </c>
      <c r="K36">
        <f>IFERROR(VLOOKUP(B36,'logos transformer '!A:C,3,FALSE),"na")</f>
        <v>108</v>
      </c>
      <c r="L36" s="1">
        <f>IFERROR(VLOOKUP(B36,'logos transformer '!A:D,4,FALSE),"na")</f>
        <v>45221.836111111108</v>
      </c>
    </row>
    <row r="37" spans="1:12" x14ac:dyDescent="0.3">
      <c r="A37" s="1">
        <v>45219.840277777781</v>
      </c>
      <c r="B37" t="s">
        <v>39</v>
      </c>
      <c r="C37">
        <v>92</v>
      </c>
      <c r="D37" t="s">
        <v>5</v>
      </c>
      <c r="E37" t="str">
        <f>IFERROR(VLOOKUP(logos[[#This Row],[Cell_ID]],'registe maintenance'!A:B,2,FALSE)," non répertoriées")</f>
        <v xml:space="preserve"> non répertoriées</v>
      </c>
      <c r="F37" t="str">
        <f>IFERROR(VLOOKUP(logos[[#This Row],[Cell_ID]],'registe maintenance'!A:C,3,FALSE)," non répertoriées")</f>
        <v xml:space="preserve"> non répertoriées</v>
      </c>
      <c r="G37" t="str">
        <f>IFERROR(VLOOKUP(logos[[#This Row],[Cell_ID]],'registe maintenance'!A:D,4,FALSE)," non répertoriées")</f>
        <v xml:space="preserve"> non répertoriées</v>
      </c>
      <c r="H37" t="str">
        <f>IFERROR(VLOOKUP(logos[[#This Row],[Cell_ID]],'registe maintenance'!A:E,5,FALSE)," non répertoriées")</f>
        <v xml:space="preserve"> non répertoriées</v>
      </c>
      <c r="I37" t="str">
        <f>IFERROR(VLOOKUP(logos[[#This Row],[Cell_ID]],'registe maintenance'!A:F,6,FALSE)," non répertoriées")</f>
        <v xml:space="preserve"> non répertoriées</v>
      </c>
      <c r="J37">
        <f>IFERROR(VLOOKUP(B37,'logos transformer '!A:B,2,FALSE),"na")</f>
        <v>3</v>
      </c>
      <c r="K37">
        <f>IFERROR(VLOOKUP(B37,'logos transformer '!A:C,3,FALSE),"na")</f>
        <v>259</v>
      </c>
      <c r="L37" s="1">
        <f>IFERROR(VLOOKUP(B37,'logos transformer '!A:D,4,FALSE),"na")</f>
        <v>45219.840277777781</v>
      </c>
    </row>
    <row r="38" spans="1:12" x14ac:dyDescent="0.3">
      <c r="A38" s="1">
        <v>45217.96875</v>
      </c>
      <c r="B38" t="s">
        <v>40</v>
      </c>
      <c r="C38">
        <v>97</v>
      </c>
      <c r="D38" t="s">
        <v>8</v>
      </c>
      <c r="E38" t="str">
        <f>IFERROR(VLOOKUP(logos[[#This Row],[Cell_ID]],'registe maintenance'!A:B,2,FALSE)," non répertoriées")</f>
        <v>Kasai</v>
      </c>
      <c r="F38">
        <f>IFERROR(VLOOKUP(logos[[#This Row],[Cell_ID]],'registe maintenance'!A:C,3,FALSE)," non répertoriées")</f>
        <v>-10.059846</v>
      </c>
      <c r="G38">
        <f>IFERROR(VLOOKUP(logos[[#This Row],[Cell_ID]],'registe maintenance'!A:D,4,FALSE)," non répertoriées")</f>
        <v>14.375757999999999</v>
      </c>
      <c r="H38" t="str">
        <f>IFERROR(VLOOKUP(logos[[#This Row],[Cell_ID]],'registe maintenance'!A:E,5,FALSE)," non répertoriées")</f>
        <v>4G</v>
      </c>
      <c r="I38" t="str">
        <f>IFERROR(VLOOKUP(logos[[#This Row],[Cell_ID]],'registe maintenance'!A:F,6,FALSE)," non répertoriées")</f>
        <v>Huawei</v>
      </c>
      <c r="J38">
        <f>IFERROR(VLOOKUP(B38,'logos transformer '!A:B,2,FALSE),"na")</f>
        <v>1</v>
      </c>
      <c r="K38">
        <f>IFERROR(VLOOKUP(B38,'logos transformer '!A:C,3,FALSE),"na")</f>
        <v>97</v>
      </c>
      <c r="L38" s="1">
        <f>IFERROR(VLOOKUP(B38,'logos transformer '!A:D,4,FALSE),"na")</f>
        <v>45217.96875</v>
      </c>
    </row>
    <row r="39" spans="1:12" x14ac:dyDescent="0.3">
      <c r="A39" s="1">
        <v>45205.599999999999</v>
      </c>
      <c r="B39" t="s">
        <v>41</v>
      </c>
      <c r="C39">
        <v>19</v>
      </c>
      <c r="D39" t="s">
        <v>8</v>
      </c>
      <c r="E39" t="str">
        <f>IFERROR(VLOOKUP(logos[[#This Row],[Cell_ID]],'registe maintenance'!A:B,2,FALSE)," non répertoriées")</f>
        <v xml:space="preserve"> non répertoriées</v>
      </c>
      <c r="F39" t="str">
        <f>IFERROR(VLOOKUP(logos[[#This Row],[Cell_ID]],'registe maintenance'!A:C,3,FALSE)," non répertoriées")</f>
        <v xml:space="preserve"> non répertoriées</v>
      </c>
      <c r="G39" t="str">
        <f>IFERROR(VLOOKUP(logos[[#This Row],[Cell_ID]],'registe maintenance'!A:D,4,FALSE)," non répertoriées")</f>
        <v xml:space="preserve"> non répertoriées</v>
      </c>
      <c r="H39" t="str">
        <f>IFERROR(VLOOKUP(logos[[#This Row],[Cell_ID]],'registe maintenance'!A:E,5,FALSE)," non répertoriées")</f>
        <v xml:space="preserve"> non répertoriées</v>
      </c>
      <c r="I39" t="str">
        <f>IFERROR(VLOOKUP(logos[[#This Row],[Cell_ID]],'registe maintenance'!A:F,6,FALSE)," non répertoriées")</f>
        <v xml:space="preserve"> non répertoriées</v>
      </c>
      <c r="J39">
        <f>IFERROR(VLOOKUP(B39,'logos transformer '!A:B,2,FALSE),"na")</f>
        <v>2</v>
      </c>
      <c r="K39">
        <f>IFERROR(VLOOKUP(B39,'logos transformer '!A:C,3,FALSE),"na")</f>
        <v>37</v>
      </c>
      <c r="L39" s="1">
        <f>IFERROR(VLOOKUP(B39,'logos transformer '!A:D,4,FALSE),"na")</f>
        <v>45205.599999999999</v>
      </c>
    </row>
    <row r="40" spans="1:12" x14ac:dyDescent="0.3">
      <c r="A40" s="1">
        <v>45208.863888888889</v>
      </c>
      <c r="B40" t="s">
        <v>42</v>
      </c>
      <c r="C40">
        <v>92</v>
      </c>
      <c r="D40" t="s">
        <v>5</v>
      </c>
      <c r="E40" t="str">
        <f>IFERROR(VLOOKUP(logos[[#This Row],[Cell_ID]],'registe maintenance'!A:B,2,FALSE)," non répertoriées")</f>
        <v>Kwilu</v>
      </c>
      <c r="F40">
        <f>IFERROR(VLOOKUP(logos[[#This Row],[Cell_ID]],'registe maintenance'!A:C,3,FALSE)," non répertoriées")</f>
        <v>-0.77432100000000004</v>
      </c>
      <c r="G40">
        <f>IFERROR(VLOOKUP(logos[[#This Row],[Cell_ID]],'registe maintenance'!A:D,4,FALSE)," non répertoriées")</f>
        <v>18.628658999999999</v>
      </c>
      <c r="H40" t="str">
        <f>IFERROR(VLOOKUP(logos[[#This Row],[Cell_ID]],'registe maintenance'!A:E,5,FALSE)," non répertoriées")</f>
        <v>4G</v>
      </c>
      <c r="I40" t="str">
        <f>IFERROR(VLOOKUP(logos[[#This Row],[Cell_ID]],'registe maintenance'!A:F,6,FALSE)," non répertoriées")</f>
        <v>Huawei</v>
      </c>
      <c r="J40">
        <f>IFERROR(VLOOKUP(B40,'logos transformer '!A:B,2,FALSE),"na")</f>
        <v>2</v>
      </c>
      <c r="K40">
        <f>IFERROR(VLOOKUP(B40,'logos transformer '!A:C,3,FALSE),"na")</f>
        <v>134</v>
      </c>
      <c r="L40" s="1">
        <f>IFERROR(VLOOKUP(B40,'logos transformer '!A:D,4,FALSE),"na")</f>
        <v>45218.631944444445</v>
      </c>
    </row>
    <row r="41" spans="1:12" x14ac:dyDescent="0.3">
      <c r="A41" s="1">
        <v>45217.321527777778</v>
      </c>
      <c r="B41" t="s">
        <v>43</v>
      </c>
      <c r="C41">
        <v>118</v>
      </c>
      <c r="D41" t="s">
        <v>8</v>
      </c>
      <c r="E41" t="str">
        <f>IFERROR(VLOOKUP(logos[[#This Row],[Cell_ID]],'registe maintenance'!A:B,2,FALSE)," non répertoriées")</f>
        <v xml:space="preserve"> non répertoriées</v>
      </c>
      <c r="F41" t="str">
        <f>IFERROR(VLOOKUP(logos[[#This Row],[Cell_ID]],'registe maintenance'!A:C,3,FALSE)," non répertoriées")</f>
        <v xml:space="preserve"> non répertoriées</v>
      </c>
      <c r="G41" t="str">
        <f>IFERROR(VLOOKUP(logos[[#This Row],[Cell_ID]],'registe maintenance'!A:D,4,FALSE)," non répertoriées")</f>
        <v xml:space="preserve"> non répertoriées</v>
      </c>
      <c r="H41" t="str">
        <f>IFERROR(VLOOKUP(logos[[#This Row],[Cell_ID]],'registe maintenance'!A:E,5,FALSE)," non répertoriées")</f>
        <v xml:space="preserve"> non répertoriées</v>
      </c>
      <c r="I41" t="str">
        <f>IFERROR(VLOOKUP(logos[[#This Row],[Cell_ID]],'registe maintenance'!A:F,6,FALSE)," non répertoriées")</f>
        <v xml:space="preserve"> non répertoriées</v>
      </c>
      <c r="J41">
        <f>IFERROR(VLOOKUP(B41,'logos transformer '!A:B,2,FALSE),"na")</f>
        <v>1</v>
      </c>
      <c r="K41">
        <f>IFERROR(VLOOKUP(B41,'logos transformer '!A:C,3,FALSE),"na")</f>
        <v>118</v>
      </c>
      <c r="L41" s="1">
        <f>IFERROR(VLOOKUP(B41,'logos transformer '!A:D,4,FALSE),"na")</f>
        <v>45217.321527777778</v>
      </c>
    </row>
    <row r="42" spans="1:12" x14ac:dyDescent="0.3">
      <c r="A42" s="1">
        <v>45210.051388888889</v>
      </c>
      <c r="B42" t="s">
        <v>44</v>
      </c>
      <c r="C42">
        <v>73</v>
      </c>
      <c r="D42" t="s">
        <v>5</v>
      </c>
      <c r="E42" t="str">
        <f>IFERROR(VLOOKUP(logos[[#This Row],[Cell_ID]],'registe maintenance'!A:B,2,FALSE)," non répertoriées")</f>
        <v>Tanganyika</v>
      </c>
      <c r="F42">
        <f>IFERROR(VLOOKUP(logos[[#This Row],[Cell_ID]],'registe maintenance'!A:C,3,FALSE)," non répertoriées")</f>
        <v>-10.776204</v>
      </c>
      <c r="G42">
        <f>IFERROR(VLOOKUP(logos[[#This Row],[Cell_ID]],'registe maintenance'!A:D,4,FALSE)," non répertoriées")</f>
        <v>24.672934000000001</v>
      </c>
      <c r="H42" t="str">
        <f>IFERROR(VLOOKUP(logos[[#This Row],[Cell_ID]],'registe maintenance'!A:E,5,FALSE)," non répertoriées")</f>
        <v>4G</v>
      </c>
      <c r="I42" t="str">
        <f>IFERROR(VLOOKUP(logos[[#This Row],[Cell_ID]],'registe maintenance'!A:F,6,FALSE)," non répertoriées")</f>
        <v>Ericsson</v>
      </c>
      <c r="J42">
        <f>IFERROR(VLOOKUP(B42,'logos transformer '!A:B,2,FALSE),"na")</f>
        <v>3</v>
      </c>
      <c r="K42">
        <f>IFERROR(VLOOKUP(B42,'logos transformer '!A:C,3,FALSE),"na")</f>
        <v>176</v>
      </c>
      <c r="L42" s="1">
        <f>IFERROR(VLOOKUP(B42,'logos transformer '!A:D,4,FALSE),"na")</f>
        <v>45228.853472222225</v>
      </c>
    </row>
    <row r="43" spans="1:12" x14ac:dyDescent="0.3">
      <c r="A43" s="1">
        <v>45226.07708333333</v>
      </c>
      <c r="B43" t="s">
        <v>45</v>
      </c>
      <c r="C43">
        <v>101</v>
      </c>
      <c r="D43" t="s">
        <v>5</v>
      </c>
      <c r="E43" t="str">
        <f>IFERROR(VLOOKUP(logos[[#This Row],[Cell_ID]],'registe maintenance'!A:B,2,FALSE)," non répertoriées")</f>
        <v>Sud-Kivu</v>
      </c>
      <c r="F43">
        <f>IFERROR(VLOOKUP(logos[[#This Row],[Cell_ID]],'registe maintenance'!A:C,3,FALSE)," non répertoriées")</f>
        <v>4.2493650000000001</v>
      </c>
      <c r="G43">
        <f>IFERROR(VLOOKUP(logos[[#This Row],[Cell_ID]],'registe maintenance'!A:D,4,FALSE)," non répertoriées")</f>
        <v>28.355039999999999</v>
      </c>
      <c r="H43" t="str">
        <f>IFERROR(VLOOKUP(logos[[#This Row],[Cell_ID]],'registe maintenance'!A:E,5,FALSE)," non répertoriées")</f>
        <v>3G</v>
      </c>
      <c r="I43" t="str">
        <f>IFERROR(VLOOKUP(logos[[#This Row],[Cell_ID]],'registe maintenance'!A:F,6,FALSE)," non répertoriées")</f>
        <v>ZTE</v>
      </c>
      <c r="J43">
        <f>IFERROR(VLOOKUP(B43,'logos transformer '!A:B,2,FALSE),"na")</f>
        <v>3</v>
      </c>
      <c r="K43">
        <f>IFERROR(VLOOKUP(B43,'logos transformer '!A:C,3,FALSE),"na")</f>
        <v>215</v>
      </c>
      <c r="L43" s="1">
        <f>IFERROR(VLOOKUP(B43,'logos transformer '!A:D,4,FALSE),"na")</f>
        <v>45226.07708333333</v>
      </c>
    </row>
    <row r="44" spans="1:12" x14ac:dyDescent="0.3">
      <c r="A44" s="1">
        <v>45202.290277777778</v>
      </c>
      <c r="B44" t="s">
        <v>46</v>
      </c>
      <c r="C44">
        <v>103</v>
      </c>
      <c r="D44" t="s">
        <v>8</v>
      </c>
      <c r="E44" t="str">
        <f>IFERROR(VLOOKUP(logos[[#This Row],[Cell_ID]],'registe maintenance'!A:B,2,FALSE)," non répertoriées")</f>
        <v>Equateur</v>
      </c>
      <c r="F44">
        <f>IFERROR(VLOOKUP(logos[[#This Row],[Cell_ID]],'registe maintenance'!A:C,3,FALSE)," non répertoriées")</f>
        <v>4.9250049999999996</v>
      </c>
      <c r="G44">
        <f>IFERROR(VLOOKUP(logos[[#This Row],[Cell_ID]],'registe maintenance'!A:D,4,FALSE)," non répertoriées")</f>
        <v>19.887931999999999</v>
      </c>
      <c r="H44" t="str">
        <f>IFERROR(VLOOKUP(logos[[#This Row],[Cell_ID]],'registe maintenance'!A:E,5,FALSE)," non répertoriées")</f>
        <v>4G</v>
      </c>
      <c r="I44" t="str">
        <f>IFERROR(VLOOKUP(logos[[#This Row],[Cell_ID]],'registe maintenance'!A:F,6,FALSE)," non répertoriées")</f>
        <v>Huawei</v>
      </c>
      <c r="J44">
        <f>IFERROR(VLOOKUP(B44,'logos transformer '!A:B,2,FALSE),"na")</f>
        <v>1</v>
      </c>
      <c r="K44">
        <f>IFERROR(VLOOKUP(B44,'logos transformer '!A:C,3,FALSE),"na")</f>
        <v>103</v>
      </c>
      <c r="L44" s="1">
        <f>IFERROR(VLOOKUP(B44,'logos transformer '!A:D,4,FALSE),"na")</f>
        <v>45202.290277777778</v>
      </c>
    </row>
    <row r="45" spans="1:12" x14ac:dyDescent="0.3">
      <c r="A45" s="1">
        <v>45230.788888888892</v>
      </c>
      <c r="B45" t="s">
        <v>47</v>
      </c>
      <c r="C45">
        <v>87</v>
      </c>
      <c r="D45" t="s">
        <v>8</v>
      </c>
      <c r="E45" t="str">
        <f>IFERROR(VLOOKUP(logos[[#This Row],[Cell_ID]],'registe maintenance'!A:B,2,FALSE)," non répertoriées")</f>
        <v xml:space="preserve"> non répertoriées</v>
      </c>
      <c r="F45" t="str">
        <f>IFERROR(VLOOKUP(logos[[#This Row],[Cell_ID]],'registe maintenance'!A:C,3,FALSE)," non répertoriées")</f>
        <v xml:space="preserve"> non répertoriées</v>
      </c>
      <c r="G45" t="str">
        <f>IFERROR(VLOOKUP(logos[[#This Row],[Cell_ID]],'registe maintenance'!A:D,4,FALSE)," non répertoriées")</f>
        <v xml:space="preserve"> non répertoriées</v>
      </c>
      <c r="H45" t="str">
        <f>IFERROR(VLOOKUP(logos[[#This Row],[Cell_ID]],'registe maintenance'!A:E,5,FALSE)," non répertoriées")</f>
        <v xml:space="preserve"> non répertoriées</v>
      </c>
      <c r="I45" t="str">
        <f>IFERROR(VLOOKUP(logos[[#This Row],[Cell_ID]],'registe maintenance'!A:F,6,FALSE)," non répertoriées")</f>
        <v xml:space="preserve"> non répertoriées</v>
      </c>
      <c r="J45">
        <f>IFERROR(VLOOKUP(B45,'logos transformer '!A:B,2,FALSE),"na")</f>
        <v>3</v>
      </c>
      <c r="K45">
        <f>IFERROR(VLOOKUP(B45,'logos transformer '!A:C,3,FALSE),"na")</f>
        <v>251</v>
      </c>
      <c r="L45" s="1">
        <f>IFERROR(VLOOKUP(B45,'logos transformer '!A:D,4,FALSE),"na")</f>
        <v>45230.788888888892</v>
      </c>
    </row>
    <row r="46" spans="1:12" x14ac:dyDescent="0.3">
      <c r="A46" s="1">
        <v>45222.425694444442</v>
      </c>
      <c r="B46" t="s">
        <v>48</v>
      </c>
      <c r="C46">
        <v>48</v>
      </c>
      <c r="D46" t="s">
        <v>5</v>
      </c>
      <c r="E46" t="str">
        <f>IFERROR(VLOOKUP(logos[[#This Row],[Cell_ID]],'registe maintenance'!A:B,2,FALSE)," non répertoriées")</f>
        <v xml:space="preserve"> non répertoriées</v>
      </c>
      <c r="F46" t="str">
        <f>IFERROR(VLOOKUP(logos[[#This Row],[Cell_ID]],'registe maintenance'!A:C,3,FALSE)," non répertoriées")</f>
        <v xml:space="preserve"> non répertoriées</v>
      </c>
      <c r="G46" t="str">
        <f>IFERROR(VLOOKUP(logos[[#This Row],[Cell_ID]],'registe maintenance'!A:D,4,FALSE)," non répertoriées")</f>
        <v xml:space="preserve"> non répertoriées</v>
      </c>
      <c r="H46" t="str">
        <f>IFERROR(VLOOKUP(logos[[#This Row],[Cell_ID]],'registe maintenance'!A:E,5,FALSE)," non répertoriées")</f>
        <v xml:space="preserve"> non répertoriées</v>
      </c>
      <c r="I46" t="str">
        <f>IFERROR(VLOOKUP(logos[[#This Row],[Cell_ID]],'registe maintenance'!A:F,6,FALSE)," non répertoriées")</f>
        <v xml:space="preserve"> non répertoriées</v>
      </c>
      <c r="J46">
        <f>IFERROR(VLOOKUP(B46,'logos transformer '!A:B,2,FALSE),"na")</f>
        <v>1</v>
      </c>
      <c r="K46">
        <f>IFERROR(VLOOKUP(B46,'logos transformer '!A:C,3,FALSE),"na")</f>
        <v>48</v>
      </c>
      <c r="L46" s="1">
        <f>IFERROR(VLOOKUP(B46,'logos transformer '!A:D,4,FALSE),"na")</f>
        <v>45222.425694444442</v>
      </c>
    </row>
    <row r="47" spans="1:12" x14ac:dyDescent="0.3">
      <c r="A47" s="1">
        <v>45220.642361111109</v>
      </c>
      <c r="B47" t="s">
        <v>49</v>
      </c>
      <c r="C47">
        <v>19</v>
      </c>
      <c r="D47" t="s">
        <v>5</v>
      </c>
      <c r="E47" t="str">
        <f>IFERROR(VLOOKUP(logos[[#This Row],[Cell_ID]],'registe maintenance'!A:B,2,FALSE)," non répertoriées")</f>
        <v xml:space="preserve"> non répertoriées</v>
      </c>
      <c r="F47" t="str">
        <f>IFERROR(VLOOKUP(logos[[#This Row],[Cell_ID]],'registe maintenance'!A:C,3,FALSE)," non répertoriées")</f>
        <v xml:space="preserve"> non répertoriées</v>
      </c>
      <c r="G47" t="str">
        <f>IFERROR(VLOOKUP(logos[[#This Row],[Cell_ID]],'registe maintenance'!A:D,4,FALSE)," non répertoriées")</f>
        <v xml:space="preserve"> non répertoriées</v>
      </c>
      <c r="H47" t="str">
        <f>IFERROR(VLOOKUP(logos[[#This Row],[Cell_ID]],'registe maintenance'!A:E,5,FALSE)," non répertoriées")</f>
        <v xml:space="preserve"> non répertoriées</v>
      </c>
      <c r="I47" t="str">
        <f>IFERROR(VLOOKUP(logos[[#This Row],[Cell_ID]],'registe maintenance'!A:F,6,FALSE)," non répertoriées")</f>
        <v xml:space="preserve"> non répertoriées</v>
      </c>
      <c r="J47">
        <f>IFERROR(VLOOKUP(B47,'logos transformer '!A:B,2,FALSE),"na")</f>
        <v>6</v>
      </c>
      <c r="K47">
        <f>IFERROR(VLOOKUP(B47,'logos transformer '!A:C,3,FALSE),"na")</f>
        <v>330</v>
      </c>
      <c r="L47" s="1">
        <f>IFERROR(VLOOKUP(B47,'logos transformer '!A:D,4,FALSE),"na")</f>
        <v>45230.834722222222</v>
      </c>
    </row>
    <row r="48" spans="1:12" x14ac:dyDescent="0.3">
      <c r="A48" s="1">
        <v>45228.853472222218</v>
      </c>
      <c r="B48" t="s">
        <v>44</v>
      </c>
      <c r="C48">
        <v>42</v>
      </c>
      <c r="D48" t="s">
        <v>5</v>
      </c>
      <c r="E48" t="str">
        <f>IFERROR(VLOOKUP(logos[[#This Row],[Cell_ID]],'registe maintenance'!A:B,2,FALSE)," non répertoriées")</f>
        <v>Tanganyika</v>
      </c>
      <c r="F48">
        <f>IFERROR(VLOOKUP(logos[[#This Row],[Cell_ID]],'registe maintenance'!A:C,3,FALSE)," non répertoriées")</f>
        <v>-10.776204</v>
      </c>
      <c r="G48">
        <f>IFERROR(VLOOKUP(logos[[#This Row],[Cell_ID]],'registe maintenance'!A:D,4,FALSE)," non répertoriées")</f>
        <v>24.672934000000001</v>
      </c>
      <c r="H48" t="str">
        <f>IFERROR(VLOOKUP(logos[[#This Row],[Cell_ID]],'registe maintenance'!A:E,5,FALSE)," non répertoriées")</f>
        <v>4G</v>
      </c>
      <c r="I48" t="str">
        <f>IFERROR(VLOOKUP(logos[[#This Row],[Cell_ID]],'registe maintenance'!A:F,6,FALSE)," non répertoriées")</f>
        <v>Ericsson</v>
      </c>
      <c r="J48">
        <f>IFERROR(VLOOKUP(B48,'logos transformer '!A:B,2,FALSE),"na")</f>
        <v>3</v>
      </c>
      <c r="K48">
        <f>IFERROR(VLOOKUP(B48,'logos transformer '!A:C,3,FALSE),"na")</f>
        <v>176</v>
      </c>
      <c r="L48" s="1">
        <f>IFERROR(VLOOKUP(B48,'logos transformer '!A:D,4,FALSE),"na")</f>
        <v>45228.853472222225</v>
      </c>
    </row>
    <row r="49" spans="1:12" x14ac:dyDescent="0.3">
      <c r="A49" s="1">
        <v>45204.338888888888</v>
      </c>
      <c r="B49" t="s">
        <v>50</v>
      </c>
      <c r="C49">
        <v>60</v>
      </c>
      <c r="D49" t="s">
        <v>5</v>
      </c>
      <c r="E49" t="str">
        <f>IFERROR(VLOOKUP(logos[[#This Row],[Cell_ID]],'registe maintenance'!A:B,2,FALSE)," non répertoriées")</f>
        <v xml:space="preserve"> non répertoriées</v>
      </c>
      <c r="F49" t="str">
        <f>IFERROR(VLOOKUP(logos[[#This Row],[Cell_ID]],'registe maintenance'!A:C,3,FALSE)," non répertoriées")</f>
        <v xml:space="preserve"> non répertoriées</v>
      </c>
      <c r="G49" t="str">
        <f>IFERROR(VLOOKUP(logos[[#This Row],[Cell_ID]],'registe maintenance'!A:D,4,FALSE)," non répertoriées")</f>
        <v xml:space="preserve"> non répertoriées</v>
      </c>
      <c r="H49" t="str">
        <f>IFERROR(VLOOKUP(logos[[#This Row],[Cell_ID]],'registe maintenance'!A:E,5,FALSE)," non répertoriées")</f>
        <v xml:space="preserve"> non répertoriées</v>
      </c>
      <c r="I49" t="str">
        <f>IFERROR(VLOOKUP(logos[[#This Row],[Cell_ID]],'registe maintenance'!A:F,6,FALSE)," non répertoriées")</f>
        <v xml:space="preserve"> non répertoriées</v>
      </c>
      <c r="J49">
        <f>IFERROR(VLOOKUP(B49,'logos transformer '!A:B,2,FALSE),"na")</f>
        <v>2</v>
      </c>
      <c r="K49">
        <f>IFERROR(VLOOKUP(B49,'logos transformer '!A:C,3,FALSE),"na")</f>
        <v>83</v>
      </c>
      <c r="L49" s="1">
        <f>IFERROR(VLOOKUP(B49,'logos transformer '!A:D,4,FALSE),"na")</f>
        <v>45204.338888888888</v>
      </c>
    </row>
    <row r="50" spans="1:12" x14ac:dyDescent="0.3">
      <c r="A50" s="1">
        <v>45207.982638888891</v>
      </c>
      <c r="B50" t="s">
        <v>51</v>
      </c>
      <c r="C50">
        <v>25</v>
      </c>
      <c r="D50" t="s">
        <v>10</v>
      </c>
      <c r="E50" t="str">
        <f>IFERROR(VLOOKUP(logos[[#This Row],[Cell_ID]],'registe maintenance'!A:B,2,FALSE)," non répertoriées")</f>
        <v>Nord-Kivu</v>
      </c>
      <c r="F50">
        <f>IFERROR(VLOOKUP(logos[[#This Row],[Cell_ID]],'registe maintenance'!A:C,3,FALSE)," non répertoriées")</f>
        <v>-11.866133</v>
      </c>
      <c r="G50">
        <f>IFERROR(VLOOKUP(logos[[#This Row],[Cell_ID]],'registe maintenance'!A:D,4,FALSE)," non répertoriées")</f>
        <v>27.068932</v>
      </c>
      <c r="H50" t="str">
        <f>IFERROR(VLOOKUP(logos[[#This Row],[Cell_ID]],'registe maintenance'!A:E,5,FALSE)," non répertoriées")</f>
        <v>3G</v>
      </c>
      <c r="I50" t="str">
        <f>IFERROR(VLOOKUP(logos[[#This Row],[Cell_ID]],'registe maintenance'!A:F,6,FALSE)," non répertoriées")</f>
        <v>Huawei</v>
      </c>
      <c r="J50">
        <f>IFERROR(VLOOKUP(B50,'logos transformer '!A:B,2,FALSE),"na")</f>
        <v>2</v>
      </c>
      <c r="K50">
        <f>IFERROR(VLOOKUP(B50,'logos transformer '!A:C,3,FALSE),"na")</f>
        <v>142</v>
      </c>
      <c r="L50" s="1">
        <f>IFERROR(VLOOKUP(B50,'logos transformer '!A:D,4,FALSE),"na")</f>
        <v>45215.67291666667</v>
      </c>
    </row>
    <row r="51" spans="1:12" x14ac:dyDescent="0.3">
      <c r="A51" s="1">
        <v>45225.238888888889</v>
      </c>
      <c r="B51" t="s">
        <v>20</v>
      </c>
      <c r="C51">
        <v>16</v>
      </c>
      <c r="D51" t="s">
        <v>8</v>
      </c>
      <c r="E51" t="str">
        <f>IFERROR(VLOOKUP(logos[[#This Row],[Cell_ID]],'registe maintenance'!A:B,2,FALSE)," non répertoriées")</f>
        <v xml:space="preserve"> non répertoriées</v>
      </c>
      <c r="F51" t="str">
        <f>IFERROR(VLOOKUP(logos[[#This Row],[Cell_ID]],'registe maintenance'!A:C,3,FALSE)," non répertoriées")</f>
        <v xml:space="preserve"> non répertoriées</v>
      </c>
      <c r="G51" t="str">
        <f>IFERROR(VLOOKUP(logos[[#This Row],[Cell_ID]],'registe maintenance'!A:D,4,FALSE)," non répertoriées")</f>
        <v xml:space="preserve"> non répertoriées</v>
      </c>
      <c r="H51" t="str">
        <f>IFERROR(VLOOKUP(logos[[#This Row],[Cell_ID]],'registe maintenance'!A:E,5,FALSE)," non répertoriées")</f>
        <v xml:space="preserve"> non répertoriées</v>
      </c>
      <c r="I51" t="str">
        <f>IFERROR(VLOOKUP(logos[[#This Row],[Cell_ID]],'registe maintenance'!A:F,6,FALSE)," non répertoriées")</f>
        <v xml:space="preserve"> non répertoriées</v>
      </c>
      <c r="J51">
        <f>IFERROR(VLOOKUP(B51,'logos transformer '!A:B,2,FALSE),"na")</f>
        <v>3</v>
      </c>
      <c r="K51">
        <f>IFERROR(VLOOKUP(B51,'logos transformer '!A:C,3,FALSE),"na")</f>
        <v>143</v>
      </c>
      <c r="L51" s="1">
        <f>IFERROR(VLOOKUP(B51,'logos transformer '!A:D,4,FALSE),"na")</f>
        <v>45225.238888888889</v>
      </c>
    </row>
    <row r="52" spans="1:12" x14ac:dyDescent="0.3">
      <c r="A52" s="1">
        <v>45218.635416666657</v>
      </c>
      <c r="B52" t="s">
        <v>52</v>
      </c>
      <c r="C52">
        <v>17</v>
      </c>
      <c r="D52" t="s">
        <v>10</v>
      </c>
      <c r="E52" t="str">
        <f>IFERROR(VLOOKUP(logos[[#This Row],[Cell_ID]],'registe maintenance'!A:B,2,FALSE)," non répertoriées")</f>
        <v xml:space="preserve"> non répertoriées</v>
      </c>
      <c r="F52" t="str">
        <f>IFERROR(VLOOKUP(logos[[#This Row],[Cell_ID]],'registe maintenance'!A:C,3,FALSE)," non répertoriées")</f>
        <v xml:space="preserve"> non répertoriées</v>
      </c>
      <c r="G52" t="str">
        <f>IFERROR(VLOOKUP(logos[[#This Row],[Cell_ID]],'registe maintenance'!A:D,4,FALSE)," non répertoriées")</f>
        <v xml:space="preserve"> non répertoriées</v>
      </c>
      <c r="H52" t="str">
        <f>IFERROR(VLOOKUP(logos[[#This Row],[Cell_ID]],'registe maintenance'!A:E,5,FALSE)," non répertoriées")</f>
        <v xml:space="preserve"> non répertoriées</v>
      </c>
      <c r="I52" t="str">
        <f>IFERROR(VLOOKUP(logos[[#This Row],[Cell_ID]],'registe maintenance'!A:F,6,FALSE)," non répertoriées")</f>
        <v xml:space="preserve"> non répertoriées</v>
      </c>
      <c r="J52">
        <f>IFERROR(VLOOKUP(B52,'logos transformer '!A:B,2,FALSE),"na")</f>
        <v>2</v>
      </c>
      <c r="K52">
        <f>IFERROR(VLOOKUP(B52,'logos transformer '!A:C,3,FALSE),"na")</f>
        <v>53</v>
      </c>
      <c r="L52" s="1">
        <f>IFERROR(VLOOKUP(B52,'logos transformer '!A:D,4,FALSE),"na")</f>
        <v>45218.635416666664</v>
      </c>
    </row>
    <row r="53" spans="1:12" x14ac:dyDescent="0.3">
      <c r="A53" s="1">
        <v>45225.660416666673</v>
      </c>
      <c r="B53" t="s">
        <v>53</v>
      </c>
      <c r="C53">
        <v>14</v>
      </c>
      <c r="D53" t="s">
        <v>5</v>
      </c>
      <c r="E53" t="str">
        <f>IFERROR(VLOOKUP(logos[[#This Row],[Cell_ID]],'registe maintenance'!A:B,2,FALSE)," non répertoriées")</f>
        <v xml:space="preserve"> non répertoriées</v>
      </c>
      <c r="F53" t="str">
        <f>IFERROR(VLOOKUP(logos[[#This Row],[Cell_ID]],'registe maintenance'!A:C,3,FALSE)," non répertoriées")</f>
        <v xml:space="preserve"> non répertoriées</v>
      </c>
      <c r="G53" t="str">
        <f>IFERROR(VLOOKUP(logos[[#This Row],[Cell_ID]],'registe maintenance'!A:D,4,FALSE)," non répertoriées")</f>
        <v xml:space="preserve"> non répertoriées</v>
      </c>
      <c r="H53" t="str">
        <f>IFERROR(VLOOKUP(logos[[#This Row],[Cell_ID]],'registe maintenance'!A:E,5,FALSE)," non répertoriées")</f>
        <v xml:space="preserve"> non répertoriées</v>
      </c>
      <c r="I53" t="str">
        <f>IFERROR(VLOOKUP(logos[[#This Row],[Cell_ID]],'registe maintenance'!A:F,6,FALSE)," non répertoriées")</f>
        <v xml:space="preserve"> non répertoriées</v>
      </c>
      <c r="J53">
        <f>IFERROR(VLOOKUP(B53,'logos transformer '!A:B,2,FALSE),"na")</f>
        <v>2</v>
      </c>
      <c r="K53">
        <f>IFERROR(VLOOKUP(B53,'logos transformer '!A:C,3,FALSE),"na")</f>
        <v>106</v>
      </c>
      <c r="L53" s="1">
        <f>IFERROR(VLOOKUP(B53,'logos transformer '!A:D,4,FALSE),"na")</f>
        <v>45225.660416666666</v>
      </c>
    </row>
    <row r="54" spans="1:12" x14ac:dyDescent="0.3">
      <c r="A54" s="1">
        <v>45213.254166666673</v>
      </c>
      <c r="B54" t="s">
        <v>54</v>
      </c>
      <c r="C54">
        <v>73</v>
      </c>
      <c r="D54" t="s">
        <v>10</v>
      </c>
      <c r="E54" t="str">
        <f>IFERROR(VLOOKUP(logos[[#This Row],[Cell_ID]],'registe maintenance'!A:B,2,FALSE)," non répertoriées")</f>
        <v>Tshuapa</v>
      </c>
      <c r="F54">
        <f>IFERROR(VLOOKUP(logos[[#This Row],[Cell_ID]],'registe maintenance'!A:C,3,FALSE)," non répertoriées")</f>
        <v>-5.1030600000000002</v>
      </c>
      <c r="G54">
        <f>IFERROR(VLOOKUP(logos[[#This Row],[Cell_ID]],'registe maintenance'!A:D,4,FALSE)," non répertoriées")</f>
        <v>22.849231</v>
      </c>
      <c r="H54" t="str">
        <f>IFERROR(VLOOKUP(logos[[#This Row],[Cell_ID]],'registe maintenance'!A:E,5,FALSE)," non répertoriées")</f>
        <v>5G</v>
      </c>
      <c r="I54" t="str">
        <f>IFERROR(VLOOKUP(logos[[#This Row],[Cell_ID]],'registe maintenance'!A:F,6,FALSE)," non répertoriées")</f>
        <v>ZTE</v>
      </c>
      <c r="J54">
        <f>IFERROR(VLOOKUP(B54,'logos transformer '!A:B,2,FALSE),"na")</f>
        <v>2</v>
      </c>
      <c r="K54">
        <f>IFERROR(VLOOKUP(B54,'logos transformer '!A:C,3,FALSE),"na")</f>
        <v>127</v>
      </c>
      <c r="L54" s="1">
        <f>IFERROR(VLOOKUP(B54,'logos transformer '!A:D,4,FALSE),"na")</f>
        <v>45226.17083333333</v>
      </c>
    </row>
    <row r="55" spans="1:12" x14ac:dyDescent="0.3">
      <c r="A55" s="1">
        <v>45203.893750000003</v>
      </c>
      <c r="B55" t="s">
        <v>55</v>
      </c>
      <c r="C55">
        <v>32</v>
      </c>
      <c r="D55" t="s">
        <v>5</v>
      </c>
      <c r="E55" t="str">
        <f>IFERROR(VLOOKUP(logos[[#This Row],[Cell_ID]],'registe maintenance'!A:B,2,FALSE)," non répertoriées")</f>
        <v xml:space="preserve"> non répertoriées</v>
      </c>
      <c r="F55" t="str">
        <f>IFERROR(VLOOKUP(logos[[#This Row],[Cell_ID]],'registe maintenance'!A:C,3,FALSE)," non répertoriées")</f>
        <v xml:space="preserve"> non répertoriées</v>
      </c>
      <c r="G55" t="str">
        <f>IFERROR(VLOOKUP(logos[[#This Row],[Cell_ID]],'registe maintenance'!A:D,4,FALSE)," non répertoriées")</f>
        <v xml:space="preserve"> non répertoriées</v>
      </c>
      <c r="H55" t="str">
        <f>IFERROR(VLOOKUP(logos[[#This Row],[Cell_ID]],'registe maintenance'!A:E,5,FALSE)," non répertoriées")</f>
        <v xml:space="preserve"> non répertoriées</v>
      </c>
      <c r="I55" t="str">
        <f>IFERROR(VLOOKUP(logos[[#This Row],[Cell_ID]],'registe maintenance'!A:F,6,FALSE)," non répertoriées")</f>
        <v xml:space="preserve"> non répertoriées</v>
      </c>
      <c r="J55">
        <f>IFERROR(VLOOKUP(B55,'logos transformer '!A:B,2,FALSE),"na")</f>
        <v>3</v>
      </c>
      <c r="K55">
        <f>IFERROR(VLOOKUP(B55,'logos transformer '!A:C,3,FALSE),"na")</f>
        <v>205</v>
      </c>
      <c r="L55" s="1">
        <f>IFERROR(VLOOKUP(B55,'logos transformer '!A:D,4,FALSE),"na")</f>
        <v>45208.172222222223</v>
      </c>
    </row>
    <row r="56" spans="1:12" x14ac:dyDescent="0.3">
      <c r="A56" s="1">
        <v>45211.55972222222</v>
      </c>
      <c r="B56" t="s">
        <v>39</v>
      </c>
      <c r="C56">
        <v>69</v>
      </c>
      <c r="D56" t="s">
        <v>8</v>
      </c>
      <c r="E56" t="str">
        <f>IFERROR(VLOOKUP(logos[[#This Row],[Cell_ID]],'registe maintenance'!A:B,2,FALSE)," non répertoriées")</f>
        <v xml:space="preserve"> non répertoriées</v>
      </c>
      <c r="F56" t="str">
        <f>IFERROR(VLOOKUP(logos[[#This Row],[Cell_ID]],'registe maintenance'!A:C,3,FALSE)," non répertoriées")</f>
        <v xml:space="preserve"> non répertoriées</v>
      </c>
      <c r="G56" t="str">
        <f>IFERROR(VLOOKUP(logos[[#This Row],[Cell_ID]],'registe maintenance'!A:D,4,FALSE)," non répertoriées")</f>
        <v xml:space="preserve"> non répertoriées</v>
      </c>
      <c r="H56" t="str">
        <f>IFERROR(VLOOKUP(logos[[#This Row],[Cell_ID]],'registe maintenance'!A:E,5,FALSE)," non répertoriées")</f>
        <v xml:space="preserve"> non répertoriées</v>
      </c>
      <c r="I56" t="str">
        <f>IFERROR(VLOOKUP(logos[[#This Row],[Cell_ID]],'registe maintenance'!A:F,6,FALSE)," non répertoriées")</f>
        <v xml:space="preserve"> non répertoriées</v>
      </c>
      <c r="J56">
        <f>IFERROR(VLOOKUP(B56,'logos transformer '!A:B,2,FALSE),"na")</f>
        <v>3</v>
      </c>
      <c r="K56">
        <f>IFERROR(VLOOKUP(B56,'logos transformer '!A:C,3,FALSE),"na")</f>
        <v>259</v>
      </c>
      <c r="L56" s="1">
        <f>IFERROR(VLOOKUP(B56,'logos transformer '!A:D,4,FALSE),"na")</f>
        <v>45219.840277777781</v>
      </c>
    </row>
    <row r="57" spans="1:12" x14ac:dyDescent="0.3">
      <c r="A57" s="1">
        <v>45214.960416666669</v>
      </c>
      <c r="B57" t="s">
        <v>56</v>
      </c>
      <c r="C57">
        <v>38</v>
      </c>
      <c r="D57" t="s">
        <v>5</v>
      </c>
      <c r="E57" t="str">
        <f>IFERROR(VLOOKUP(logos[[#This Row],[Cell_ID]],'registe maintenance'!A:B,2,FALSE)," non répertoriées")</f>
        <v>Lualaba</v>
      </c>
      <c r="F57">
        <f>IFERROR(VLOOKUP(logos[[#This Row],[Cell_ID]],'registe maintenance'!A:C,3,FALSE)," non répertoriées")</f>
        <v>-11.710407999999999</v>
      </c>
      <c r="G57">
        <f>IFERROR(VLOOKUP(logos[[#This Row],[Cell_ID]],'registe maintenance'!A:D,4,FALSE)," non répertoriées")</f>
        <v>23.741330999999999</v>
      </c>
      <c r="H57" t="str">
        <f>IFERROR(VLOOKUP(logos[[#This Row],[Cell_ID]],'registe maintenance'!A:E,5,FALSE)," non répertoriées")</f>
        <v>3G</v>
      </c>
      <c r="I57" t="str">
        <f>IFERROR(VLOOKUP(logos[[#This Row],[Cell_ID]],'registe maintenance'!A:F,6,FALSE)," non répertoriées")</f>
        <v>Huawei</v>
      </c>
      <c r="J57">
        <f>IFERROR(VLOOKUP(B57,'logos transformer '!A:B,2,FALSE),"na")</f>
        <v>1</v>
      </c>
      <c r="K57">
        <f>IFERROR(VLOOKUP(B57,'logos transformer '!A:C,3,FALSE),"na")</f>
        <v>38</v>
      </c>
      <c r="L57" s="1">
        <f>IFERROR(VLOOKUP(B57,'logos transformer '!A:D,4,FALSE),"na")</f>
        <v>45214.960416666669</v>
      </c>
    </row>
    <row r="58" spans="1:12" x14ac:dyDescent="0.3">
      <c r="A58" s="1">
        <v>45221.861805555563</v>
      </c>
      <c r="B58" t="s">
        <v>57</v>
      </c>
      <c r="C58">
        <v>21</v>
      </c>
      <c r="D58" t="s">
        <v>8</v>
      </c>
      <c r="E58" t="str">
        <f>IFERROR(VLOOKUP(logos[[#This Row],[Cell_ID]],'registe maintenance'!A:B,2,FALSE)," non répertoriées")</f>
        <v>Tanganyika</v>
      </c>
      <c r="F58">
        <f>IFERROR(VLOOKUP(logos[[#This Row],[Cell_ID]],'registe maintenance'!A:C,3,FALSE)," non répertoriées")</f>
        <v>-1.864393</v>
      </c>
      <c r="G58">
        <f>IFERROR(VLOOKUP(logos[[#This Row],[Cell_ID]],'registe maintenance'!A:D,4,FALSE)," non répertoriées")</f>
        <v>21.453434000000001</v>
      </c>
      <c r="H58" t="str">
        <f>IFERROR(VLOOKUP(logos[[#This Row],[Cell_ID]],'registe maintenance'!A:E,5,FALSE)," non répertoriées")</f>
        <v>5G</v>
      </c>
      <c r="I58" t="str">
        <f>IFERROR(VLOOKUP(logos[[#This Row],[Cell_ID]],'registe maintenance'!A:F,6,FALSE)," non répertoriées")</f>
        <v>Ericsson</v>
      </c>
      <c r="J58">
        <f>IFERROR(VLOOKUP(B58,'logos transformer '!A:B,2,FALSE),"na")</f>
        <v>1</v>
      </c>
      <c r="K58">
        <f>IFERROR(VLOOKUP(B58,'logos transformer '!A:C,3,FALSE),"na")</f>
        <v>21</v>
      </c>
      <c r="L58" s="1">
        <f>IFERROR(VLOOKUP(B58,'logos transformer '!A:D,4,FALSE),"na")</f>
        <v>45221.861805555556</v>
      </c>
    </row>
    <row r="59" spans="1:12" x14ac:dyDescent="0.3">
      <c r="A59" s="1">
        <v>45203.059027777781</v>
      </c>
      <c r="B59" t="s">
        <v>58</v>
      </c>
      <c r="C59">
        <v>49</v>
      </c>
      <c r="D59" t="s">
        <v>5</v>
      </c>
      <c r="E59" t="str">
        <f>IFERROR(VLOOKUP(logos[[#This Row],[Cell_ID]],'registe maintenance'!A:B,2,FALSE)," non répertoriées")</f>
        <v xml:space="preserve"> non répertoriées</v>
      </c>
      <c r="F59" t="str">
        <f>IFERROR(VLOOKUP(logos[[#This Row],[Cell_ID]],'registe maintenance'!A:C,3,FALSE)," non répertoriées")</f>
        <v xml:space="preserve"> non répertoriées</v>
      </c>
      <c r="G59" t="str">
        <f>IFERROR(VLOOKUP(logos[[#This Row],[Cell_ID]],'registe maintenance'!A:D,4,FALSE)," non répertoriées")</f>
        <v xml:space="preserve"> non répertoriées</v>
      </c>
      <c r="H59" t="str">
        <f>IFERROR(VLOOKUP(logos[[#This Row],[Cell_ID]],'registe maintenance'!A:E,5,FALSE)," non répertoriées")</f>
        <v xml:space="preserve"> non répertoriées</v>
      </c>
      <c r="I59" t="str">
        <f>IFERROR(VLOOKUP(logos[[#This Row],[Cell_ID]],'registe maintenance'!A:F,6,FALSE)," non répertoriées")</f>
        <v xml:space="preserve"> non répertoriées</v>
      </c>
      <c r="J59">
        <f>IFERROR(VLOOKUP(B59,'logos transformer '!A:B,2,FALSE),"na")</f>
        <v>2</v>
      </c>
      <c r="K59">
        <f>IFERROR(VLOOKUP(B59,'logos transformer '!A:C,3,FALSE),"na")</f>
        <v>88</v>
      </c>
      <c r="L59" s="1">
        <f>IFERROR(VLOOKUP(B59,'logos transformer '!A:D,4,FALSE),"na")</f>
        <v>45224.988194444442</v>
      </c>
    </row>
    <row r="60" spans="1:12" x14ac:dyDescent="0.3">
      <c r="A60" s="1">
        <v>45223.45208333333</v>
      </c>
      <c r="B60" t="s">
        <v>59</v>
      </c>
      <c r="C60">
        <v>117</v>
      </c>
      <c r="D60" t="s">
        <v>10</v>
      </c>
      <c r="E60" t="str">
        <f>IFERROR(VLOOKUP(logos[[#This Row],[Cell_ID]],'registe maintenance'!A:B,2,FALSE)," non répertoriées")</f>
        <v xml:space="preserve"> non répertoriées</v>
      </c>
      <c r="F60" t="str">
        <f>IFERROR(VLOOKUP(logos[[#This Row],[Cell_ID]],'registe maintenance'!A:C,3,FALSE)," non répertoriées")</f>
        <v xml:space="preserve"> non répertoriées</v>
      </c>
      <c r="G60" t="str">
        <f>IFERROR(VLOOKUP(logos[[#This Row],[Cell_ID]],'registe maintenance'!A:D,4,FALSE)," non répertoriées")</f>
        <v xml:space="preserve"> non répertoriées</v>
      </c>
      <c r="H60" t="str">
        <f>IFERROR(VLOOKUP(logos[[#This Row],[Cell_ID]],'registe maintenance'!A:E,5,FALSE)," non répertoriées")</f>
        <v xml:space="preserve"> non répertoriées</v>
      </c>
      <c r="I60" t="str">
        <f>IFERROR(VLOOKUP(logos[[#This Row],[Cell_ID]],'registe maintenance'!A:F,6,FALSE)," non répertoriées")</f>
        <v xml:space="preserve"> non répertoriées</v>
      </c>
      <c r="J60">
        <f>IFERROR(VLOOKUP(B60,'logos transformer '!A:B,2,FALSE),"na")</f>
        <v>3</v>
      </c>
      <c r="K60">
        <f>IFERROR(VLOOKUP(B60,'logos transformer '!A:C,3,FALSE),"na")</f>
        <v>267</v>
      </c>
      <c r="L60" s="1">
        <f>IFERROR(VLOOKUP(B60,'logos transformer '!A:D,4,FALSE),"na")</f>
        <v>45223.45208333333</v>
      </c>
    </row>
    <row r="61" spans="1:12" x14ac:dyDescent="0.3">
      <c r="A61" s="1">
        <v>45227.135416666657</v>
      </c>
      <c r="B61" t="s">
        <v>60</v>
      </c>
      <c r="C61">
        <v>13</v>
      </c>
      <c r="D61" t="s">
        <v>8</v>
      </c>
      <c r="E61" t="str">
        <f>IFERROR(VLOOKUP(logos[[#This Row],[Cell_ID]],'registe maintenance'!A:B,2,FALSE)," non répertoriées")</f>
        <v xml:space="preserve"> non répertoriées</v>
      </c>
      <c r="F61" t="str">
        <f>IFERROR(VLOOKUP(logos[[#This Row],[Cell_ID]],'registe maintenance'!A:C,3,FALSE)," non répertoriées")</f>
        <v xml:space="preserve"> non répertoriées</v>
      </c>
      <c r="G61" t="str">
        <f>IFERROR(VLOOKUP(logos[[#This Row],[Cell_ID]],'registe maintenance'!A:D,4,FALSE)," non répertoriées")</f>
        <v xml:space="preserve"> non répertoriées</v>
      </c>
      <c r="H61" t="str">
        <f>IFERROR(VLOOKUP(logos[[#This Row],[Cell_ID]],'registe maintenance'!A:E,5,FALSE)," non répertoriées")</f>
        <v xml:space="preserve"> non répertoriées</v>
      </c>
      <c r="I61" t="str">
        <f>IFERROR(VLOOKUP(logos[[#This Row],[Cell_ID]],'registe maintenance'!A:F,6,FALSE)," non répertoriées")</f>
        <v xml:space="preserve"> non répertoriées</v>
      </c>
      <c r="J61">
        <f>IFERROR(VLOOKUP(B61,'logos transformer '!A:B,2,FALSE),"na")</f>
        <v>3</v>
      </c>
      <c r="K61">
        <f>IFERROR(VLOOKUP(B61,'logos transformer '!A:C,3,FALSE),"na")</f>
        <v>171</v>
      </c>
      <c r="L61" s="1">
        <f>IFERROR(VLOOKUP(B61,'logos transformer '!A:D,4,FALSE),"na")</f>
        <v>45227.135416666664</v>
      </c>
    </row>
    <row r="62" spans="1:12" x14ac:dyDescent="0.3">
      <c r="A62" s="1">
        <v>45206.273611111108</v>
      </c>
      <c r="B62" t="s">
        <v>61</v>
      </c>
      <c r="C62">
        <v>117</v>
      </c>
      <c r="D62" t="s">
        <v>10</v>
      </c>
      <c r="E62" t="str">
        <f>IFERROR(VLOOKUP(logos[[#This Row],[Cell_ID]],'registe maintenance'!A:B,2,FALSE)," non répertoriées")</f>
        <v xml:space="preserve"> non répertoriées</v>
      </c>
      <c r="F62" t="str">
        <f>IFERROR(VLOOKUP(logos[[#This Row],[Cell_ID]],'registe maintenance'!A:C,3,FALSE)," non répertoriées")</f>
        <v xml:space="preserve"> non répertoriées</v>
      </c>
      <c r="G62" t="str">
        <f>IFERROR(VLOOKUP(logos[[#This Row],[Cell_ID]],'registe maintenance'!A:D,4,FALSE)," non répertoriées")</f>
        <v xml:space="preserve"> non répertoriées</v>
      </c>
      <c r="H62" t="str">
        <f>IFERROR(VLOOKUP(logos[[#This Row],[Cell_ID]],'registe maintenance'!A:E,5,FALSE)," non répertoriées")</f>
        <v xml:space="preserve"> non répertoriées</v>
      </c>
      <c r="I62" t="str">
        <f>IFERROR(VLOOKUP(logos[[#This Row],[Cell_ID]],'registe maintenance'!A:F,6,FALSE)," non répertoriées")</f>
        <v xml:space="preserve"> non répertoriées</v>
      </c>
      <c r="J62">
        <f>IFERROR(VLOOKUP(B62,'logos transformer '!A:B,2,FALSE),"na")</f>
        <v>1</v>
      </c>
      <c r="K62">
        <f>IFERROR(VLOOKUP(B62,'logos transformer '!A:C,3,FALSE),"na")</f>
        <v>117</v>
      </c>
      <c r="L62" s="1">
        <f>IFERROR(VLOOKUP(B62,'logos transformer '!A:D,4,FALSE),"na")</f>
        <v>45206.273611111108</v>
      </c>
    </row>
    <row r="63" spans="1:12" x14ac:dyDescent="0.3">
      <c r="A63" s="1">
        <v>45214.185416666667</v>
      </c>
      <c r="B63" t="s">
        <v>52</v>
      </c>
      <c r="C63">
        <v>36</v>
      </c>
      <c r="D63" t="s">
        <v>8</v>
      </c>
      <c r="E63" t="str">
        <f>IFERROR(VLOOKUP(logos[[#This Row],[Cell_ID]],'registe maintenance'!A:B,2,FALSE)," non répertoriées")</f>
        <v xml:space="preserve"> non répertoriées</v>
      </c>
      <c r="F63" t="str">
        <f>IFERROR(VLOOKUP(logos[[#This Row],[Cell_ID]],'registe maintenance'!A:C,3,FALSE)," non répertoriées")</f>
        <v xml:space="preserve"> non répertoriées</v>
      </c>
      <c r="G63" t="str">
        <f>IFERROR(VLOOKUP(logos[[#This Row],[Cell_ID]],'registe maintenance'!A:D,4,FALSE)," non répertoriées")</f>
        <v xml:space="preserve"> non répertoriées</v>
      </c>
      <c r="H63" t="str">
        <f>IFERROR(VLOOKUP(logos[[#This Row],[Cell_ID]],'registe maintenance'!A:E,5,FALSE)," non répertoriées")</f>
        <v xml:space="preserve"> non répertoriées</v>
      </c>
      <c r="I63" t="str">
        <f>IFERROR(VLOOKUP(logos[[#This Row],[Cell_ID]],'registe maintenance'!A:F,6,FALSE)," non répertoriées")</f>
        <v xml:space="preserve"> non répertoriées</v>
      </c>
      <c r="J63">
        <f>IFERROR(VLOOKUP(B63,'logos transformer '!A:B,2,FALSE),"na")</f>
        <v>2</v>
      </c>
      <c r="K63">
        <f>IFERROR(VLOOKUP(B63,'logos transformer '!A:C,3,FALSE),"na")</f>
        <v>53</v>
      </c>
      <c r="L63" s="1">
        <f>IFERROR(VLOOKUP(B63,'logos transformer '!A:D,4,FALSE),"na")</f>
        <v>45218.635416666664</v>
      </c>
    </row>
    <row r="64" spans="1:12" x14ac:dyDescent="0.3">
      <c r="A64" s="1">
        <v>45205.353472222218</v>
      </c>
      <c r="B64" t="s">
        <v>62</v>
      </c>
      <c r="C64">
        <v>52</v>
      </c>
      <c r="D64" t="s">
        <v>8</v>
      </c>
      <c r="E64" t="str">
        <f>IFERROR(VLOOKUP(logos[[#This Row],[Cell_ID]],'registe maintenance'!A:B,2,FALSE)," non répertoriées")</f>
        <v>Tanganyika</v>
      </c>
      <c r="F64">
        <f>IFERROR(VLOOKUP(logos[[#This Row],[Cell_ID]],'registe maintenance'!A:C,3,FALSE)," non répertoriées")</f>
        <v>3.1362930000000002</v>
      </c>
      <c r="G64">
        <f>IFERROR(VLOOKUP(logos[[#This Row],[Cell_ID]],'registe maintenance'!A:D,4,FALSE)," non répertoriées")</f>
        <v>16.190878000000001</v>
      </c>
      <c r="H64" t="str">
        <f>IFERROR(VLOOKUP(logos[[#This Row],[Cell_ID]],'registe maintenance'!A:E,5,FALSE)," non répertoriées")</f>
        <v>3G</v>
      </c>
      <c r="I64" t="str">
        <f>IFERROR(VLOOKUP(logos[[#This Row],[Cell_ID]],'registe maintenance'!A:F,6,FALSE)," non répertoriées")</f>
        <v>Nokia</v>
      </c>
      <c r="J64">
        <f>IFERROR(VLOOKUP(B64,'logos transformer '!A:B,2,FALSE),"na")</f>
        <v>1</v>
      </c>
      <c r="K64">
        <f>IFERROR(VLOOKUP(B64,'logos transformer '!A:C,3,FALSE),"na")</f>
        <v>52</v>
      </c>
      <c r="L64" s="1">
        <f>IFERROR(VLOOKUP(B64,'logos transformer '!A:D,4,FALSE),"na")</f>
        <v>45205.353472222225</v>
      </c>
    </row>
    <row r="65" spans="1:12" x14ac:dyDescent="0.3">
      <c r="A65" s="1">
        <v>45207.102777777778</v>
      </c>
      <c r="B65" t="s">
        <v>63</v>
      </c>
      <c r="C65">
        <v>41</v>
      </c>
      <c r="D65" t="s">
        <v>5</v>
      </c>
      <c r="E65" t="str">
        <f>IFERROR(VLOOKUP(logos[[#This Row],[Cell_ID]],'registe maintenance'!A:B,2,FALSE)," non répertoriées")</f>
        <v>Kwilu</v>
      </c>
      <c r="F65">
        <f>IFERROR(VLOOKUP(logos[[#This Row],[Cell_ID]],'registe maintenance'!A:C,3,FALSE)," non répertoriées")</f>
        <v>-5.9021970000000001</v>
      </c>
      <c r="G65">
        <f>IFERROR(VLOOKUP(logos[[#This Row],[Cell_ID]],'registe maintenance'!A:D,4,FALSE)," non répertoriées")</f>
        <v>20.551169999999999</v>
      </c>
      <c r="H65" t="str">
        <f>IFERROR(VLOOKUP(logos[[#This Row],[Cell_ID]],'registe maintenance'!A:E,5,FALSE)," non répertoriées")</f>
        <v>3G</v>
      </c>
      <c r="I65" t="str">
        <f>IFERROR(VLOOKUP(logos[[#This Row],[Cell_ID]],'registe maintenance'!A:F,6,FALSE)," non répertoriées")</f>
        <v>Huawei</v>
      </c>
      <c r="J65">
        <f>IFERROR(VLOOKUP(B65,'logos transformer '!A:B,2,FALSE),"na")</f>
        <v>2</v>
      </c>
      <c r="K65">
        <f>IFERROR(VLOOKUP(B65,'logos transformer '!A:C,3,FALSE),"na")</f>
        <v>99</v>
      </c>
      <c r="L65" s="1">
        <f>IFERROR(VLOOKUP(B65,'logos transformer '!A:D,4,FALSE),"na")</f>
        <v>45230.847222222219</v>
      </c>
    </row>
    <row r="66" spans="1:12" x14ac:dyDescent="0.3">
      <c r="A66" s="1">
        <v>45225.712500000001</v>
      </c>
      <c r="B66" t="s">
        <v>64</v>
      </c>
      <c r="C66">
        <v>25</v>
      </c>
      <c r="D66" t="s">
        <v>5</v>
      </c>
      <c r="E66" t="str">
        <f>IFERROR(VLOOKUP(logos[[#This Row],[Cell_ID]],'registe maintenance'!A:B,2,FALSE)," non répertoriées")</f>
        <v>Haut-Katanga</v>
      </c>
      <c r="F66">
        <f>IFERROR(VLOOKUP(logos[[#This Row],[Cell_ID]],'registe maintenance'!A:C,3,FALSE)," non répertoriées")</f>
        <v>-5.5445120000000001</v>
      </c>
      <c r="G66">
        <f>IFERROR(VLOOKUP(logos[[#This Row],[Cell_ID]],'registe maintenance'!A:D,4,FALSE)," non répertoriées")</f>
        <v>27.547335</v>
      </c>
      <c r="H66" t="str">
        <f>IFERROR(VLOOKUP(logos[[#This Row],[Cell_ID]],'registe maintenance'!A:E,5,FALSE)," non répertoriées")</f>
        <v>4G</v>
      </c>
      <c r="I66" t="str">
        <f>IFERROR(VLOOKUP(logos[[#This Row],[Cell_ID]],'registe maintenance'!A:F,6,FALSE)," non répertoriées")</f>
        <v>Ericsson</v>
      </c>
      <c r="J66">
        <f>IFERROR(VLOOKUP(B66,'logos transformer '!A:B,2,FALSE),"na")</f>
        <v>4</v>
      </c>
      <c r="K66">
        <f>IFERROR(VLOOKUP(B66,'logos transformer '!A:C,3,FALSE),"na")</f>
        <v>222</v>
      </c>
      <c r="L66" s="1">
        <f>IFERROR(VLOOKUP(B66,'logos transformer '!A:D,4,FALSE),"na")</f>
        <v>45225.712500000001</v>
      </c>
    </row>
    <row r="67" spans="1:12" x14ac:dyDescent="0.3">
      <c r="A67" s="1">
        <v>45201.856944444437</v>
      </c>
      <c r="B67" t="s">
        <v>65</v>
      </c>
      <c r="C67">
        <v>61</v>
      </c>
      <c r="D67" t="s">
        <v>5</v>
      </c>
      <c r="E67" t="str">
        <f>IFERROR(VLOOKUP(logos[[#This Row],[Cell_ID]],'registe maintenance'!A:B,2,FALSE)," non répertoriées")</f>
        <v xml:space="preserve"> non répertoriées</v>
      </c>
      <c r="F67" t="str">
        <f>IFERROR(VLOOKUP(logos[[#This Row],[Cell_ID]],'registe maintenance'!A:C,3,FALSE)," non répertoriées")</f>
        <v xml:space="preserve"> non répertoriées</v>
      </c>
      <c r="G67" t="str">
        <f>IFERROR(VLOOKUP(logos[[#This Row],[Cell_ID]],'registe maintenance'!A:D,4,FALSE)," non répertoriées")</f>
        <v xml:space="preserve"> non répertoriées</v>
      </c>
      <c r="H67" t="str">
        <f>IFERROR(VLOOKUP(logos[[#This Row],[Cell_ID]],'registe maintenance'!A:E,5,FALSE)," non répertoriées")</f>
        <v xml:space="preserve"> non répertoriées</v>
      </c>
      <c r="I67" t="str">
        <f>IFERROR(VLOOKUP(logos[[#This Row],[Cell_ID]],'registe maintenance'!A:F,6,FALSE)," non répertoriées")</f>
        <v xml:space="preserve"> non répertoriées</v>
      </c>
      <c r="J67">
        <f>IFERROR(VLOOKUP(B67,'logos transformer '!A:B,2,FALSE),"na")</f>
        <v>1</v>
      </c>
      <c r="K67">
        <f>IFERROR(VLOOKUP(B67,'logos transformer '!A:C,3,FALSE),"na")</f>
        <v>61</v>
      </c>
      <c r="L67" s="1">
        <f>IFERROR(VLOOKUP(B67,'logos transformer '!A:D,4,FALSE),"na")</f>
        <v>45201.856944444444</v>
      </c>
    </row>
    <row r="68" spans="1:12" x14ac:dyDescent="0.3">
      <c r="A68" s="1">
        <v>45226.003472222219</v>
      </c>
      <c r="B68" t="s">
        <v>6</v>
      </c>
      <c r="C68">
        <v>111</v>
      </c>
      <c r="D68" t="s">
        <v>5</v>
      </c>
      <c r="E68" t="str">
        <f>IFERROR(VLOOKUP(logos[[#This Row],[Cell_ID]],'registe maintenance'!A:B,2,FALSE)," non répertoriées")</f>
        <v xml:space="preserve"> non répertoriées</v>
      </c>
      <c r="F68" t="str">
        <f>IFERROR(VLOOKUP(logos[[#This Row],[Cell_ID]],'registe maintenance'!A:C,3,FALSE)," non répertoriées")</f>
        <v xml:space="preserve"> non répertoriées</v>
      </c>
      <c r="G68" t="str">
        <f>IFERROR(VLOOKUP(logos[[#This Row],[Cell_ID]],'registe maintenance'!A:D,4,FALSE)," non répertoriées")</f>
        <v xml:space="preserve"> non répertoriées</v>
      </c>
      <c r="H68" t="str">
        <f>IFERROR(VLOOKUP(logos[[#This Row],[Cell_ID]],'registe maintenance'!A:E,5,FALSE)," non répertoriées")</f>
        <v xml:space="preserve"> non répertoriées</v>
      </c>
      <c r="I68" t="str">
        <f>IFERROR(VLOOKUP(logos[[#This Row],[Cell_ID]],'registe maintenance'!A:F,6,FALSE)," non répertoriées")</f>
        <v xml:space="preserve"> non répertoriées</v>
      </c>
      <c r="J68">
        <f>IFERROR(VLOOKUP(B68,'logos transformer '!A:B,2,FALSE),"na")</f>
        <v>3</v>
      </c>
      <c r="K68">
        <f>IFERROR(VLOOKUP(B68,'logos transformer '!A:C,3,FALSE),"na")</f>
        <v>161</v>
      </c>
      <c r="L68" s="1">
        <f>IFERROR(VLOOKUP(B68,'logos transformer '!A:D,4,FALSE),"na")</f>
        <v>45226.003472222219</v>
      </c>
    </row>
    <row r="69" spans="1:12" x14ac:dyDescent="0.3">
      <c r="A69" s="1">
        <v>45229.298611111109</v>
      </c>
      <c r="B69" t="s">
        <v>66</v>
      </c>
      <c r="C69">
        <v>74</v>
      </c>
      <c r="D69" t="s">
        <v>10</v>
      </c>
      <c r="E69" t="str">
        <f>IFERROR(VLOOKUP(logos[[#This Row],[Cell_ID]],'registe maintenance'!A:B,2,FALSE)," non répertoriées")</f>
        <v xml:space="preserve"> non répertoriées</v>
      </c>
      <c r="F69" t="str">
        <f>IFERROR(VLOOKUP(logos[[#This Row],[Cell_ID]],'registe maintenance'!A:C,3,FALSE)," non répertoriées")</f>
        <v xml:space="preserve"> non répertoriées</v>
      </c>
      <c r="G69" t="str">
        <f>IFERROR(VLOOKUP(logos[[#This Row],[Cell_ID]],'registe maintenance'!A:D,4,FALSE)," non répertoriées")</f>
        <v xml:space="preserve"> non répertoriées</v>
      </c>
      <c r="H69" t="str">
        <f>IFERROR(VLOOKUP(logos[[#This Row],[Cell_ID]],'registe maintenance'!A:E,5,FALSE)," non répertoriées")</f>
        <v xml:space="preserve"> non répertoriées</v>
      </c>
      <c r="I69" t="str">
        <f>IFERROR(VLOOKUP(logos[[#This Row],[Cell_ID]],'registe maintenance'!A:F,6,FALSE)," non répertoriées")</f>
        <v xml:space="preserve"> non répertoriées</v>
      </c>
      <c r="J69">
        <f>IFERROR(VLOOKUP(B69,'logos transformer '!A:B,2,FALSE),"na")</f>
        <v>2</v>
      </c>
      <c r="K69">
        <f>IFERROR(VLOOKUP(B69,'logos transformer '!A:C,3,FALSE),"na")</f>
        <v>189</v>
      </c>
      <c r="L69" s="1">
        <f>IFERROR(VLOOKUP(B69,'logos transformer '!A:D,4,FALSE),"na")</f>
        <v>45229.298611111109</v>
      </c>
    </row>
    <row r="70" spans="1:12" x14ac:dyDescent="0.3">
      <c r="A70" s="1">
        <v>45213.645833333343</v>
      </c>
      <c r="B70" t="s">
        <v>67</v>
      </c>
      <c r="C70">
        <v>95</v>
      </c>
      <c r="D70" t="s">
        <v>5</v>
      </c>
      <c r="E70" t="str">
        <f>IFERROR(VLOOKUP(logos[[#This Row],[Cell_ID]],'registe maintenance'!A:B,2,FALSE)," non répertoriées")</f>
        <v>Haut-Katanga</v>
      </c>
      <c r="F70">
        <f>IFERROR(VLOOKUP(logos[[#This Row],[Cell_ID]],'registe maintenance'!A:C,3,FALSE)," non répertoriées")</f>
        <v>-2.9417719999999998</v>
      </c>
      <c r="G70">
        <f>IFERROR(VLOOKUP(logos[[#This Row],[Cell_ID]],'registe maintenance'!A:D,4,FALSE)," non répertoriées")</f>
        <v>18.587305000000001</v>
      </c>
      <c r="H70" t="str">
        <f>IFERROR(VLOOKUP(logos[[#This Row],[Cell_ID]],'registe maintenance'!A:E,5,FALSE)," non répertoriées")</f>
        <v>5G</v>
      </c>
      <c r="I70" t="str">
        <f>IFERROR(VLOOKUP(logos[[#This Row],[Cell_ID]],'registe maintenance'!A:F,6,FALSE)," non répertoriées")</f>
        <v>Ericsson</v>
      </c>
      <c r="J70">
        <f>IFERROR(VLOOKUP(B70,'logos transformer '!A:B,2,FALSE),"na")</f>
        <v>2</v>
      </c>
      <c r="K70">
        <f>IFERROR(VLOOKUP(B70,'logos transformer '!A:C,3,FALSE),"na")</f>
        <v>204</v>
      </c>
      <c r="L70" s="1">
        <f>IFERROR(VLOOKUP(B70,'logos transformer '!A:D,4,FALSE),"na")</f>
        <v>45222.834027777775</v>
      </c>
    </row>
    <row r="71" spans="1:12" x14ac:dyDescent="0.3">
      <c r="A71" s="1">
        <v>45206.539583333331</v>
      </c>
      <c r="B71" t="s">
        <v>68</v>
      </c>
      <c r="C71">
        <v>43</v>
      </c>
      <c r="D71" t="s">
        <v>5</v>
      </c>
      <c r="E71" t="str">
        <f>IFERROR(VLOOKUP(logos[[#This Row],[Cell_ID]],'registe maintenance'!A:B,2,FALSE)," non répertoriées")</f>
        <v>Kwango</v>
      </c>
      <c r="F71">
        <f>IFERROR(VLOOKUP(logos[[#This Row],[Cell_ID]],'registe maintenance'!A:C,3,FALSE)," non répertoriées")</f>
        <v>-10.963041</v>
      </c>
      <c r="G71">
        <f>IFERROR(VLOOKUP(logos[[#This Row],[Cell_ID]],'registe maintenance'!A:D,4,FALSE)," non répertoriées")</f>
        <v>12.269857</v>
      </c>
      <c r="H71" t="str">
        <f>IFERROR(VLOOKUP(logos[[#This Row],[Cell_ID]],'registe maintenance'!A:E,5,FALSE)," non répertoriées")</f>
        <v>4G</v>
      </c>
      <c r="I71" t="str">
        <f>IFERROR(VLOOKUP(logos[[#This Row],[Cell_ID]],'registe maintenance'!A:F,6,FALSE)," non répertoriées")</f>
        <v>Huawei</v>
      </c>
      <c r="J71">
        <f>IFERROR(VLOOKUP(B71,'logos transformer '!A:B,2,FALSE),"na")</f>
        <v>3</v>
      </c>
      <c r="K71">
        <f>IFERROR(VLOOKUP(B71,'logos transformer '!A:C,3,FALSE),"na")</f>
        <v>199</v>
      </c>
      <c r="L71" s="1">
        <f>IFERROR(VLOOKUP(B71,'logos transformer '!A:D,4,FALSE),"na")</f>
        <v>45228.621527777781</v>
      </c>
    </row>
    <row r="72" spans="1:12" x14ac:dyDescent="0.3">
      <c r="A72" s="1">
        <v>45201.224999999999</v>
      </c>
      <c r="B72" t="s">
        <v>69</v>
      </c>
      <c r="C72">
        <v>83</v>
      </c>
      <c r="D72" t="s">
        <v>8</v>
      </c>
      <c r="E72" t="str">
        <f>IFERROR(VLOOKUP(logos[[#This Row],[Cell_ID]],'registe maintenance'!A:B,2,FALSE)," non répertoriées")</f>
        <v>Nord-Kivu</v>
      </c>
      <c r="F72">
        <f>IFERROR(VLOOKUP(logos[[#This Row],[Cell_ID]],'registe maintenance'!A:C,3,FALSE)," non répertoriées")</f>
        <v>0.82868600000000003</v>
      </c>
      <c r="G72">
        <f>IFERROR(VLOOKUP(logos[[#This Row],[Cell_ID]],'registe maintenance'!A:D,4,FALSE)," non répertoriées")</f>
        <v>26.958843999999999</v>
      </c>
      <c r="H72" t="str">
        <f>IFERROR(VLOOKUP(logos[[#This Row],[Cell_ID]],'registe maintenance'!A:E,5,FALSE)," non répertoriées")</f>
        <v>5G</v>
      </c>
      <c r="I72" t="str">
        <f>IFERROR(VLOOKUP(logos[[#This Row],[Cell_ID]],'registe maintenance'!A:F,6,FALSE)," non répertoriées")</f>
        <v>ZTE</v>
      </c>
      <c r="J72">
        <f>IFERROR(VLOOKUP(B72,'logos transformer '!A:B,2,FALSE),"na")</f>
        <v>5</v>
      </c>
      <c r="K72">
        <f>IFERROR(VLOOKUP(B72,'logos transformer '!A:C,3,FALSE),"na")</f>
        <v>385</v>
      </c>
      <c r="L72" s="1">
        <f>IFERROR(VLOOKUP(B72,'logos transformer '!A:D,4,FALSE),"na")</f>
        <v>45229.065972222219</v>
      </c>
    </row>
    <row r="73" spans="1:12" x14ac:dyDescent="0.3">
      <c r="A73" s="1">
        <v>45200.511111111111</v>
      </c>
      <c r="B73" t="s">
        <v>70</v>
      </c>
      <c r="C73">
        <v>108</v>
      </c>
      <c r="D73" t="s">
        <v>10</v>
      </c>
      <c r="E73" t="str">
        <f>IFERROR(VLOOKUP(logos[[#This Row],[Cell_ID]],'registe maintenance'!A:B,2,FALSE)," non répertoriées")</f>
        <v xml:space="preserve"> non répertoriées</v>
      </c>
      <c r="F73" t="str">
        <f>IFERROR(VLOOKUP(logos[[#This Row],[Cell_ID]],'registe maintenance'!A:C,3,FALSE)," non répertoriées")</f>
        <v xml:space="preserve"> non répertoriées</v>
      </c>
      <c r="G73" t="str">
        <f>IFERROR(VLOOKUP(logos[[#This Row],[Cell_ID]],'registe maintenance'!A:D,4,FALSE)," non répertoriées")</f>
        <v xml:space="preserve"> non répertoriées</v>
      </c>
      <c r="H73" t="str">
        <f>IFERROR(VLOOKUP(logos[[#This Row],[Cell_ID]],'registe maintenance'!A:E,5,FALSE)," non répertoriées")</f>
        <v xml:space="preserve"> non répertoriées</v>
      </c>
      <c r="I73" t="str">
        <f>IFERROR(VLOOKUP(logos[[#This Row],[Cell_ID]],'registe maintenance'!A:F,6,FALSE)," non répertoriées")</f>
        <v xml:space="preserve"> non répertoriées</v>
      </c>
      <c r="J73">
        <f>IFERROR(VLOOKUP(B73,'logos transformer '!A:B,2,FALSE),"na")</f>
        <v>1</v>
      </c>
      <c r="K73">
        <f>IFERROR(VLOOKUP(B73,'logos transformer '!A:C,3,FALSE),"na")</f>
        <v>108</v>
      </c>
      <c r="L73" s="1">
        <f>IFERROR(VLOOKUP(B73,'logos transformer '!A:D,4,FALSE),"na")</f>
        <v>45200.511111111111</v>
      </c>
    </row>
    <row r="74" spans="1:12" x14ac:dyDescent="0.3">
      <c r="A74" s="1">
        <v>45229.595833333333</v>
      </c>
      <c r="B74" t="s">
        <v>30</v>
      </c>
      <c r="C74">
        <v>88</v>
      </c>
      <c r="D74" t="s">
        <v>10</v>
      </c>
      <c r="E74" t="str">
        <f>IFERROR(VLOOKUP(logos[[#This Row],[Cell_ID]],'registe maintenance'!A:B,2,FALSE)," non répertoriées")</f>
        <v>Sud-Ubangi</v>
      </c>
      <c r="F74">
        <f>IFERROR(VLOOKUP(logos[[#This Row],[Cell_ID]],'registe maintenance'!A:C,3,FALSE)," non répertoriées")</f>
        <v>-10.56448</v>
      </c>
      <c r="G74">
        <f>IFERROR(VLOOKUP(logos[[#This Row],[Cell_ID]],'registe maintenance'!A:D,4,FALSE)," non répertoriées")</f>
        <v>19.792876</v>
      </c>
      <c r="H74" t="str">
        <f>IFERROR(VLOOKUP(logos[[#This Row],[Cell_ID]],'registe maintenance'!A:E,5,FALSE)," non répertoriées")</f>
        <v>5G</v>
      </c>
      <c r="I74" t="str">
        <f>IFERROR(VLOOKUP(logos[[#This Row],[Cell_ID]],'registe maintenance'!A:F,6,FALSE)," non répertoriées")</f>
        <v>Ericsson</v>
      </c>
      <c r="J74">
        <f>IFERROR(VLOOKUP(B74,'logos transformer '!A:B,2,FALSE),"na")</f>
        <v>3</v>
      </c>
      <c r="K74">
        <f>IFERROR(VLOOKUP(B74,'logos transformer '!A:C,3,FALSE),"na")</f>
        <v>185</v>
      </c>
      <c r="L74" s="1">
        <f>IFERROR(VLOOKUP(B74,'logos transformer '!A:D,4,FALSE),"na")</f>
        <v>45229.595833333333</v>
      </c>
    </row>
    <row r="75" spans="1:12" x14ac:dyDescent="0.3">
      <c r="A75" s="1">
        <v>45213.948611111111</v>
      </c>
      <c r="B75" t="s">
        <v>71</v>
      </c>
      <c r="C75">
        <v>72</v>
      </c>
      <c r="D75" t="s">
        <v>8</v>
      </c>
      <c r="E75" t="str">
        <f>IFERROR(VLOOKUP(logos[[#This Row],[Cell_ID]],'registe maintenance'!A:B,2,FALSE)," non répertoriées")</f>
        <v>Sankuru</v>
      </c>
      <c r="F75">
        <f>IFERROR(VLOOKUP(logos[[#This Row],[Cell_ID]],'registe maintenance'!A:C,3,FALSE)," non répertoriées")</f>
        <v>-2.7140689999999998</v>
      </c>
      <c r="G75">
        <f>IFERROR(VLOOKUP(logos[[#This Row],[Cell_ID]],'registe maintenance'!A:D,4,FALSE)," non répertoriées")</f>
        <v>22.222104000000002</v>
      </c>
      <c r="H75" t="str">
        <f>IFERROR(VLOOKUP(logos[[#This Row],[Cell_ID]],'registe maintenance'!A:E,5,FALSE)," non répertoriées")</f>
        <v>4G</v>
      </c>
      <c r="I75" t="str">
        <f>IFERROR(VLOOKUP(logos[[#This Row],[Cell_ID]],'registe maintenance'!A:F,6,FALSE)," non répertoriées")</f>
        <v>Nokia</v>
      </c>
      <c r="J75">
        <f>IFERROR(VLOOKUP(B75,'logos transformer '!A:B,2,FALSE),"na")</f>
        <v>1</v>
      </c>
      <c r="K75">
        <f>IFERROR(VLOOKUP(B75,'logos transformer '!A:C,3,FALSE),"na")</f>
        <v>72</v>
      </c>
      <c r="L75" s="1">
        <f>IFERROR(VLOOKUP(B75,'logos transformer '!A:D,4,FALSE),"na")</f>
        <v>45213.948611111111</v>
      </c>
    </row>
    <row r="76" spans="1:12" x14ac:dyDescent="0.3">
      <c r="A76" s="1">
        <v>45225.737500000003</v>
      </c>
      <c r="B76" t="s">
        <v>72</v>
      </c>
      <c r="C76">
        <v>6</v>
      </c>
      <c r="D76" t="s">
        <v>8</v>
      </c>
      <c r="E76" t="str">
        <f>IFERROR(VLOOKUP(logos[[#This Row],[Cell_ID]],'registe maintenance'!A:B,2,FALSE)," non répertoriées")</f>
        <v xml:space="preserve"> non répertoriées</v>
      </c>
      <c r="F76" t="str">
        <f>IFERROR(VLOOKUP(logos[[#This Row],[Cell_ID]],'registe maintenance'!A:C,3,FALSE)," non répertoriées")</f>
        <v xml:space="preserve"> non répertoriées</v>
      </c>
      <c r="G76" t="str">
        <f>IFERROR(VLOOKUP(logos[[#This Row],[Cell_ID]],'registe maintenance'!A:D,4,FALSE)," non répertoriées")</f>
        <v xml:space="preserve"> non répertoriées</v>
      </c>
      <c r="H76" t="str">
        <f>IFERROR(VLOOKUP(logos[[#This Row],[Cell_ID]],'registe maintenance'!A:E,5,FALSE)," non répertoriées")</f>
        <v xml:space="preserve"> non répertoriées</v>
      </c>
      <c r="I76" t="str">
        <f>IFERROR(VLOOKUP(logos[[#This Row],[Cell_ID]],'registe maintenance'!A:F,6,FALSE)," non répertoriées")</f>
        <v xml:space="preserve"> non répertoriées</v>
      </c>
      <c r="J76">
        <f>IFERROR(VLOOKUP(B76,'logos transformer '!A:B,2,FALSE),"na")</f>
        <v>2</v>
      </c>
      <c r="K76">
        <f>IFERROR(VLOOKUP(B76,'logos transformer '!A:C,3,FALSE),"na")</f>
        <v>55</v>
      </c>
      <c r="L76" s="1">
        <f>IFERROR(VLOOKUP(B76,'logos transformer '!A:D,4,FALSE),"na")</f>
        <v>45225.737500000003</v>
      </c>
    </row>
    <row r="77" spans="1:12" x14ac:dyDescent="0.3">
      <c r="A77" s="1">
        <v>45222.631249999999</v>
      </c>
      <c r="B77" t="s">
        <v>73</v>
      </c>
      <c r="C77">
        <v>90</v>
      </c>
      <c r="D77" t="s">
        <v>5</v>
      </c>
      <c r="E77" t="str">
        <f>IFERROR(VLOOKUP(logos[[#This Row],[Cell_ID]],'registe maintenance'!A:B,2,FALSE)," non répertoriées")</f>
        <v>Tanganyika</v>
      </c>
      <c r="F77">
        <f>IFERROR(VLOOKUP(logos[[#This Row],[Cell_ID]],'registe maintenance'!A:C,3,FALSE)," non répertoriées")</f>
        <v>-2.099631</v>
      </c>
      <c r="G77">
        <f>IFERROR(VLOOKUP(logos[[#This Row],[Cell_ID]],'registe maintenance'!A:D,4,FALSE)," non répertoriées")</f>
        <v>13.974640000000001</v>
      </c>
      <c r="H77" t="str">
        <f>IFERROR(VLOOKUP(logos[[#This Row],[Cell_ID]],'registe maintenance'!A:E,5,FALSE)," non répertoriées")</f>
        <v>3G</v>
      </c>
      <c r="I77" t="str">
        <f>IFERROR(VLOOKUP(logos[[#This Row],[Cell_ID]],'registe maintenance'!A:F,6,FALSE)," non répertoriées")</f>
        <v>Nokia</v>
      </c>
      <c r="J77">
        <f>IFERROR(VLOOKUP(B77,'logos transformer '!A:B,2,FALSE),"na")</f>
        <v>2</v>
      </c>
      <c r="K77">
        <f>IFERROR(VLOOKUP(B77,'logos transformer '!A:C,3,FALSE),"na")</f>
        <v>157</v>
      </c>
      <c r="L77" s="1">
        <f>IFERROR(VLOOKUP(B77,'logos transformer '!A:D,4,FALSE),"na")</f>
        <v>45230.862500000003</v>
      </c>
    </row>
    <row r="78" spans="1:12" x14ac:dyDescent="0.3">
      <c r="A78" s="1">
        <v>45206.384027777778</v>
      </c>
      <c r="B78" t="s">
        <v>74</v>
      </c>
      <c r="C78">
        <v>109</v>
      </c>
      <c r="D78" t="s">
        <v>10</v>
      </c>
      <c r="E78" t="str">
        <f>IFERROR(VLOOKUP(logos[[#This Row],[Cell_ID]],'registe maintenance'!A:B,2,FALSE)," non répertoriées")</f>
        <v xml:space="preserve"> non répertoriées</v>
      </c>
      <c r="F78" t="str">
        <f>IFERROR(VLOOKUP(logos[[#This Row],[Cell_ID]],'registe maintenance'!A:C,3,FALSE)," non répertoriées")</f>
        <v xml:space="preserve"> non répertoriées</v>
      </c>
      <c r="G78" t="str">
        <f>IFERROR(VLOOKUP(logos[[#This Row],[Cell_ID]],'registe maintenance'!A:D,4,FALSE)," non répertoriées")</f>
        <v xml:space="preserve"> non répertoriées</v>
      </c>
      <c r="H78" t="str">
        <f>IFERROR(VLOOKUP(logos[[#This Row],[Cell_ID]],'registe maintenance'!A:E,5,FALSE)," non répertoriées")</f>
        <v xml:space="preserve"> non répertoriées</v>
      </c>
      <c r="I78" t="str">
        <f>IFERROR(VLOOKUP(logos[[#This Row],[Cell_ID]],'registe maintenance'!A:F,6,FALSE)," non répertoriées")</f>
        <v xml:space="preserve"> non répertoriées</v>
      </c>
      <c r="J78">
        <f>IFERROR(VLOOKUP(B78,'logos transformer '!A:B,2,FALSE),"na")</f>
        <v>1</v>
      </c>
      <c r="K78">
        <f>IFERROR(VLOOKUP(B78,'logos transformer '!A:C,3,FALSE),"na")</f>
        <v>109</v>
      </c>
      <c r="L78" s="1">
        <f>IFERROR(VLOOKUP(B78,'logos transformer '!A:D,4,FALSE),"na")</f>
        <v>45206.384027777778</v>
      </c>
    </row>
    <row r="79" spans="1:12" x14ac:dyDescent="0.3">
      <c r="A79" s="1">
        <v>45230.067361111112</v>
      </c>
      <c r="B79" t="s">
        <v>75</v>
      </c>
      <c r="C79">
        <v>75</v>
      </c>
      <c r="D79" t="s">
        <v>5</v>
      </c>
      <c r="E79" t="str">
        <f>IFERROR(VLOOKUP(logos[[#This Row],[Cell_ID]],'registe maintenance'!A:B,2,FALSE)," non répertoriées")</f>
        <v xml:space="preserve"> non répertoriées</v>
      </c>
      <c r="F79" t="str">
        <f>IFERROR(VLOOKUP(logos[[#This Row],[Cell_ID]],'registe maintenance'!A:C,3,FALSE)," non répertoriées")</f>
        <v xml:space="preserve"> non répertoriées</v>
      </c>
      <c r="G79" t="str">
        <f>IFERROR(VLOOKUP(logos[[#This Row],[Cell_ID]],'registe maintenance'!A:D,4,FALSE)," non répertoriées")</f>
        <v xml:space="preserve"> non répertoriées</v>
      </c>
      <c r="H79" t="str">
        <f>IFERROR(VLOOKUP(logos[[#This Row],[Cell_ID]],'registe maintenance'!A:E,5,FALSE)," non répertoriées")</f>
        <v xml:space="preserve"> non répertoriées</v>
      </c>
      <c r="I79" t="str">
        <f>IFERROR(VLOOKUP(logos[[#This Row],[Cell_ID]],'registe maintenance'!A:F,6,FALSE)," non répertoriées")</f>
        <v xml:space="preserve"> non répertoriées</v>
      </c>
      <c r="J79">
        <f>IFERROR(VLOOKUP(B79,'logos transformer '!A:B,2,FALSE),"na")</f>
        <v>1</v>
      </c>
      <c r="K79">
        <f>IFERROR(VLOOKUP(B79,'logos transformer '!A:C,3,FALSE),"na")</f>
        <v>75</v>
      </c>
      <c r="L79" s="1">
        <f>IFERROR(VLOOKUP(B79,'logos transformer '!A:D,4,FALSE),"na")</f>
        <v>45230.067361111112</v>
      </c>
    </row>
    <row r="80" spans="1:12" x14ac:dyDescent="0.3">
      <c r="A80" s="1">
        <v>45223.710416666669</v>
      </c>
      <c r="B80" t="s">
        <v>76</v>
      </c>
      <c r="C80">
        <v>43</v>
      </c>
      <c r="D80" t="s">
        <v>8</v>
      </c>
      <c r="E80" t="str">
        <f>IFERROR(VLOOKUP(logos[[#This Row],[Cell_ID]],'registe maintenance'!A:B,2,FALSE)," non répertoriées")</f>
        <v xml:space="preserve"> non répertoriées</v>
      </c>
      <c r="F80" t="str">
        <f>IFERROR(VLOOKUP(logos[[#This Row],[Cell_ID]],'registe maintenance'!A:C,3,FALSE)," non répertoriées")</f>
        <v xml:space="preserve"> non répertoriées</v>
      </c>
      <c r="G80" t="str">
        <f>IFERROR(VLOOKUP(logos[[#This Row],[Cell_ID]],'registe maintenance'!A:D,4,FALSE)," non répertoriées")</f>
        <v xml:space="preserve"> non répertoriées</v>
      </c>
      <c r="H80" t="str">
        <f>IFERROR(VLOOKUP(logos[[#This Row],[Cell_ID]],'registe maintenance'!A:E,5,FALSE)," non répertoriées")</f>
        <v xml:space="preserve"> non répertoriées</v>
      </c>
      <c r="I80" t="str">
        <f>IFERROR(VLOOKUP(logos[[#This Row],[Cell_ID]],'registe maintenance'!A:F,6,FALSE)," non répertoriées")</f>
        <v xml:space="preserve"> non répertoriées</v>
      </c>
      <c r="J80">
        <f>IFERROR(VLOOKUP(B80,'logos transformer '!A:B,2,FALSE),"na")</f>
        <v>2</v>
      </c>
      <c r="K80">
        <f>IFERROR(VLOOKUP(B80,'logos transformer '!A:C,3,FALSE),"na")</f>
        <v>146</v>
      </c>
      <c r="L80" s="1">
        <f>IFERROR(VLOOKUP(B80,'logos transformer '!A:D,4,FALSE),"na")</f>
        <v>45223.710416666669</v>
      </c>
    </row>
    <row r="81" spans="1:12" x14ac:dyDescent="0.3">
      <c r="A81" s="1">
        <v>45223.418749999997</v>
      </c>
      <c r="B81" t="s">
        <v>77</v>
      </c>
      <c r="C81">
        <v>89</v>
      </c>
      <c r="D81" t="s">
        <v>5</v>
      </c>
      <c r="E81" t="str">
        <f>IFERROR(VLOOKUP(logos[[#This Row],[Cell_ID]],'registe maintenance'!A:B,2,FALSE)," non répertoriées")</f>
        <v>Haut-Katanga</v>
      </c>
      <c r="F81">
        <f>IFERROR(VLOOKUP(logos[[#This Row],[Cell_ID]],'registe maintenance'!A:C,3,FALSE)," non répertoriées")</f>
        <v>4.4712560000000003</v>
      </c>
      <c r="G81">
        <f>IFERROR(VLOOKUP(logos[[#This Row],[Cell_ID]],'registe maintenance'!A:D,4,FALSE)," non répertoriées")</f>
        <v>27.107028</v>
      </c>
      <c r="H81" t="str">
        <f>IFERROR(VLOOKUP(logos[[#This Row],[Cell_ID]],'registe maintenance'!A:E,5,FALSE)," non répertoriées")</f>
        <v>3G</v>
      </c>
      <c r="I81" t="str">
        <f>IFERROR(VLOOKUP(logos[[#This Row],[Cell_ID]],'registe maintenance'!A:F,6,FALSE)," non répertoriées")</f>
        <v>Ericsson</v>
      </c>
      <c r="J81">
        <f>IFERROR(VLOOKUP(B81,'logos transformer '!A:B,2,FALSE),"na")</f>
        <v>2</v>
      </c>
      <c r="K81">
        <f>IFERROR(VLOOKUP(B81,'logos transformer '!A:C,3,FALSE),"na")</f>
        <v>169</v>
      </c>
      <c r="L81" s="1">
        <f>IFERROR(VLOOKUP(B81,'logos transformer '!A:D,4,FALSE),"na")</f>
        <v>45223.418749999997</v>
      </c>
    </row>
    <row r="82" spans="1:12" x14ac:dyDescent="0.3">
      <c r="A82" s="1">
        <v>45201.770833333343</v>
      </c>
      <c r="B82" t="s">
        <v>41</v>
      </c>
      <c r="C82">
        <v>18</v>
      </c>
      <c r="D82" t="s">
        <v>10</v>
      </c>
      <c r="E82" t="str">
        <f>IFERROR(VLOOKUP(logos[[#This Row],[Cell_ID]],'registe maintenance'!A:B,2,FALSE)," non répertoriées")</f>
        <v xml:space="preserve"> non répertoriées</v>
      </c>
      <c r="F82" t="str">
        <f>IFERROR(VLOOKUP(logos[[#This Row],[Cell_ID]],'registe maintenance'!A:C,3,FALSE)," non répertoriées")</f>
        <v xml:space="preserve"> non répertoriées</v>
      </c>
      <c r="G82" t="str">
        <f>IFERROR(VLOOKUP(logos[[#This Row],[Cell_ID]],'registe maintenance'!A:D,4,FALSE)," non répertoriées")</f>
        <v xml:space="preserve"> non répertoriées</v>
      </c>
      <c r="H82" t="str">
        <f>IFERROR(VLOOKUP(logos[[#This Row],[Cell_ID]],'registe maintenance'!A:E,5,FALSE)," non répertoriées")</f>
        <v xml:space="preserve"> non répertoriées</v>
      </c>
      <c r="I82" t="str">
        <f>IFERROR(VLOOKUP(logos[[#This Row],[Cell_ID]],'registe maintenance'!A:F,6,FALSE)," non répertoriées")</f>
        <v xml:space="preserve"> non répertoriées</v>
      </c>
      <c r="J82">
        <f>IFERROR(VLOOKUP(B82,'logos transformer '!A:B,2,FALSE),"na")</f>
        <v>2</v>
      </c>
      <c r="K82">
        <f>IFERROR(VLOOKUP(B82,'logos transformer '!A:C,3,FALSE),"na")</f>
        <v>37</v>
      </c>
      <c r="L82" s="1">
        <f>IFERROR(VLOOKUP(B82,'logos transformer '!A:D,4,FALSE),"na")</f>
        <v>45205.599999999999</v>
      </c>
    </row>
    <row r="83" spans="1:12" x14ac:dyDescent="0.3">
      <c r="A83" s="1">
        <v>45216.673611111109</v>
      </c>
      <c r="B83" t="s">
        <v>78</v>
      </c>
      <c r="C83">
        <v>117</v>
      </c>
      <c r="D83" t="s">
        <v>5</v>
      </c>
      <c r="E83" t="str">
        <f>IFERROR(VLOOKUP(logos[[#This Row],[Cell_ID]],'registe maintenance'!A:B,2,FALSE)," non répertoriées")</f>
        <v>Sud-Ubangi</v>
      </c>
      <c r="F83">
        <f>IFERROR(VLOOKUP(logos[[#This Row],[Cell_ID]],'registe maintenance'!A:C,3,FALSE)," non répertoriées")</f>
        <v>-12.141233</v>
      </c>
      <c r="G83">
        <f>IFERROR(VLOOKUP(logos[[#This Row],[Cell_ID]],'registe maintenance'!A:D,4,FALSE)," non répertoriées")</f>
        <v>15.179043999999999</v>
      </c>
      <c r="H83" t="str">
        <f>IFERROR(VLOOKUP(logos[[#This Row],[Cell_ID]],'registe maintenance'!A:E,5,FALSE)," non répertoriées")</f>
        <v>5G</v>
      </c>
      <c r="I83" t="str">
        <f>IFERROR(VLOOKUP(logos[[#This Row],[Cell_ID]],'registe maintenance'!A:F,6,FALSE)," non répertoriées")</f>
        <v>Ericsson</v>
      </c>
      <c r="J83">
        <f>IFERROR(VLOOKUP(B83,'logos transformer '!A:B,2,FALSE),"na")</f>
        <v>1</v>
      </c>
      <c r="K83">
        <f>IFERROR(VLOOKUP(B83,'logos transformer '!A:C,3,FALSE),"na")</f>
        <v>117</v>
      </c>
      <c r="L83" s="1">
        <f>IFERROR(VLOOKUP(B83,'logos transformer '!A:D,4,FALSE),"na")</f>
        <v>45216.673611111109</v>
      </c>
    </row>
    <row r="84" spans="1:12" x14ac:dyDescent="0.3">
      <c r="A84" s="1">
        <v>45201.670138888891</v>
      </c>
      <c r="B84" t="s">
        <v>79</v>
      </c>
      <c r="C84">
        <v>22</v>
      </c>
      <c r="D84" t="s">
        <v>10</v>
      </c>
      <c r="E84" t="str">
        <f>IFERROR(VLOOKUP(logos[[#This Row],[Cell_ID]],'registe maintenance'!A:B,2,FALSE)," non répertoriées")</f>
        <v xml:space="preserve"> non répertoriées</v>
      </c>
      <c r="F84" t="str">
        <f>IFERROR(VLOOKUP(logos[[#This Row],[Cell_ID]],'registe maintenance'!A:C,3,FALSE)," non répertoriées")</f>
        <v xml:space="preserve"> non répertoriées</v>
      </c>
      <c r="G84" t="str">
        <f>IFERROR(VLOOKUP(logos[[#This Row],[Cell_ID]],'registe maintenance'!A:D,4,FALSE)," non répertoriées")</f>
        <v xml:space="preserve"> non répertoriées</v>
      </c>
      <c r="H84" t="str">
        <f>IFERROR(VLOOKUP(logos[[#This Row],[Cell_ID]],'registe maintenance'!A:E,5,FALSE)," non répertoriées")</f>
        <v xml:space="preserve"> non répertoriées</v>
      </c>
      <c r="I84" t="str">
        <f>IFERROR(VLOOKUP(logos[[#This Row],[Cell_ID]],'registe maintenance'!A:F,6,FALSE)," non répertoriées")</f>
        <v xml:space="preserve"> non répertoriées</v>
      </c>
      <c r="J84">
        <f>IFERROR(VLOOKUP(B84,'logos transformer '!A:B,2,FALSE),"na")</f>
        <v>2</v>
      </c>
      <c r="K84">
        <f>IFERROR(VLOOKUP(B84,'logos transformer '!A:C,3,FALSE),"na")</f>
        <v>124</v>
      </c>
      <c r="L84" s="1">
        <f>IFERROR(VLOOKUP(B84,'logos transformer '!A:D,4,FALSE),"na")</f>
        <v>45219.997916666667</v>
      </c>
    </row>
    <row r="85" spans="1:12" x14ac:dyDescent="0.3">
      <c r="A85" s="1">
        <v>45227.211111111108</v>
      </c>
      <c r="B85" t="s">
        <v>80</v>
      </c>
      <c r="C85">
        <v>38</v>
      </c>
      <c r="D85" t="s">
        <v>5</v>
      </c>
      <c r="E85" t="str">
        <f>IFERROR(VLOOKUP(logos[[#This Row],[Cell_ID]],'registe maintenance'!A:B,2,FALSE)," non répertoriées")</f>
        <v xml:space="preserve"> non répertoriées</v>
      </c>
      <c r="F85" t="str">
        <f>IFERROR(VLOOKUP(logos[[#This Row],[Cell_ID]],'registe maintenance'!A:C,3,FALSE)," non répertoriées")</f>
        <v xml:space="preserve"> non répertoriées</v>
      </c>
      <c r="G85" t="str">
        <f>IFERROR(VLOOKUP(logos[[#This Row],[Cell_ID]],'registe maintenance'!A:D,4,FALSE)," non répertoriées")</f>
        <v xml:space="preserve"> non répertoriées</v>
      </c>
      <c r="H85" t="str">
        <f>IFERROR(VLOOKUP(logos[[#This Row],[Cell_ID]],'registe maintenance'!A:E,5,FALSE)," non répertoriées")</f>
        <v xml:space="preserve"> non répertoriées</v>
      </c>
      <c r="I85" t="str">
        <f>IFERROR(VLOOKUP(logos[[#This Row],[Cell_ID]],'registe maintenance'!A:F,6,FALSE)," non répertoriées")</f>
        <v xml:space="preserve"> non répertoriées</v>
      </c>
      <c r="J85">
        <f>IFERROR(VLOOKUP(B85,'logos transformer '!A:B,2,FALSE),"na")</f>
        <v>1</v>
      </c>
      <c r="K85">
        <f>IFERROR(VLOOKUP(B85,'logos transformer '!A:C,3,FALSE),"na")</f>
        <v>38</v>
      </c>
      <c r="L85" s="1">
        <f>IFERROR(VLOOKUP(B85,'logos transformer '!A:D,4,FALSE),"na")</f>
        <v>45227.211111111108</v>
      </c>
    </row>
    <row r="86" spans="1:12" x14ac:dyDescent="0.3">
      <c r="A86" s="1">
        <v>45219.113194444442</v>
      </c>
      <c r="B86" t="s">
        <v>81</v>
      </c>
      <c r="C86">
        <v>19</v>
      </c>
      <c r="D86" t="s">
        <v>5</v>
      </c>
      <c r="E86" t="str">
        <f>IFERROR(VLOOKUP(logos[[#This Row],[Cell_ID]],'registe maintenance'!A:B,2,FALSE)," non répertoriées")</f>
        <v>Kwango</v>
      </c>
      <c r="F86">
        <f>IFERROR(VLOOKUP(logos[[#This Row],[Cell_ID]],'registe maintenance'!A:C,3,FALSE)," non répertoriées")</f>
        <v>-9.7712979999999998</v>
      </c>
      <c r="G86">
        <f>IFERROR(VLOOKUP(logos[[#This Row],[Cell_ID]],'registe maintenance'!A:D,4,FALSE)," non répertoriées")</f>
        <v>19.827895999999999</v>
      </c>
      <c r="H86" t="str">
        <f>IFERROR(VLOOKUP(logos[[#This Row],[Cell_ID]],'registe maintenance'!A:E,5,FALSE)," non répertoriées")</f>
        <v>3G</v>
      </c>
      <c r="I86" t="str">
        <f>IFERROR(VLOOKUP(logos[[#This Row],[Cell_ID]],'registe maintenance'!A:F,6,FALSE)," non répertoriées")</f>
        <v>ZTE</v>
      </c>
      <c r="J86">
        <f>IFERROR(VLOOKUP(B86,'logos transformer '!A:B,2,FALSE),"na")</f>
        <v>3</v>
      </c>
      <c r="K86">
        <f>IFERROR(VLOOKUP(B86,'logos transformer '!A:C,3,FALSE),"na")</f>
        <v>139</v>
      </c>
      <c r="L86" s="1">
        <f>IFERROR(VLOOKUP(B86,'logos transformer '!A:D,4,FALSE),"na")</f>
        <v>45224.010416666664</v>
      </c>
    </row>
    <row r="87" spans="1:12" x14ac:dyDescent="0.3">
      <c r="A87" s="1">
        <v>45227.309027777781</v>
      </c>
      <c r="B87" t="s">
        <v>82</v>
      </c>
      <c r="C87">
        <v>118</v>
      </c>
      <c r="D87" t="s">
        <v>10</v>
      </c>
      <c r="E87" t="str">
        <f>IFERROR(VLOOKUP(logos[[#This Row],[Cell_ID]],'registe maintenance'!A:B,2,FALSE)," non répertoriées")</f>
        <v>Sud-Ubangi</v>
      </c>
      <c r="F87">
        <f>IFERROR(VLOOKUP(logos[[#This Row],[Cell_ID]],'registe maintenance'!A:C,3,FALSE)," non répertoriées")</f>
        <v>-10.914952</v>
      </c>
      <c r="G87">
        <f>IFERROR(VLOOKUP(logos[[#This Row],[Cell_ID]],'registe maintenance'!A:D,4,FALSE)," non répertoriées")</f>
        <v>26.409648000000001</v>
      </c>
      <c r="H87" t="str">
        <f>IFERROR(VLOOKUP(logos[[#This Row],[Cell_ID]],'registe maintenance'!A:E,5,FALSE)," non répertoriées")</f>
        <v>4G</v>
      </c>
      <c r="I87" t="str">
        <f>IFERROR(VLOOKUP(logos[[#This Row],[Cell_ID]],'registe maintenance'!A:F,6,FALSE)," non répertoriées")</f>
        <v>Huawei</v>
      </c>
      <c r="J87">
        <f>IFERROR(VLOOKUP(B87,'logos transformer '!A:B,2,FALSE),"na")</f>
        <v>3</v>
      </c>
      <c r="K87">
        <f>IFERROR(VLOOKUP(B87,'logos transformer '!A:C,3,FALSE),"na")</f>
        <v>289</v>
      </c>
      <c r="L87" s="1">
        <f>IFERROR(VLOOKUP(B87,'logos transformer '!A:D,4,FALSE),"na")</f>
        <v>45227.309027777781</v>
      </c>
    </row>
    <row r="88" spans="1:12" x14ac:dyDescent="0.3">
      <c r="A88" s="1">
        <v>45203.760416666657</v>
      </c>
      <c r="B88" t="s">
        <v>83</v>
      </c>
      <c r="C88">
        <v>18</v>
      </c>
      <c r="D88" t="s">
        <v>10</v>
      </c>
      <c r="E88" t="str">
        <f>IFERROR(VLOOKUP(logos[[#This Row],[Cell_ID]],'registe maintenance'!A:B,2,FALSE)," non répertoriées")</f>
        <v>Nord-Ubangi</v>
      </c>
      <c r="F88">
        <f>IFERROR(VLOOKUP(logos[[#This Row],[Cell_ID]],'registe maintenance'!A:C,3,FALSE)," non répertoriées")</f>
        <v>0.94539899999999999</v>
      </c>
      <c r="G88">
        <f>IFERROR(VLOOKUP(logos[[#This Row],[Cell_ID]],'registe maintenance'!A:D,4,FALSE)," non répertoriées")</f>
        <v>14.401821999999999</v>
      </c>
      <c r="H88" t="str">
        <f>IFERROR(VLOOKUP(logos[[#This Row],[Cell_ID]],'registe maintenance'!A:E,5,FALSE)," non répertoriées")</f>
        <v>5G</v>
      </c>
      <c r="I88" t="str">
        <f>IFERROR(VLOOKUP(logos[[#This Row],[Cell_ID]],'registe maintenance'!A:F,6,FALSE)," non répertoriées")</f>
        <v>Nokia</v>
      </c>
      <c r="J88">
        <f>IFERROR(VLOOKUP(B88,'logos transformer '!A:B,2,FALSE),"na")</f>
        <v>2</v>
      </c>
      <c r="K88">
        <f>IFERROR(VLOOKUP(B88,'logos transformer '!A:C,3,FALSE),"na")</f>
        <v>29</v>
      </c>
      <c r="L88" s="1">
        <f>IFERROR(VLOOKUP(B88,'logos transformer '!A:D,4,FALSE),"na")</f>
        <v>45230.009027777778</v>
      </c>
    </row>
    <row r="89" spans="1:12" x14ac:dyDescent="0.3">
      <c r="A89" s="1">
        <v>45218.793055555558</v>
      </c>
      <c r="B89" t="s">
        <v>84</v>
      </c>
      <c r="C89">
        <v>100</v>
      </c>
      <c r="D89" t="s">
        <v>10</v>
      </c>
      <c r="E89" t="str">
        <f>IFERROR(VLOOKUP(logos[[#This Row],[Cell_ID]],'registe maintenance'!A:B,2,FALSE)," non répertoriées")</f>
        <v xml:space="preserve"> non répertoriées</v>
      </c>
      <c r="F89" t="str">
        <f>IFERROR(VLOOKUP(logos[[#This Row],[Cell_ID]],'registe maintenance'!A:C,3,FALSE)," non répertoriées")</f>
        <v xml:space="preserve"> non répertoriées</v>
      </c>
      <c r="G89" t="str">
        <f>IFERROR(VLOOKUP(logos[[#This Row],[Cell_ID]],'registe maintenance'!A:D,4,FALSE)," non répertoriées")</f>
        <v xml:space="preserve"> non répertoriées</v>
      </c>
      <c r="H89" t="str">
        <f>IFERROR(VLOOKUP(logos[[#This Row],[Cell_ID]],'registe maintenance'!A:E,5,FALSE)," non répertoriées")</f>
        <v xml:space="preserve"> non répertoriées</v>
      </c>
      <c r="I89" t="str">
        <f>IFERROR(VLOOKUP(logos[[#This Row],[Cell_ID]],'registe maintenance'!A:F,6,FALSE)," non répertoriées")</f>
        <v xml:space="preserve"> non répertoriées</v>
      </c>
      <c r="J89">
        <f>IFERROR(VLOOKUP(B89,'logos transformer '!A:B,2,FALSE),"na")</f>
        <v>2</v>
      </c>
      <c r="K89">
        <f>IFERROR(VLOOKUP(B89,'logos transformer '!A:C,3,FALSE),"na")</f>
        <v>207</v>
      </c>
      <c r="L89" s="1">
        <f>IFERROR(VLOOKUP(B89,'logos transformer '!A:D,4,FALSE),"na")</f>
        <v>45218.89166666667</v>
      </c>
    </row>
    <row r="90" spans="1:12" x14ac:dyDescent="0.3">
      <c r="A90" s="1">
        <v>45219.101388888892</v>
      </c>
      <c r="B90" t="s">
        <v>85</v>
      </c>
      <c r="C90">
        <v>75</v>
      </c>
      <c r="D90" t="s">
        <v>5</v>
      </c>
      <c r="E90" t="str">
        <f>IFERROR(VLOOKUP(logos[[#This Row],[Cell_ID]],'registe maintenance'!A:B,2,FALSE)," non répertoriées")</f>
        <v>Ituri</v>
      </c>
      <c r="F90">
        <f>IFERROR(VLOOKUP(logos[[#This Row],[Cell_ID]],'registe maintenance'!A:C,3,FALSE)," non répertoriées")</f>
        <v>-7.0076900000000002</v>
      </c>
      <c r="G90">
        <f>IFERROR(VLOOKUP(logos[[#This Row],[Cell_ID]],'registe maintenance'!A:D,4,FALSE)," non répertoriées")</f>
        <v>27.367121999999998</v>
      </c>
      <c r="H90" t="str">
        <f>IFERROR(VLOOKUP(logos[[#This Row],[Cell_ID]],'registe maintenance'!A:E,5,FALSE)," non répertoriées")</f>
        <v>3G</v>
      </c>
      <c r="I90" t="str">
        <f>IFERROR(VLOOKUP(logos[[#This Row],[Cell_ID]],'registe maintenance'!A:F,6,FALSE)," non répertoriées")</f>
        <v>Nokia</v>
      </c>
      <c r="J90">
        <f>IFERROR(VLOOKUP(B90,'logos transformer '!A:B,2,FALSE),"na")</f>
        <v>2</v>
      </c>
      <c r="K90">
        <f>IFERROR(VLOOKUP(B90,'logos transformer '!A:C,3,FALSE),"na")</f>
        <v>189</v>
      </c>
      <c r="L90" s="1">
        <f>IFERROR(VLOOKUP(B90,'logos transformer '!A:D,4,FALSE),"na")</f>
        <v>45219.101388888892</v>
      </c>
    </row>
    <row r="91" spans="1:12" x14ac:dyDescent="0.3">
      <c r="A91" s="1">
        <v>45221.775000000001</v>
      </c>
      <c r="B91" t="s">
        <v>86</v>
      </c>
      <c r="C91">
        <v>24</v>
      </c>
      <c r="D91" t="s">
        <v>5</v>
      </c>
      <c r="E91" t="str">
        <f>IFERROR(VLOOKUP(logos[[#This Row],[Cell_ID]],'registe maintenance'!A:B,2,FALSE)," non répertoriées")</f>
        <v>Mongala</v>
      </c>
      <c r="F91">
        <f>IFERROR(VLOOKUP(logos[[#This Row],[Cell_ID]],'registe maintenance'!A:C,3,FALSE)," non répertoriées")</f>
        <v>-11.514188000000001</v>
      </c>
      <c r="G91">
        <f>IFERROR(VLOOKUP(logos[[#This Row],[Cell_ID]],'registe maintenance'!A:D,4,FALSE)," non répertoriées")</f>
        <v>15.971181</v>
      </c>
      <c r="H91" t="str">
        <f>IFERROR(VLOOKUP(logos[[#This Row],[Cell_ID]],'registe maintenance'!A:E,5,FALSE)," non répertoriées")</f>
        <v>5G</v>
      </c>
      <c r="I91" t="str">
        <f>IFERROR(VLOOKUP(logos[[#This Row],[Cell_ID]],'registe maintenance'!A:F,6,FALSE)," non répertoriées")</f>
        <v>Ericsson</v>
      </c>
      <c r="J91">
        <f>IFERROR(VLOOKUP(B91,'logos transformer '!A:B,2,FALSE),"na")</f>
        <v>2</v>
      </c>
      <c r="K91">
        <f>IFERROR(VLOOKUP(B91,'logos transformer '!A:C,3,FALSE),"na")</f>
        <v>98</v>
      </c>
      <c r="L91" s="1">
        <f>IFERROR(VLOOKUP(B91,'logos transformer '!A:D,4,FALSE),"na")</f>
        <v>45221.775000000001</v>
      </c>
    </row>
    <row r="92" spans="1:12" x14ac:dyDescent="0.3">
      <c r="A92" s="1">
        <v>45216.457638888889</v>
      </c>
      <c r="B92" t="s">
        <v>87</v>
      </c>
      <c r="C92">
        <v>39</v>
      </c>
      <c r="D92" t="s">
        <v>5</v>
      </c>
      <c r="E92" t="str">
        <f>IFERROR(VLOOKUP(logos[[#This Row],[Cell_ID]],'registe maintenance'!A:B,2,FALSE)," non répertoriées")</f>
        <v>Kasai-Central</v>
      </c>
      <c r="F92">
        <f>IFERROR(VLOOKUP(logos[[#This Row],[Cell_ID]],'registe maintenance'!A:C,3,FALSE)," non répertoriées")</f>
        <v>-9.5266249999999992</v>
      </c>
      <c r="G92">
        <f>IFERROR(VLOOKUP(logos[[#This Row],[Cell_ID]],'registe maintenance'!A:D,4,FALSE)," non répertoriées")</f>
        <v>27.889690999999999</v>
      </c>
      <c r="H92" t="str">
        <f>IFERROR(VLOOKUP(logos[[#This Row],[Cell_ID]],'registe maintenance'!A:E,5,FALSE)," non répertoriées")</f>
        <v>4G</v>
      </c>
      <c r="I92" t="str">
        <f>IFERROR(VLOOKUP(logos[[#This Row],[Cell_ID]],'registe maintenance'!A:F,6,FALSE)," non répertoriées")</f>
        <v>Ericsson</v>
      </c>
      <c r="J92">
        <f>IFERROR(VLOOKUP(B92,'logos transformer '!A:B,2,FALSE),"na")</f>
        <v>1</v>
      </c>
      <c r="K92">
        <f>IFERROR(VLOOKUP(B92,'logos transformer '!A:C,3,FALSE),"na")</f>
        <v>39</v>
      </c>
      <c r="L92" s="1">
        <f>IFERROR(VLOOKUP(B92,'logos transformer '!A:D,4,FALSE),"na")</f>
        <v>45216.457638888889</v>
      </c>
    </row>
    <row r="93" spans="1:12" x14ac:dyDescent="0.3">
      <c r="A93" s="1">
        <v>45208.279166666667</v>
      </c>
      <c r="B93" t="s">
        <v>88</v>
      </c>
      <c r="C93">
        <v>41</v>
      </c>
      <c r="D93" t="s">
        <v>8</v>
      </c>
      <c r="E93" t="str">
        <f>IFERROR(VLOOKUP(logos[[#This Row],[Cell_ID]],'registe maintenance'!A:B,2,FALSE)," non répertoriées")</f>
        <v>Nord-Ubangi</v>
      </c>
      <c r="F93">
        <f>IFERROR(VLOOKUP(logos[[#This Row],[Cell_ID]],'registe maintenance'!A:C,3,FALSE)," non répertoriées")</f>
        <v>-9.3066320000000005</v>
      </c>
      <c r="G93">
        <f>IFERROR(VLOOKUP(logos[[#This Row],[Cell_ID]],'registe maintenance'!A:D,4,FALSE)," non répertoriées")</f>
        <v>20.470889</v>
      </c>
      <c r="H93" t="str">
        <f>IFERROR(VLOOKUP(logos[[#This Row],[Cell_ID]],'registe maintenance'!A:E,5,FALSE)," non répertoriées")</f>
        <v>5G</v>
      </c>
      <c r="I93" t="str">
        <f>IFERROR(VLOOKUP(logos[[#This Row],[Cell_ID]],'registe maintenance'!A:F,6,FALSE)," non répertoriées")</f>
        <v>ZTE</v>
      </c>
      <c r="J93">
        <f>IFERROR(VLOOKUP(B93,'logos transformer '!A:B,2,FALSE),"na")</f>
        <v>1</v>
      </c>
      <c r="K93">
        <f>IFERROR(VLOOKUP(B93,'logos transformer '!A:C,3,FALSE),"na")</f>
        <v>41</v>
      </c>
      <c r="L93" s="1">
        <f>IFERROR(VLOOKUP(B93,'logos transformer '!A:D,4,FALSE),"na")</f>
        <v>45208.279166666667</v>
      </c>
    </row>
    <row r="94" spans="1:12" x14ac:dyDescent="0.3">
      <c r="A94" s="1">
        <v>45222.427083333343</v>
      </c>
      <c r="B94" t="s">
        <v>89</v>
      </c>
      <c r="C94">
        <v>82</v>
      </c>
      <c r="D94" t="s">
        <v>5</v>
      </c>
      <c r="E94" t="str">
        <f>IFERROR(VLOOKUP(logos[[#This Row],[Cell_ID]],'registe maintenance'!A:B,2,FALSE)," non répertoriées")</f>
        <v>Bas-Uele</v>
      </c>
      <c r="F94">
        <f>IFERROR(VLOOKUP(logos[[#This Row],[Cell_ID]],'registe maintenance'!A:C,3,FALSE)," non répertoriées")</f>
        <v>-4.4697000000000001E-2</v>
      </c>
      <c r="G94">
        <f>IFERROR(VLOOKUP(logos[[#This Row],[Cell_ID]],'registe maintenance'!A:D,4,FALSE)," non répertoriées")</f>
        <v>22.943373000000001</v>
      </c>
      <c r="H94" t="str">
        <f>IFERROR(VLOOKUP(logos[[#This Row],[Cell_ID]],'registe maintenance'!A:E,5,FALSE)," non répertoriées")</f>
        <v>3G</v>
      </c>
      <c r="I94" t="str">
        <f>IFERROR(VLOOKUP(logos[[#This Row],[Cell_ID]],'registe maintenance'!A:F,6,FALSE)," non répertoriées")</f>
        <v>Huawei</v>
      </c>
      <c r="J94">
        <f>IFERROR(VLOOKUP(B94,'logos transformer '!A:B,2,FALSE),"na")</f>
        <v>1</v>
      </c>
      <c r="K94">
        <f>IFERROR(VLOOKUP(B94,'logos transformer '!A:C,3,FALSE),"na")</f>
        <v>82</v>
      </c>
      <c r="L94" s="1">
        <f>IFERROR(VLOOKUP(B94,'logos transformer '!A:D,4,FALSE),"na")</f>
        <v>45222.427083333336</v>
      </c>
    </row>
    <row r="95" spans="1:12" x14ac:dyDescent="0.3">
      <c r="A95" s="1">
        <v>45208.505555555559</v>
      </c>
      <c r="B95" t="s">
        <v>90</v>
      </c>
      <c r="C95">
        <v>31</v>
      </c>
      <c r="D95" t="s">
        <v>10</v>
      </c>
      <c r="E95" t="str">
        <f>IFERROR(VLOOKUP(logos[[#This Row],[Cell_ID]],'registe maintenance'!A:B,2,FALSE)," non répertoriées")</f>
        <v xml:space="preserve"> non répertoriées</v>
      </c>
      <c r="F95" t="str">
        <f>IFERROR(VLOOKUP(logos[[#This Row],[Cell_ID]],'registe maintenance'!A:C,3,FALSE)," non répertoriées")</f>
        <v xml:space="preserve"> non répertoriées</v>
      </c>
      <c r="G95" t="str">
        <f>IFERROR(VLOOKUP(logos[[#This Row],[Cell_ID]],'registe maintenance'!A:D,4,FALSE)," non répertoriées")</f>
        <v xml:space="preserve"> non répertoriées</v>
      </c>
      <c r="H95" t="str">
        <f>IFERROR(VLOOKUP(logos[[#This Row],[Cell_ID]],'registe maintenance'!A:E,5,FALSE)," non répertoriées")</f>
        <v xml:space="preserve"> non répertoriées</v>
      </c>
      <c r="I95" t="str">
        <f>IFERROR(VLOOKUP(logos[[#This Row],[Cell_ID]],'registe maintenance'!A:F,6,FALSE)," non répertoriées")</f>
        <v xml:space="preserve"> non répertoriées</v>
      </c>
      <c r="J95">
        <f>IFERROR(VLOOKUP(B95,'logos transformer '!A:B,2,FALSE),"na")</f>
        <v>2</v>
      </c>
      <c r="K95">
        <f>IFERROR(VLOOKUP(B95,'logos transformer '!A:C,3,FALSE),"na")</f>
        <v>101</v>
      </c>
      <c r="L95" s="1">
        <f>IFERROR(VLOOKUP(B95,'logos transformer '!A:D,4,FALSE),"na")</f>
        <v>45227.462500000001</v>
      </c>
    </row>
    <row r="96" spans="1:12" x14ac:dyDescent="0.3">
      <c r="A96" s="1">
        <v>45221.84652777778</v>
      </c>
      <c r="B96" t="s">
        <v>91</v>
      </c>
      <c r="C96">
        <v>96</v>
      </c>
      <c r="D96" t="s">
        <v>10</v>
      </c>
      <c r="E96" t="str">
        <f>IFERROR(VLOOKUP(logos[[#This Row],[Cell_ID]],'registe maintenance'!A:B,2,FALSE)," non répertoriées")</f>
        <v>Sud-Kivu</v>
      </c>
      <c r="F96">
        <f>IFERROR(VLOOKUP(logos[[#This Row],[Cell_ID]],'registe maintenance'!A:C,3,FALSE)," non répertoriées")</f>
        <v>-5.2526849999999996</v>
      </c>
      <c r="G96">
        <f>IFERROR(VLOOKUP(logos[[#This Row],[Cell_ID]],'registe maintenance'!A:D,4,FALSE)," non répertoriées")</f>
        <v>12.374528</v>
      </c>
      <c r="H96" t="str">
        <f>IFERROR(VLOOKUP(logos[[#This Row],[Cell_ID]],'registe maintenance'!A:E,5,FALSE)," non répertoriées")</f>
        <v>3G</v>
      </c>
      <c r="I96" t="str">
        <f>IFERROR(VLOOKUP(logos[[#This Row],[Cell_ID]],'registe maintenance'!A:F,6,FALSE)," non répertoriées")</f>
        <v>Nokia</v>
      </c>
      <c r="J96">
        <f>IFERROR(VLOOKUP(B96,'logos transformer '!A:B,2,FALSE),"na")</f>
        <v>3</v>
      </c>
      <c r="K96">
        <f>IFERROR(VLOOKUP(B96,'logos transformer '!A:C,3,FALSE),"na")</f>
        <v>195</v>
      </c>
      <c r="L96" s="1">
        <f>IFERROR(VLOOKUP(B96,'logos transformer '!A:D,4,FALSE),"na")</f>
        <v>45221.84652777778</v>
      </c>
    </row>
    <row r="97" spans="1:12" x14ac:dyDescent="0.3">
      <c r="A97" s="1">
        <v>45214.457638888889</v>
      </c>
      <c r="B97" t="s">
        <v>92</v>
      </c>
      <c r="C97">
        <v>48</v>
      </c>
      <c r="D97" t="s">
        <v>10</v>
      </c>
      <c r="E97" t="str">
        <f>IFERROR(VLOOKUP(logos[[#This Row],[Cell_ID]],'registe maintenance'!A:B,2,FALSE)," non répertoriées")</f>
        <v>Sud-Ubangi</v>
      </c>
      <c r="F97">
        <f>IFERROR(VLOOKUP(logos[[#This Row],[Cell_ID]],'registe maintenance'!A:C,3,FALSE)," non répertoriées")</f>
        <v>-9.3652239999999995</v>
      </c>
      <c r="G97">
        <f>IFERROR(VLOOKUP(logos[[#This Row],[Cell_ID]],'registe maintenance'!A:D,4,FALSE)," non répertoriées")</f>
        <v>22.593423999999999</v>
      </c>
      <c r="H97" t="str">
        <f>IFERROR(VLOOKUP(logos[[#This Row],[Cell_ID]],'registe maintenance'!A:E,5,FALSE)," non répertoriées")</f>
        <v>5G</v>
      </c>
      <c r="I97" t="str">
        <f>IFERROR(VLOOKUP(logos[[#This Row],[Cell_ID]],'registe maintenance'!A:F,6,FALSE)," non répertoriées")</f>
        <v>Nokia</v>
      </c>
      <c r="J97">
        <f>IFERROR(VLOOKUP(B97,'logos transformer '!A:B,2,FALSE),"na")</f>
        <v>2</v>
      </c>
      <c r="K97">
        <f>IFERROR(VLOOKUP(B97,'logos transformer '!A:C,3,FALSE),"na")</f>
        <v>97</v>
      </c>
      <c r="L97" s="1">
        <f>IFERROR(VLOOKUP(B97,'logos transformer '!A:D,4,FALSE),"na")</f>
        <v>45220.488888888889</v>
      </c>
    </row>
    <row r="98" spans="1:12" x14ac:dyDescent="0.3">
      <c r="A98" s="1">
        <v>45224.083333333343</v>
      </c>
      <c r="B98" t="s">
        <v>93</v>
      </c>
      <c r="C98">
        <v>31</v>
      </c>
      <c r="D98" t="s">
        <v>5</v>
      </c>
      <c r="E98" t="str">
        <f>IFERROR(VLOOKUP(logos[[#This Row],[Cell_ID]],'registe maintenance'!A:B,2,FALSE)," non répertoriées")</f>
        <v xml:space="preserve"> non répertoriées</v>
      </c>
      <c r="F98" t="str">
        <f>IFERROR(VLOOKUP(logos[[#This Row],[Cell_ID]],'registe maintenance'!A:C,3,FALSE)," non répertoriées")</f>
        <v xml:space="preserve"> non répertoriées</v>
      </c>
      <c r="G98" t="str">
        <f>IFERROR(VLOOKUP(logos[[#This Row],[Cell_ID]],'registe maintenance'!A:D,4,FALSE)," non répertoriées")</f>
        <v xml:space="preserve"> non répertoriées</v>
      </c>
      <c r="H98" t="str">
        <f>IFERROR(VLOOKUP(logos[[#This Row],[Cell_ID]],'registe maintenance'!A:E,5,FALSE)," non répertoriées")</f>
        <v xml:space="preserve"> non répertoriées</v>
      </c>
      <c r="I98" t="str">
        <f>IFERROR(VLOOKUP(logos[[#This Row],[Cell_ID]],'registe maintenance'!A:F,6,FALSE)," non répertoriées")</f>
        <v xml:space="preserve"> non répertoriées</v>
      </c>
      <c r="J98">
        <f>IFERROR(VLOOKUP(B98,'logos transformer '!A:B,2,FALSE),"na")</f>
        <v>2</v>
      </c>
      <c r="K98">
        <f>IFERROR(VLOOKUP(B98,'logos transformer '!A:C,3,FALSE),"na")</f>
        <v>140</v>
      </c>
      <c r="L98" s="1">
        <f>IFERROR(VLOOKUP(B98,'logos transformer '!A:D,4,FALSE),"na")</f>
        <v>45228.269444444442</v>
      </c>
    </row>
    <row r="99" spans="1:12" x14ac:dyDescent="0.3">
      <c r="A99" s="1">
        <v>45214.816666666673</v>
      </c>
      <c r="B99" t="s">
        <v>94</v>
      </c>
      <c r="C99">
        <v>92</v>
      </c>
      <c r="D99" t="s">
        <v>10</v>
      </c>
      <c r="E99" t="str">
        <f>IFERROR(VLOOKUP(logos[[#This Row],[Cell_ID]],'registe maintenance'!A:B,2,FALSE)," non répertoriées")</f>
        <v xml:space="preserve"> non répertoriées</v>
      </c>
      <c r="F99" t="str">
        <f>IFERROR(VLOOKUP(logos[[#This Row],[Cell_ID]],'registe maintenance'!A:C,3,FALSE)," non répertoriées")</f>
        <v xml:space="preserve"> non répertoriées</v>
      </c>
      <c r="G99" t="str">
        <f>IFERROR(VLOOKUP(logos[[#This Row],[Cell_ID]],'registe maintenance'!A:D,4,FALSE)," non répertoriées")</f>
        <v xml:space="preserve"> non répertoriées</v>
      </c>
      <c r="H99" t="str">
        <f>IFERROR(VLOOKUP(logos[[#This Row],[Cell_ID]],'registe maintenance'!A:E,5,FALSE)," non répertoriées")</f>
        <v xml:space="preserve"> non répertoriées</v>
      </c>
      <c r="I99" t="str">
        <f>IFERROR(VLOOKUP(logos[[#This Row],[Cell_ID]],'registe maintenance'!A:F,6,FALSE)," non répertoriées")</f>
        <v xml:space="preserve"> non répertoriées</v>
      </c>
      <c r="J99">
        <f>IFERROR(VLOOKUP(B99,'logos transformer '!A:B,2,FALSE),"na")</f>
        <v>2</v>
      </c>
      <c r="K99">
        <f>IFERROR(VLOOKUP(B99,'logos transformer '!A:C,3,FALSE),"na")</f>
        <v>207</v>
      </c>
      <c r="L99" s="1">
        <f>IFERROR(VLOOKUP(B99,'logos transformer '!A:D,4,FALSE),"na")</f>
        <v>45214.816666666666</v>
      </c>
    </row>
    <row r="100" spans="1:12" x14ac:dyDescent="0.3">
      <c r="A100" s="1">
        <v>45230.004861111112</v>
      </c>
      <c r="B100" t="s">
        <v>95</v>
      </c>
      <c r="C100">
        <v>58</v>
      </c>
      <c r="D100" t="s">
        <v>5</v>
      </c>
      <c r="E100" t="str">
        <f>IFERROR(VLOOKUP(logos[[#This Row],[Cell_ID]],'registe maintenance'!A:B,2,FALSE)," non répertoriées")</f>
        <v>Lualaba</v>
      </c>
      <c r="F100">
        <f>IFERROR(VLOOKUP(logos[[#This Row],[Cell_ID]],'registe maintenance'!A:C,3,FALSE)," non répertoriées")</f>
        <v>-7.4608439999999998</v>
      </c>
      <c r="G100">
        <f>IFERROR(VLOOKUP(logos[[#This Row],[Cell_ID]],'registe maintenance'!A:D,4,FALSE)," non répertoriées")</f>
        <v>23.268619999999999</v>
      </c>
      <c r="H100" t="str">
        <f>IFERROR(VLOOKUP(logos[[#This Row],[Cell_ID]],'registe maintenance'!A:E,5,FALSE)," non répertoriées")</f>
        <v>4G</v>
      </c>
      <c r="I100" t="str">
        <f>IFERROR(VLOOKUP(logos[[#This Row],[Cell_ID]],'registe maintenance'!A:F,6,FALSE)," non répertoriées")</f>
        <v>Huawei</v>
      </c>
      <c r="J100">
        <f>IFERROR(VLOOKUP(B100,'logos transformer '!A:B,2,FALSE),"na")</f>
        <v>1</v>
      </c>
      <c r="K100">
        <f>IFERROR(VLOOKUP(B100,'logos transformer '!A:C,3,FALSE),"na")</f>
        <v>58</v>
      </c>
      <c r="L100" s="1">
        <f>IFERROR(VLOOKUP(B100,'logos transformer '!A:D,4,FALSE),"na")</f>
        <v>45230.004861111112</v>
      </c>
    </row>
    <row r="101" spans="1:12" x14ac:dyDescent="0.3">
      <c r="A101" s="1">
        <v>45228.34097222222</v>
      </c>
      <c r="B101" t="s">
        <v>96</v>
      </c>
      <c r="C101">
        <v>118</v>
      </c>
      <c r="D101" t="s">
        <v>10</v>
      </c>
      <c r="E101" t="str">
        <f>IFERROR(VLOOKUP(logos[[#This Row],[Cell_ID]],'registe maintenance'!A:B,2,FALSE)," non répertoriées")</f>
        <v xml:space="preserve"> non répertoriées</v>
      </c>
      <c r="F101" t="str">
        <f>IFERROR(VLOOKUP(logos[[#This Row],[Cell_ID]],'registe maintenance'!A:C,3,FALSE)," non répertoriées")</f>
        <v xml:space="preserve"> non répertoriées</v>
      </c>
      <c r="G101" t="str">
        <f>IFERROR(VLOOKUP(logos[[#This Row],[Cell_ID]],'registe maintenance'!A:D,4,FALSE)," non répertoriées")</f>
        <v xml:space="preserve"> non répertoriées</v>
      </c>
      <c r="H101" t="str">
        <f>IFERROR(VLOOKUP(logos[[#This Row],[Cell_ID]],'registe maintenance'!A:E,5,FALSE)," non répertoriées")</f>
        <v xml:space="preserve"> non répertoriées</v>
      </c>
      <c r="I101" t="str">
        <f>IFERROR(VLOOKUP(logos[[#This Row],[Cell_ID]],'registe maintenance'!A:F,6,FALSE)," non répertoriées")</f>
        <v xml:space="preserve"> non répertoriées</v>
      </c>
      <c r="J101">
        <f>IFERROR(VLOOKUP(B101,'logos transformer '!A:B,2,FALSE),"na")</f>
        <v>1</v>
      </c>
      <c r="K101">
        <f>IFERROR(VLOOKUP(B101,'logos transformer '!A:C,3,FALSE),"na")</f>
        <v>118</v>
      </c>
      <c r="L101" s="1">
        <f>IFERROR(VLOOKUP(B101,'logos transformer '!A:D,4,FALSE),"na")</f>
        <v>45228.34097222222</v>
      </c>
    </row>
    <row r="102" spans="1:12" x14ac:dyDescent="0.3">
      <c r="A102" s="1">
        <v>45218.334722222222</v>
      </c>
      <c r="B102" t="s">
        <v>97</v>
      </c>
      <c r="C102">
        <v>85</v>
      </c>
      <c r="D102" t="s">
        <v>10</v>
      </c>
      <c r="E102" t="str">
        <f>IFERROR(VLOOKUP(logos[[#This Row],[Cell_ID]],'registe maintenance'!A:B,2,FALSE)," non répertoriées")</f>
        <v xml:space="preserve"> non répertoriées</v>
      </c>
      <c r="F102" t="str">
        <f>IFERROR(VLOOKUP(logos[[#This Row],[Cell_ID]],'registe maintenance'!A:C,3,FALSE)," non répertoriées")</f>
        <v xml:space="preserve"> non répertoriées</v>
      </c>
      <c r="G102" t="str">
        <f>IFERROR(VLOOKUP(logos[[#This Row],[Cell_ID]],'registe maintenance'!A:D,4,FALSE)," non répertoriées")</f>
        <v xml:space="preserve"> non répertoriées</v>
      </c>
      <c r="H102" t="str">
        <f>IFERROR(VLOOKUP(logos[[#This Row],[Cell_ID]],'registe maintenance'!A:E,5,FALSE)," non répertoriées")</f>
        <v xml:space="preserve"> non répertoriées</v>
      </c>
      <c r="I102" t="str">
        <f>IFERROR(VLOOKUP(logos[[#This Row],[Cell_ID]],'registe maintenance'!A:F,6,FALSE)," non répertoriées")</f>
        <v xml:space="preserve"> non répertoriées</v>
      </c>
      <c r="J102">
        <f>IFERROR(VLOOKUP(B102,'logos transformer '!A:B,2,FALSE),"na")</f>
        <v>2</v>
      </c>
      <c r="K102">
        <f>IFERROR(VLOOKUP(B102,'logos transformer '!A:C,3,FALSE),"na")</f>
        <v>121</v>
      </c>
      <c r="L102" s="1">
        <f>IFERROR(VLOOKUP(B102,'logos transformer '!A:D,4,FALSE),"na")</f>
        <v>45225.129166666666</v>
      </c>
    </row>
    <row r="103" spans="1:12" x14ac:dyDescent="0.3">
      <c r="A103" s="1">
        <v>45203.810416666667</v>
      </c>
      <c r="B103" t="s">
        <v>98</v>
      </c>
      <c r="C103">
        <v>78</v>
      </c>
      <c r="D103" t="s">
        <v>10</v>
      </c>
      <c r="E103" t="str">
        <f>IFERROR(VLOOKUP(logos[[#This Row],[Cell_ID]],'registe maintenance'!A:B,2,FALSE)," non répertoriées")</f>
        <v xml:space="preserve"> non répertoriées</v>
      </c>
      <c r="F103" t="str">
        <f>IFERROR(VLOOKUP(logos[[#This Row],[Cell_ID]],'registe maintenance'!A:C,3,FALSE)," non répertoriées")</f>
        <v xml:space="preserve"> non répertoriées</v>
      </c>
      <c r="G103" t="str">
        <f>IFERROR(VLOOKUP(logos[[#This Row],[Cell_ID]],'registe maintenance'!A:D,4,FALSE)," non répertoriées")</f>
        <v xml:space="preserve"> non répertoriées</v>
      </c>
      <c r="H103" t="str">
        <f>IFERROR(VLOOKUP(logos[[#This Row],[Cell_ID]],'registe maintenance'!A:E,5,FALSE)," non répertoriées")</f>
        <v xml:space="preserve"> non répertoriées</v>
      </c>
      <c r="I103" t="str">
        <f>IFERROR(VLOOKUP(logos[[#This Row],[Cell_ID]],'registe maintenance'!A:F,6,FALSE)," non répertoriées")</f>
        <v xml:space="preserve"> non répertoriées</v>
      </c>
      <c r="J103">
        <f>IFERROR(VLOOKUP(B103,'logos transformer '!A:B,2,FALSE),"na")</f>
        <v>1</v>
      </c>
      <c r="K103">
        <f>IFERROR(VLOOKUP(B103,'logos transformer '!A:C,3,FALSE),"na")</f>
        <v>78</v>
      </c>
      <c r="L103" s="1">
        <f>IFERROR(VLOOKUP(B103,'logos transformer '!A:D,4,FALSE),"na")</f>
        <v>45203.810416666667</v>
      </c>
    </row>
    <row r="104" spans="1:12" x14ac:dyDescent="0.3">
      <c r="A104" s="1">
        <v>45211.993055555547</v>
      </c>
      <c r="B104" t="s">
        <v>99</v>
      </c>
      <c r="C104">
        <v>29</v>
      </c>
      <c r="D104" t="s">
        <v>8</v>
      </c>
      <c r="E104" t="str">
        <f>IFERROR(VLOOKUP(logos[[#This Row],[Cell_ID]],'registe maintenance'!A:B,2,FALSE)," non répertoriées")</f>
        <v xml:space="preserve"> non répertoriées</v>
      </c>
      <c r="F104" t="str">
        <f>IFERROR(VLOOKUP(logos[[#This Row],[Cell_ID]],'registe maintenance'!A:C,3,FALSE)," non répertoriées")</f>
        <v xml:space="preserve"> non répertoriées</v>
      </c>
      <c r="G104" t="str">
        <f>IFERROR(VLOOKUP(logos[[#This Row],[Cell_ID]],'registe maintenance'!A:D,4,FALSE)," non répertoriées")</f>
        <v xml:space="preserve"> non répertoriées</v>
      </c>
      <c r="H104" t="str">
        <f>IFERROR(VLOOKUP(logos[[#This Row],[Cell_ID]],'registe maintenance'!A:E,5,FALSE)," non répertoriées")</f>
        <v xml:space="preserve"> non répertoriées</v>
      </c>
      <c r="I104" t="str">
        <f>IFERROR(VLOOKUP(logos[[#This Row],[Cell_ID]],'registe maintenance'!A:F,6,FALSE)," non répertoriées")</f>
        <v xml:space="preserve"> non répertoriées</v>
      </c>
      <c r="J104">
        <f>IFERROR(VLOOKUP(B104,'logos transformer '!A:B,2,FALSE),"na")</f>
        <v>1</v>
      </c>
      <c r="K104">
        <f>IFERROR(VLOOKUP(B104,'logos transformer '!A:C,3,FALSE),"na")</f>
        <v>29</v>
      </c>
      <c r="L104" s="1">
        <f>IFERROR(VLOOKUP(B104,'logos transformer '!A:D,4,FALSE),"na")</f>
        <v>45211.993055555555</v>
      </c>
    </row>
    <row r="105" spans="1:12" x14ac:dyDescent="0.3">
      <c r="A105" s="1">
        <v>45210.568055555559</v>
      </c>
      <c r="B105" t="s">
        <v>100</v>
      </c>
      <c r="C105">
        <v>96</v>
      </c>
      <c r="D105" t="s">
        <v>5</v>
      </c>
      <c r="E105" t="str">
        <f>IFERROR(VLOOKUP(logos[[#This Row],[Cell_ID]],'registe maintenance'!A:B,2,FALSE)," non répertoriées")</f>
        <v>Kinshasa</v>
      </c>
      <c r="F105">
        <f>IFERROR(VLOOKUP(logos[[#This Row],[Cell_ID]],'registe maintenance'!A:C,3,FALSE)," non répertoriées")</f>
        <v>-5.4126279999999998</v>
      </c>
      <c r="G105">
        <f>IFERROR(VLOOKUP(logos[[#This Row],[Cell_ID]],'registe maintenance'!A:D,4,FALSE)," non répertoriées")</f>
        <v>25.498235999999999</v>
      </c>
      <c r="H105" t="str">
        <f>IFERROR(VLOOKUP(logos[[#This Row],[Cell_ID]],'registe maintenance'!A:E,5,FALSE)," non répertoriées")</f>
        <v>5G</v>
      </c>
      <c r="I105" t="str">
        <f>IFERROR(VLOOKUP(logos[[#This Row],[Cell_ID]],'registe maintenance'!A:F,6,FALSE)," non répertoriées")</f>
        <v>ZTE</v>
      </c>
      <c r="J105">
        <f>IFERROR(VLOOKUP(B105,'logos transformer '!A:B,2,FALSE),"na")</f>
        <v>1</v>
      </c>
      <c r="K105">
        <f>IFERROR(VLOOKUP(B105,'logos transformer '!A:C,3,FALSE),"na")</f>
        <v>96</v>
      </c>
      <c r="L105" s="1">
        <f>IFERROR(VLOOKUP(B105,'logos transformer '!A:D,4,FALSE),"na")</f>
        <v>45210.568055555559</v>
      </c>
    </row>
    <row r="106" spans="1:12" x14ac:dyDescent="0.3">
      <c r="A106" s="1">
        <v>45216.14166666667</v>
      </c>
      <c r="B106" t="s">
        <v>101</v>
      </c>
      <c r="C106">
        <v>94</v>
      </c>
      <c r="D106" t="s">
        <v>5</v>
      </c>
      <c r="E106" t="str">
        <f>IFERROR(VLOOKUP(logos[[#This Row],[Cell_ID]],'registe maintenance'!A:B,2,FALSE)," non répertoriées")</f>
        <v>Nord-Kivu</v>
      </c>
      <c r="F106">
        <f>IFERROR(VLOOKUP(logos[[#This Row],[Cell_ID]],'registe maintenance'!A:C,3,FALSE)," non répertoriées")</f>
        <v>1.8103860000000001</v>
      </c>
      <c r="G106">
        <f>IFERROR(VLOOKUP(logos[[#This Row],[Cell_ID]],'registe maintenance'!A:D,4,FALSE)," non répertoriées")</f>
        <v>15.175582</v>
      </c>
      <c r="H106" t="str">
        <f>IFERROR(VLOOKUP(logos[[#This Row],[Cell_ID]],'registe maintenance'!A:E,5,FALSE)," non répertoriées")</f>
        <v>3G</v>
      </c>
      <c r="I106" t="str">
        <f>IFERROR(VLOOKUP(logos[[#This Row],[Cell_ID]],'registe maintenance'!A:F,6,FALSE)," non répertoriées")</f>
        <v>Huawei</v>
      </c>
      <c r="J106">
        <f>IFERROR(VLOOKUP(B106,'logos transformer '!A:B,2,FALSE),"na")</f>
        <v>1</v>
      </c>
      <c r="K106">
        <f>IFERROR(VLOOKUP(B106,'logos transformer '!A:C,3,FALSE),"na")</f>
        <v>94</v>
      </c>
      <c r="L106" s="1">
        <f>IFERROR(VLOOKUP(B106,'logos transformer '!A:D,4,FALSE),"na")</f>
        <v>45216.14166666667</v>
      </c>
    </row>
    <row r="107" spans="1:12" x14ac:dyDescent="0.3">
      <c r="A107" s="1">
        <v>45228.758333333331</v>
      </c>
      <c r="B107" t="s">
        <v>102</v>
      </c>
      <c r="C107">
        <v>54</v>
      </c>
      <c r="D107" t="s">
        <v>5</v>
      </c>
      <c r="E107" t="str">
        <f>IFERROR(VLOOKUP(logos[[#This Row],[Cell_ID]],'registe maintenance'!A:B,2,FALSE)," non répertoriées")</f>
        <v xml:space="preserve"> non répertoriées</v>
      </c>
      <c r="F107" t="str">
        <f>IFERROR(VLOOKUP(logos[[#This Row],[Cell_ID]],'registe maintenance'!A:C,3,FALSE)," non répertoriées")</f>
        <v xml:space="preserve"> non répertoriées</v>
      </c>
      <c r="G107" t="str">
        <f>IFERROR(VLOOKUP(logos[[#This Row],[Cell_ID]],'registe maintenance'!A:D,4,FALSE)," non répertoriées")</f>
        <v xml:space="preserve"> non répertoriées</v>
      </c>
      <c r="H107" t="str">
        <f>IFERROR(VLOOKUP(logos[[#This Row],[Cell_ID]],'registe maintenance'!A:E,5,FALSE)," non répertoriées")</f>
        <v xml:space="preserve"> non répertoriées</v>
      </c>
      <c r="I107" t="str">
        <f>IFERROR(VLOOKUP(logos[[#This Row],[Cell_ID]],'registe maintenance'!A:F,6,FALSE)," non répertoriées")</f>
        <v xml:space="preserve"> non répertoriées</v>
      </c>
      <c r="J107">
        <f>IFERROR(VLOOKUP(B107,'logos transformer '!A:B,2,FALSE),"na")</f>
        <v>1</v>
      </c>
      <c r="K107">
        <f>IFERROR(VLOOKUP(B107,'logos transformer '!A:C,3,FALSE),"na")</f>
        <v>54</v>
      </c>
      <c r="L107" s="1">
        <f>IFERROR(VLOOKUP(B107,'logos transformer '!A:D,4,FALSE),"na")</f>
        <v>45228.758333333331</v>
      </c>
    </row>
    <row r="108" spans="1:12" x14ac:dyDescent="0.3">
      <c r="A108" s="1">
        <v>45208.072916666657</v>
      </c>
      <c r="B108" t="s">
        <v>103</v>
      </c>
      <c r="C108">
        <v>68</v>
      </c>
      <c r="D108" t="s">
        <v>5</v>
      </c>
      <c r="E108" t="str">
        <f>IFERROR(VLOOKUP(logos[[#This Row],[Cell_ID]],'registe maintenance'!A:B,2,FALSE)," non répertoriées")</f>
        <v>Nord-Kivu</v>
      </c>
      <c r="F108">
        <f>IFERROR(VLOOKUP(logos[[#This Row],[Cell_ID]],'registe maintenance'!A:C,3,FALSE)," non répertoriées")</f>
        <v>1.017161</v>
      </c>
      <c r="G108">
        <f>IFERROR(VLOOKUP(logos[[#This Row],[Cell_ID]],'registe maintenance'!A:D,4,FALSE)," non répertoriées")</f>
        <v>16.519689</v>
      </c>
      <c r="H108" t="str">
        <f>IFERROR(VLOOKUP(logos[[#This Row],[Cell_ID]],'registe maintenance'!A:E,5,FALSE)," non répertoriées")</f>
        <v>3G</v>
      </c>
      <c r="I108" t="str">
        <f>IFERROR(VLOOKUP(logos[[#This Row],[Cell_ID]],'registe maintenance'!A:F,6,FALSE)," non répertoriées")</f>
        <v>Nokia</v>
      </c>
      <c r="J108">
        <f>IFERROR(VLOOKUP(B108,'logos transformer '!A:B,2,FALSE),"na")</f>
        <v>2</v>
      </c>
      <c r="K108">
        <f>IFERROR(VLOOKUP(B108,'logos transformer '!A:C,3,FALSE),"na")</f>
        <v>153</v>
      </c>
      <c r="L108" s="1">
        <f>IFERROR(VLOOKUP(B108,'logos transformer '!A:D,4,FALSE),"na")</f>
        <v>45210.39166666667</v>
      </c>
    </row>
    <row r="109" spans="1:12" x14ac:dyDescent="0.3">
      <c r="A109" s="1">
        <v>45213.022916666669</v>
      </c>
      <c r="B109" t="s">
        <v>12</v>
      </c>
      <c r="C109">
        <v>56</v>
      </c>
      <c r="D109" t="s">
        <v>10</v>
      </c>
      <c r="E109" t="str">
        <f>IFERROR(VLOOKUP(logos[[#This Row],[Cell_ID]],'registe maintenance'!A:B,2,FALSE)," non répertoriées")</f>
        <v>Kongo-Central</v>
      </c>
      <c r="F109">
        <f>IFERROR(VLOOKUP(logos[[#This Row],[Cell_ID]],'registe maintenance'!A:C,3,FALSE)," non répertoriées")</f>
        <v>-2.8211520000000001</v>
      </c>
      <c r="G109">
        <f>IFERROR(VLOOKUP(logos[[#This Row],[Cell_ID]],'registe maintenance'!A:D,4,FALSE)," non répertoriées")</f>
        <v>20.651419000000001</v>
      </c>
      <c r="H109" t="str">
        <f>IFERROR(VLOOKUP(logos[[#This Row],[Cell_ID]],'registe maintenance'!A:E,5,FALSE)," non répertoriées")</f>
        <v>5G</v>
      </c>
      <c r="I109" t="str">
        <f>IFERROR(VLOOKUP(logos[[#This Row],[Cell_ID]],'registe maintenance'!A:F,6,FALSE)," non répertoriées")</f>
        <v>Ericsson</v>
      </c>
      <c r="J109">
        <f>IFERROR(VLOOKUP(B109,'logos transformer '!A:B,2,FALSE),"na")</f>
        <v>5</v>
      </c>
      <c r="K109">
        <f>IFERROR(VLOOKUP(B109,'logos transformer '!A:C,3,FALSE),"na")</f>
        <v>389</v>
      </c>
      <c r="L109" s="1">
        <f>IFERROR(VLOOKUP(B109,'logos transformer '!A:D,4,FALSE),"na")</f>
        <v>45219.476388888892</v>
      </c>
    </row>
    <row r="110" spans="1:12" x14ac:dyDescent="0.3">
      <c r="A110" s="1">
        <v>45229.738194444442</v>
      </c>
      <c r="B110" t="s">
        <v>104</v>
      </c>
      <c r="C110">
        <v>36</v>
      </c>
      <c r="D110" t="s">
        <v>8</v>
      </c>
      <c r="E110" t="str">
        <f>IFERROR(VLOOKUP(logos[[#This Row],[Cell_ID]],'registe maintenance'!A:B,2,FALSE)," non répertoriées")</f>
        <v>Lomami</v>
      </c>
      <c r="F110">
        <f>IFERROR(VLOOKUP(logos[[#This Row],[Cell_ID]],'registe maintenance'!A:C,3,FALSE)," non répertoriées")</f>
        <v>-11.218453999999999</v>
      </c>
      <c r="G110">
        <f>IFERROR(VLOOKUP(logos[[#This Row],[Cell_ID]],'registe maintenance'!A:D,4,FALSE)," non répertoriées")</f>
        <v>28.230025000000001</v>
      </c>
      <c r="H110" t="str">
        <f>IFERROR(VLOOKUP(logos[[#This Row],[Cell_ID]],'registe maintenance'!A:E,5,FALSE)," non répertoriées")</f>
        <v>5G</v>
      </c>
      <c r="I110" t="str">
        <f>IFERROR(VLOOKUP(logos[[#This Row],[Cell_ID]],'registe maintenance'!A:F,6,FALSE)," non répertoriées")</f>
        <v>ZTE</v>
      </c>
      <c r="J110">
        <f>IFERROR(VLOOKUP(B110,'logos transformer '!A:B,2,FALSE),"na")</f>
        <v>2</v>
      </c>
      <c r="K110">
        <f>IFERROR(VLOOKUP(B110,'logos transformer '!A:C,3,FALSE),"na")</f>
        <v>155</v>
      </c>
      <c r="L110" s="1">
        <f>IFERROR(VLOOKUP(B110,'logos transformer '!A:D,4,FALSE),"na")</f>
        <v>45229.738194444442</v>
      </c>
    </row>
    <row r="111" spans="1:12" x14ac:dyDescent="0.3">
      <c r="A111" s="1">
        <v>45223.990972222222</v>
      </c>
      <c r="B111" t="s">
        <v>105</v>
      </c>
      <c r="C111">
        <v>23</v>
      </c>
      <c r="D111" t="s">
        <v>5</v>
      </c>
      <c r="E111" t="str">
        <f>IFERROR(VLOOKUP(logos[[#This Row],[Cell_ID]],'registe maintenance'!A:B,2,FALSE)," non répertoriées")</f>
        <v>Sankuru</v>
      </c>
      <c r="F111">
        <f>IFERROR(VLOOKUP(logos[[#This Row],[Cell_ID]],'registe maintenance'!A:C,3,FALSE)," non répertoriées")</f>
        <v>-8.0922239999999999</v>
      </c>
      <c r="G111">
        <f>IFERROR(VLOOKUP(logos[[#This Row],[Cell_ID]],'registe maintenance'!A:D,4,FALSE)," non répertoriées")</f>
        <v>15.483708</v>
      </c>
      <c r="H111" t="str">
        <f>IFERROR(VLOOKUP(logos[[#This Row],[Cell_ID]],'registe maintenance'!A:E,5,FALSE)," non répertoriées")</f>
        <v>5G</v>
      </c>
      <c r="I111" t="str">
        <f>IFERROR(VLOOKUP(logos[[#This Row],[Cell_ID]],'registe maintenance'!A:F,6,FALSE)," non répertoriées")</f>
        <v>Nokia</v>
      </c>
      <c r="J111">
        <f>IFERROR(VLOOKUP(B111,'logos transformer '!A:B,2,FALSE),"na")</f>
        <v>1</v>
      </c>
      <c r="K111">
        <f>IFERROR(VLOOKUP(B111,'logos transformer '!A:C,3,FALSE),"na")</f>
        <v>23</v>
      </c>
      <c r="L111" s="1">
        <f>IFERROR(VLOOKUP(B111,'logos transformer '!A:D,4,FALSE),"na")</f>
        <v>45223.990972222222</v>
      </c>
    </row>
    <row r="112" spans="1:12" x14ac:dyDescent="0.3">
      <c r="A112" s="1">
        <v>45221.265972222223</v>
      </c>
      <c r="B112" t="s">
        <v>106</v>
      </c>
      <c r="C112">
        <v>88</v>
      </c>
      <c r="D112" t="s">
        <v>8</v>
      </c>
      <c r="E112" t="str">
        <f>IFERROR(VLOOKUP(logos[[#This Row],[Cell_ID]],'registe maintenance'!A:B,2,FALSE)," non répertoriées")</f>
        <v>Kinshasa</v>
      </c>
      <c r="F112">
        <f>IFERROR(VLOOKUP(logos[[#This Row],[Cell_ID]],'registe maintenance'!A:C,3,FALSE)," non répertoriées")</f>
        <v>-1.339734</v>
      </c>
      <c r="G112">
        <f>IFERROR(VLOOKUP(logos[[#This Row],[Cell_ID]],'registe maintenance'!A:D,4,FALSE)," non répertoriées")</f>
        <v>15.243098</v>
      </c>
      <c r="H112" t="str">
        <f>IFERROR(VLOOKUP(logos[[#This Row],[Cell_ID]],'registe maintenance'!A:E,5,FALSE)," non répertoriées")</f>
        <v>3G</v>
      </c>
      <c r="I112" t="str">
        <f>IFERROR(VLOOKUP(logos[[#This Row],[Cell_ID]],'registe maintenance'!A:F,6,FALSE)," non répertoriées")</f>
        <v>Nokia</v>
      </c>
      <c r="J112">
        <f>IFERROR(VLOOKUP(B112,'logos transformer '!A:B,2,FALSE),"na")</f>
        <v>1</v>
      </c>
      <c r="K112">
        <f>IFERROR(VLOOKUP(B112,'logos transformer '!A:C,3,FALSE),"na")</f>
        <v>88</v>
      </c>
      <c r="L112" s="1">
        <f>IFERROR(VLOOKUP(B112,'logos transformer '!A:D,4,FALSE),"na")</f>
        <v>45221.265972222223</v>
      </c>
    </row>
    <row r="113" spans="1:12" x14ac:dyDescent="0.3">
      <c r="A113" s="1">
        <v>45213.112500000003</v>
      </c>
      <c r="B113" t="s">
        <v>107</v>
      </c>
      <c r="C113">
        <v>93</v>
      </c>
      <c r="D113" t="s">
        <v>5</v>
      </c>
      <c r="E113" t="str">
        <f>IFERROR(VLOOKUP(logos[[#This Row],[Cell_ID]],'registe maintenance'!A:B,2,FALSE)," non répertoriées")</f>
        <v xml:space="preserve"> non répertoriées</v>
      </c>
      <c r="F113" t="str">
        <f>IFERROR(VLOOKUP(logos[[#This Row],[Cell_ID]],'registe maintenance'!A:C,3,FALSE)," non répertoriées")</f>
        <v xml:space="preserve"> non répertoriées</v>
      </c>
      <c r="G113" t="str">
        <f>IFERROR(VLOOKUP(logos[[#This Row],[Cell_ID]],'registe maintenance'!A:D,4,FALSE)," non répertoriées")</f>
        <v xml:space="preserve"> non répertoriées</v>
      </c>
      <c r="H113" t="str">
        <f>IFERROR(VLOOKUP(logos[[#This Row],[Cell_ID]],'registe maintenance'!A:E,5,FALSE)," non répertoriées")</f>
        <v xml:space="preserve"> non répertoriées</v>
      </c>
      <c r="I113" t="str">
        <f>IFERROR(VLOOKUP(logos[[#This Row],[Cell_ID]],'registe maintenance'!A:F,6,FALSE)," non répertoriées")</f>
        <v xml:space="preserve"> non répertoriées</v>
      </c>
      <c r="J113">
        <f>IFERROR(VLOOKUP(B113,'logos transformer '!A:B,2,FALSE),"na")</f>
        <v>3</v>
      </c>
      <c r="K113">
        <f>IFERROR(VLOOKUP(B113,'logos transformer '!A:C,3,FALSE),"na")</f>
        <v>303</v>
      </c>
      <c r="L113" s="1">
        <f>IFERROR(VLOOKUP(B113,'logos transformer '!A:D,4,FALSE),"na")</f>
        <v>45220.96875</v>
      </c>
    </row>
    <row r="114" spans="1:12" x14ac:dyDescent="0.3">
      <c r="A114" s="1">
        <v>45229.443749999999</v>
      </c>
      <c r="B114" t="s">
        <v>108</v>
      </c>
      <c r="C114">
        <v>5</v>
      </c>
      <c r="D114" t="s">
        <v>5</v>
      </c>
      <c r="E114" t="str">
        <f>IFERROR(VLOOKUP(logos[[#This Row],[Cell_ID]],'registe maintenance'!A:B,2,FALSE)," non répertoriées")</f>
        <v>Kasai-Central</v>
      </c>
      <c r="F114">
        <f>IFERROR(VLOOKUP(logos[[#This Row],[Cell_ID]],'registe maintenance'!A:C,3,FALSE)," non répertoriées")</f>
        <v>-6.6803710000000001</v>
      </c>
      <c r="G114">
        <f>IFERROR(VLOOKUP(logos[[#This Row],[Cell_ID]],'registe maintenance'!A:D,4,FALSE)," non répertoriées")</f>
        <v>21.955673000000001</v>
      </c>
      <c r="H114" t="str">
        <f>IFERROR(VLOOKUP(logos[[#This Row],[Cell_ID]],'registe maintenance'!A:E,5,FALSE)," non répertoriées")</f>
        <v>4G</v>
      </c>
      <c r="I114" t="str">
        <f>IFERROR(VLOOKUP(logos[[#This Row],[Cell_ID]],'registe maintenance'!A:F,6,FALSE)," non répertoriées")</f>
        <v>Nokia</v>
      </c>
      <c r="J114">
        <f>IFERROR(VLOOKUP(B114,'logos transformer '!A:B,2,FALSE),"na")</f>
        <v>1</v>
      </c>
      <c r="K114">
        <f>IFERROR(VLOOKUP(B114,'logos transformer '!A:C,3,FALSE),"na")</f>
        <v>5</v>
      </c>
      <c r="L114" s="1">
        <f>IFERROR(VLOOKUP(B114,'logos transformer '!A:D,4,FALSE),"na")</f>
        <v>45229.443749999999</v>
      </c>
    </row>
    <row r="115" spans="1:12" x14ac:dyDescent="0.3">
      <c r="A115" s="1">
        <v>45210.912499999999</v>
      </c>
      <c r="B115" t="s">
        <v>109</v>
      </c>
      <c r="C115">
        <v>119</v>
      </c>
      <c r="D115" t="s">
        <v>10</v>
      </c>
      <c r="E115" t="str">
        <f>IFERROR(VLOOKUP(logos[[#This Row],[Cell_ID]],'registe maintenance'!A:B,2,FALSE)," non répertoriées")</f>
        <v xml:space="preserve"> non répertoriées</v>
      </c>
      <c r="F115" t="str">
        <f>IFERROR(VLOOKUP(logos[[#This Row],[Cell_ID]],'registe maintenance'!A:C,3,FALSE)," non répertoriées")</f>
        <v xml:space="preserve"> non répertoriées</v>
      </c>
      <c r="G115" t="str">
        <f>IFERROR(VLOOKUP(logos[[#This Row],[Cell_ID]],'registe maintenance'!A:D,4,FALSE)," non répertoriées")</f>
        <v xml:space="preserve"> non répertoriées</v>
      </c>
      <c r="H115" t="str">
        <f>IFERROR(VLOOKUP(logos[[#This Row],[Cell_ID]],'registe maintenance'!A:E,5,FALSE)," non répertoriées")</f>
        <v xml:space="preserve"> non répertoriées</v>
      </c>
      <c r="I115" t="str">
        <f>IFERROR(VLOOKUP(logos[[#This Row],[Cell_ID]],'registe maintenance'!A:F,6,FALSE)," non répertoriées")</f>
        <v xml:space="preserve"> non répertoriées</v>
      </c>
      <c r="J115">
        <f>IFERROR(VLOOKUP(B115,'logos transformer '!A:B,2,FALSE),"na")</f>
        <v>2</v>
      </c>
      <c r="K115">
        <f>IFERROR(VLOOKUP(B115,'logos transformer '!A:C,3,FALSE),"na")</f>
        <v>129</v>
      </c>
      <c r="L115" s="1">
        <f>IFERROR(VLOOKUP(B115,'logos transformer '!A:D,4,FALSE),"na")</f>
        <v>45220.792361111111</v>
      </c>
    </row>
    <row r="116" spans="1:12" x14ac:dyDescent="0.3">
      <c r="A116" s="1">
        <v>45203.997916666667</v>
      </c>
      <c r="B116" t="s">
        <v>110</v>
      </c>
      <c r="C116">
        <v>101</v>
      </c>
      <c r="D116" t="s">
        <v>10</v>
      </c>
      <c r="E116" t="str">
        <f>IFERROR(VLOOKUP(logos[[#This Row],[Cell_ID]],'registe maintenance'!A:B,2,FALSE)," non répertoriées")</f>
        <v>Nord-Kivu</v>
      </c>
      <c r="F116">
        <f>IFERROR(VLOOKUP(logos[[#This Row],[Cell_ID]],'registe maintenance'!A:C,3,FALSE)," non répertoriées")</f>
        <v>-6.3148239999999998</v>
      </c>
      <c r="G116">
        <f>IFERROR(VLOOKUP(logos[[#This Row],[Cell_ID]],'registe maintenance'!A:D,4,FALSE)," non répertoriées")</f>
        <v>24.507498999999999</v>
      </c>
      <c r="H116" t="str">
        <f>IFERROR(VLOOKUP(logos[[#This Row],[Cell_ID]],'registe maintenance'!A:E,5,FALSE)," non répertoriées")</f>
        <v>3G</v>
      </c>
      <c r="I116" t="str">
        <f>IFERROR(VLOOKUP(logos[[#This Row],[Cell_ID]],'registe maintenance'!A:F,6,FALSE)," non répertoriées")</f>
        <v>ZTE</v>
      </c>
      <c r="J116">
        <f>IFERROR(VLOOKUP(B116,'logos transformer '!A:B,2,FALSE),"na")</f>
        <v>1</v>
      </c>
      <c r="K116">
        <f>IFERROR(VLOOKUP(B116,'logos transformer '!A:C,3,FALSE),"na")</f>
        <v>101</v>
      </c>
      <c r="L116" s="1">
        <f>IFERROR(VLOOKUP(B116,'logos transformer '!A:D,4,FALSE),"na")</f>
        <v>45203.997916666667</v>
      </c>
    </row>
    <row r="117" spans="1:12" x14ac:dyDescent="0.3">
      <c r="A117" s="1">
        <v>45209.679861111108</v>
      </c>
      <c r="B117" t="s">
        <v>111</v>
      </c>
      <c r="C117">
        <v>115</v>
      </c>
      <c r="D117" t="s">
        <v>10</v>
      </c>
      <c r="E117" t="str">
        <f>IFERROR(VLOOKUP(logos[[#This Row],[Cell_ID]],'registe maintenance'!A:B,2,FALSE)," non répertoriées")</f>
        <v xml:space="preserve"> non répertoriées</v>
      </c>
      <c r="F117" t="str">
        <f>IFERROR(VLOOKUP(logos[[#This Row],[Cell_ID]],'registe maintenance'!A:C,3,FALSE)," non répertoriées")</f>
        <v xml:space="preserve"> non répertoriées</v>
      </c>
      <c r="G117" t="str">
        <f>IFERROR(VLOOKUP(logos[[#This Row],[Cell_ID]],'registe maintenance'!A:D,4,FALSE)," non répertoriées")</f>
        <v xml:space="preserve"> non répertoriées</v>
      </c>
      <c r="H117" t="str">
        <f>IFERROR(VLOOKUP(logos[[#This Row],[Cell_ID]],'registe maintenance'!A:E,5,FALSE)," non répertoriées")</f>
        <v xml:space="preserve"> non répertoriées</v>
      </c>
      <c r="I117" t="str">
        <f>IFERROR(VLOOKUP(logos[[#This Row],[Cell_ID]],'registe maintenance'!A:F,6,FALSE)," non répertoriées")</f>
        <v xml:space="preserve"> non répertoriées</v>
      </c>
      <c r="J117">
        <f>IFERROR(VLOOKUP(B117,'logos transformer '!A:B,2,FALSE),"na")</f>
        <v>2</v>
      </c>
      <c r="K117">
        <f>IFERROR(VLOOKUP(B117,'logos transformer '!A:C,3,FALSE),"na")</f>
        <v>213</v>
      </c>
      <c r="L117" s="1">
        <f>IFERROR(VLOOKUP(B117,'logos transformer '!A:D,4,FALSE),"na")</f>
        <v>45228.01458333333</v>
      </c>
    </row>
    <row r="118" spans="1:12" x14ac:dyDescent="0.3">
      <c r="A118" s="1">
        <v>45221.555555555547</v>
      </c>
      <c r="B118" t="s">
        <v>112</v>
      </c>
      <c r="C118">
        <v>103</v>
      </c>
      <c r="D118" t="s">
        <v>8</v>
      </c>
      <c r="E118" t="str">
        <f>IFERROR(VLOOKUP(logos[[#This Row],[Cell_ID]],'registe maintenance'!A:B,2,FALSE)," non répertoriées")</f>
        <v xml:space="preserve"> non répertoriées</v>
      </c>
      <c r="F118" t="str">
        <f>IFERROR(VLOOKUP(logos[[#This Row],[Cell_ID]],'registe maintenance'!A:C,3,FALSE)," non répertoriées")</f>
        <v xml:space="preserve"> non répertoriées</v>
      </c>
      <c r="G118" t="str">
        <f>IFERROR(VLOOKUP(logos[[#This Row],[Cell_ID]],'registe maintenance'!A:D,4,FALSE)," non répertoriées")</f>
        <v xml:space="preserve"> non répertoriées</v>
      </c>
      <c r="H118" t="str">
        <f>IFERROR(VLOOKUP(logos[[#This Row],[Cell_ID]],'registe maintenance'!A:E,5,FALSE)," non répertoriées")</f>
        <v xml:space="preserve"> non répertoriées</v>
      </c>
      <c r="I118" t="str">
        <f>IFERROR(VLOOKUP(logos[[#This Row],[Cell_ID]],'registe maintenance'!A:F,6,FALSE)," non répertoriées")</f>
        <v xml:space="preserve"> non répertoriées</v>
      </c>
      <c r="J118">
        <f>IFERROR(VLOOKUP(B118,'logos transformer '!A:B,2,FALSE),"na")</f>
        <v>2</v>
      </c>
      <c r="K118">
        <f>IFERROR(VLOOKUP(B118,'logos transformer '!A:C,3,FALSE),"na")</f>
        <v>148</v>
      </c>
      <c r="L118" s="1">
        <f>IFERROR(VLOOKUP(B118,'logos transformer '!A:D,4,FALSE),"na")</f>
        <v>45227.775694444441</v>
      </c>
    </row>
    <row r="119" spans="1:12" x14ac:dyDescent="0.3">
      <c r="A119" s="1">
        <v>45212.929166666669</v>
      </c>
      <c r="B119" t="s">
        <v>113</v>
      </c>
      <c r="C119">
        <v>118</v>
      </c>
      <c r="D119" t="s">
        <v>10</v>
      </c>
      <c r="E119" t="str">
        <f>IFERROR(VLOOKUP(logos[[#This Row],[Cell_ID]],'registe maintenance'!A:B,2,FALSE)," non répertoriées")</f>
        <v xml:space="preserve"> non répertoriées</v>
      </c>
      <c r="F119" t="str">
        <f>IFERROR(VLOOKUP(logos[[#This Row],[Cell_ID]],'registe maintenance'!A:C,3,FALSE)," non répertoriées")</f>
        <v xml:space="preserve"> non répertoriées</v>
      </c>
      <c r="G119" t="str">
        <f>IFERROR(VLOOKUP(logos[[#This Row],[Cell_ID]],'registe maintenance'!A:D,4,FALSE)," non répertoriées")</f>
        <v xml:space="preserve"> non répertoriées</v>
      </c>
      <c r="H119" t="str">
        <f>IFERROR(VLOOKUP(logos[[#This Row],[Cell_ID]],'registe maintenance'!A:E,5,FALSE)," non répertoriées")</f>
        <v xml:space="preserve"> non répertoriées</v>
      </c>
      <c r="I119" t="str">
        <f>IFERROR(VLOOKUP(logos[[#This Row],[Cell_ID]],'registe maintenance'!A:F,6,FALSE)," non répertoriées")</f>
        <v xml:space="preserve"> non répertoriées</v>
      </c>
      <c r="J119">
        <f>IFERROR(VLOOKUP(B119,'logos transformer '!A:B,2,FALSE),"na")</f>
        <v>1</v>
      </c>
      <c r="K119">
        <f>IFERROR(VLOOKUP(B119,'logos transformer '!A:C,3,FALSE),"na")</f>
        <v>118</v>
      </c>
      <c r="L119" s="1">
        <f>IFERROR(VLOOKUP(B119,'logos transformer '!A:D,4,FALSE),"na")</f>
        <v>45212.929166666669</v>
      </c>
    </row>
    <row r="120" spans="1:12" x14ac:dyDescent="0.3">
      <c r="A120" s="1">
        <v>45217.175000000003</v>
      </c>
      <c r="B120" t="s">
        <v>114</v>
      </c>
      <c r="C120">
        <v>18</v>
      </c>
      <c r="D120" t="s">
        <v>10</v>
      </c>
      <c r="E120" t="str">
        <f>IFERROR(VLOOKUP(logos[[#This Row],[Cell_ID]],'registe maintenance'!A:B,2,FALSE)," non répertoriées")</f>
        <v>Sud-Kivu</v>
      </c>
      <c r="F120">
        <f>IFERROR(VLOOKUP(logos[[#This Row],[Cell_ID]],'registe maintenance'!A:C,3,FALSE)," non répertoriées")</f>
        <v>-9.4702129999999993</v>
      </c>
      <c r="G120">
        <f>IFERROR(VLOOKUP(logos[[#This Row],[Cell_ID]],'registe maintenance'!A:D,4,FALSE)," non répertoriées")</f>
        <v>12.826158</v>
      </c>
      <c r="H120" t="str">
        <f>IFERROR(VLOOKUP(logos[[#This Row],[Cell_ID]],'registe maintenance'!A:E,5,FALSE)," non répertoriées")</f>
        <v>3G</v>
      </c>
      <c r="I120" t="str">
        <f>IFERROR(VLOOKUP(logos[[#This Row],[Cell_ID]],'registe maintenance'!A:F,6,FALSE)," non répertoriées")</f>
        <v>Ericsson</v>
      </c>
      <c r="J120">
        <f>IFERROR(VLOOKUP(B120,'logos transformer '!A:B,2,FALSE),"na")</f>
        <v>3</v>
      </c>
      <c r="K120">
        <f>IFERROR(VLOOKUP(B120,'logos transformer '!A:C,3,FALSE),"na")</f>
        <v>164</v>
      </c>
      <c r="L120" s="1">
        <f>IFERROR(VLOOKUP(B120,'logos transformer '!A:D,4,FALSE),"na")</f>
        <v>45218.007638888892</v>
      </c>
    </row>
    <row r="121" spans="1:12" x14ac:dyDescent="0.3">
      <c r="A121" s="1">
        <v>45213.89166666667</v>
      </c>
      <c r="B121" t="s">
        <v>115</v>
      </c>
      <c r="C121">
        <v>104</v>
      </c>
      <c r="D121" t="s">
        <v>5</v>
      </c>
      <c r="E121" t="str">
        <f>IFERROR(VLOOKUP(logos[[#This Row],[Cell_ID]],'registe maintenance'!A:B,2,FALSE)," non répertoriées")</f>
        <v xml:space="preserve"> non répertoriées</v>
      </c>
      <c r="F121" t="str">
        <f>IFERROR(VLOOKUP(logos[[#This Row],[Cell_ID]],'registe maintenance'!A:C,3,FALSE)," non répertoriées")</f>
        <v xml:space="preserve"> non répertoriées</v>
      </c>
      <c r="G121" t="str">
        <f>IFERROR(VLOOKUP(logos[[#This Row],[Cell_ID]],'registe maintenance'!A:D,4,FALSE)," non répertoriées")</f>
        <v xml:space="preserve"> non répertoriées</v>
      </c>
      <c r="H121" t="str">
        <f>IFERROR(VLOOKUP(logos[[#This Row],[Cell_ID]],'registe maintenance'!A:E,5,FALSE)," non répertoriées")</f>
        <v xml:space="preserve"> non répertoriées</v>
      </c>
      <c r="I121" t="str">
        <f>IFERROR(VLOOKUP(logos[[#This Row],[Cell_ID]],'registe maintenance'!A:F,6,FALSE)," non répertoriées")</f>
        <v xml:space="preserve"> non répertoriées</v>
      </c>
      <c r="J121">
        <f>IFERROR(VLOOKUP(B121,'logos transformer '!A:B,2,FALSE),"na")</f>
        <v>2</v>
      </c>
      <c r="K121">
        <f>IFERROR(VLOOKUP(B121,'logos transformer '!A:C,3,FALSE),"na")</f>
        <v>120</v>
      </c>
      <c r="L121" s="1">
        <f>IFERROR(VLOOKUP(B121,'logos transformer '!A:D,4,FALSE),"na")</f>
        <v>45213.89166666667</v>
      </c>
    </row>
    <row r="122" spans="1:12" x14ac:dyDescent="0.3">
      <c r="A122" s="1">
        <v>45221.997916666667</v>
      </c>
      <c r="B122" t="s">
        <v>116</v>
      </c>
      <c r="C122">
        <v>59</v>
      </c>
      <c r="D122" t="s">
        <v>5</v>
      </c>
      <c r="E122" t="str">
        <f>IFERROR(VLOOKUP(logos[[#This Row],[Cell_ID]],'registe maintenance'!A:B,2,FALSE)," non répertoriées")</f>
        <v xml:space="preserve"> non répertoriées</v>
      </c>
      <c r="F122" t="str">
        <f>IFERROR(VLOOKUP(logos[[#This Row],[Cell_ID]],'registe maintenance'!A:C,3,FALSE)," non répertoriées")</f>
        <v xml:space="preserve"> non répertoriées</v>
      </c>
      <c r="G122" t="str">
        <f>IFERROR(VLOOKUP(logos[[#This Row],[Cell_ID]],'registe maintenance'!A:D,4,FALSE)," non répertoriées")</f>
        <v xml:space="preserve"> non répertoriées</v>
      </c>
      <c r="H122" t="str">
        <f>IFERROR(VLOOKUP(logos[[#This Row],[Cell_ID]],'registe maintenance'!A:E,5,FALSE)," non répertoriées")</f>
        <v xml:space="preserve"> non répertoriées</v>
      </c>
      <c r="I122" t="str">
        <f>IFERROR(VLOOKUP(logos[[#This Row],[Cell_ID]],'registe maintenance'!A:F,6,FALSE)," non répertoriées")</f>
        <v xml:space="preserve"> non répertoriées</v>
      </c>
      <c r="J122">
        <f>IFERROR(VLOOKUP(B122,'logos transformer '!A:B,2,FALSE),"na")</f>
        <v>3</v>
      </c>
      <c r="K122">
        <f>IFERROR(VLOOKUP(B122,'logos transformer '!A:C,3,FALSE),"na")</f>
        <v>221</v>
      </c>
      <c r="L122" s="1">
        <f>IFERROR(VLOOKUP(B122,'logos transformer '!A:D,4,FALSE),"na")</f>
        <v>45222.107638888891</v>
      </c>
    </row>
    <row r="123" spans="1:12" x14ac:dyDescent="0.3">
      <c r="A123" s="1">
        <v>45205.816666666673</v>
      </c>
      <c r="B123" t="s">
        <v>117</v>
      </c>
      <c r="C123">
        <v>33</v>
      </c>
      <c r="D123" t="s">
        <v>10</v>
      </c>
      <c r="E123" t="str">
        <f>IFERROR(VLOOKUP(logos[[#This Row],[Cell_ID]],'registe maintenance'!A:B,2,FALSE)," non répertoriées")</f>
        <v xml:space="preserve"> non répertoriées</v>
      </c>
      <c r="F123" t="str">
        <f>IFERROR(VLOOKUP(logos[[#This Row],[Cell_ID]],'registe maintenance'!A:C,3,FALSE)," non répertoriées")</f>
        <v xml:space="preserve"> non répertoriées</v>
      </c>
      <c r="G123" t="str">
        <f>IFERROR(VLOOKUP(logos[[#This Row],[Cell_ID]],'registe maintenance'!A:D,4,FALSE)," non répertoriées")</f>
        <v xml:space="preserve"> non répertoriées</v>
      </c>
      <c r="H123" t="str">
        <f>IFERROR(VLOOKUP(logos[[#This Row],[Cell_ID]],'registe maintenance'!A:E,5,FALSE)," non répertoriées")</f>
        <v xml:space="preserve"> non répertoriées</v>
      </c>
      <c r="I123" t="str">
        <f>IFERROR(VLOOKUP(logos[[#This Row],[Cell_ID]],'registe maintenance'!A:F,6,FALSE)," non répertoriées")</f>
        <v xml:space="preserve"> non répertoriées</v>
      </c>
      <c r="J123">
        <f>IFERROR(VLOOKUP(B123,'logos transformer '!A:B,2,FALSE),"na")</f>
        <v>1</v>
      </c>
      <c r="K123">
        <f>IFERROR(VLOOKUP(B123,'logos transformer '!A:C,3,FALSE),"na")</f>
        <v>33</v>
      </c>
      <c r="L123" s="1">
        <f>IFERROR(VLOOKUP(B123,'logos transformer '!A:D,4,FALSE),"na")</f>
        <v>45205.816666666666</v>
      </c>
    </row>
    <row r="124" spans="1:12" x14ac:dyDescent="0.3">
      <c r="A124" s="1">
        <v>45209.524305555547</v>
      </c>
      <c r="B124" t="s">
        <v>118</v>
      </c>
      <c r="C124">
        <v>27</v>
      </c>
      <c r="D124" t="s">
        <v>10</v>
      </c>
      <c r="E124" t="str">
        <f>IFERROR(VLOOKUP(logos[[#This Row],[Cell_ID]],'registe maintenance'!A:B,2,FALSE)," non répertoriées")</f>
        <v>Kwilu</v>
      </c>
      <c r="F124">
        <f>IFERROR(VLOOKUP(logos[[#This Row],[Cell_ID]],'registe maintenance'!A:C,3,FALSE)," non répertoriées")</f>
        <v>2.4741019999999998</v>
      </c>
      <c r="G124">
        <f>IFERROR(VLOOKUP(logos[[#This Row],[Cell_ID]],'registe maintenance'!A:D,4,FALSE)," non répertoriées")</f>
        <v>29.297391000000001</v>
      </c>
      <c r="H124" t="str">
        <f>IFERROR(VLOOKUP(logos[[#This Row],[Cell_ID]],'registe maintenance'!A:E,5,FALSE)," non répertoriées")</f>
        <v>4G</v>
      </c>
      <c r="I124" t="str">
        <f>IFERROR(VLOOKUP(logos[[#This Row],[Cell_ID]],'registe maintenance'!A:F,6,FALSE)," non répertoriées")</f>
        <v>Ericsson</v>
      </c>
      <c r="J124">
        <f>IFERROR(VLOOKUP(B124,'logos transformer '!A:B,2,FALSE),"na")</f>
        <v>3</v>
      </c>
      <c r="K124">
        <f>IFERROR(VLOOKUP(B124,'logos transformer '!A:C,3,FALSE),"na")</f>
        <v>217</v>
      </c>
      <c r="L124" s="1">
        <f>IFERROR(VLOOKUP(B124,'logos transformer '!A:D,4,FALSE),"na")</f>
        <v>45221.167361111111</v>
      </c>
    </row>
    <row r="125" spans="1:12" x14ac:dyDescent="0.3">
      <c r="A125" s="1">
        <v>45226.013194444437</v>
      </c>
      <c r="B125" t="s">
        <v>119</v>
      </c>
      <c r="C125">
        <v>107</v>
      </c>
      <c r="D125" t="s">
        <v>8</v>
      </c>
      <c r="E125" t="str">
        <f>IFERROR(VLOOKUP(logos[[#This Row],[Cell_ID]],'registe maintenance'!A:B,2,FALSE)," non répertoriées")</f>
        <v xml:space="preserve"> non répertoriées</v>
      </c>
      <c r="F125" t="str">
        <f>IFERROR(VLOOKUP(logos[[#This Row],[Cell_ID]],'registe maintenance'!A:C,3,FALSE)," non répertoriées")</f>
        <v xml:space="preserve"> non répertoriées</v>
      </c>
      <c r="G125" t="str">
        <f>IFERROR(VLOOKUP(logos[[#This Row],[Cell_ID]],'registe maintenance'!A:D,4,FALSE)," non répertoriées")</f>
        <v xml:space="preserve"> non répertoriées</v>
      </c>
      <c r="H125" t="str">
        <f>IFERROR(VLOOKUP(logos[[#This Row],[Cell_ID]],'registe maintenance'!A:E,5,FALSE)," non répertoriées")</f>
        <v xml:space="preserve"> non répertoriées</v>
      </c>
      <c r="I125" t="str">
        <f>IFERROR(VLOOKUP(logos[[#This Row],[Cell_ID]],'registe maintenance'!A:F,6,FALSE)," non répertoriées")</f>
        <v xml:space="preserve"> non répertoriées</v>
      </c>
      <c r="J125">
        <f>IFERROR(VLOOKUP(B125,'logos transformer '!A:B,2,FALSE),"na")</f>
        <v>4</v>
      </c>
      <c r="K125">
        <f>IFERROR(VLOOKUP(B125,'logos transformer '!A:C,3,FALSE),"na")</f>
        <v>329</v>
      </c>
      <c r="L125" s="1">
        <f>IFERROR(VLOOKUP(B125,'logos transformer '!A:D,4,FALSE),"na")</f>
        <v>45226.013194444444</v>
      </c>
    </row>
    <row r="126" spans="1:12" x14ac:dyDescent="0.3">
      <c r="A126" s="1">
        <v>45209.268750000003</v>
      </c>
      <c r="B126" t="s">
        <v>120</v>
      </c>
      <c r="C126">
        <v>94</v>
      </c>
      <c r="D126" t="s">
        <v>8</v>
      </c>
      <c r="E126" t="str">
        <f>IFERROR(VLOOKUP(logos[[#This Row],[Cell_ID]],'registe maintenance'!A:B,2,FALSE)," non répertoriées")</f>
        <v xml:space="preserve"> non répertoriées</v>
      </c>
      <c r="F126" t="str">
        <f>IFERROR(VLOOKUP(logos[[#This Row],[Cell_ID]],'registe maintenance'!A:C,3,FALSE)," non répertoriées")</f>
        <v xml:space="preserve"> non répertoriées</v>
      </c>
      <c r="G126" t="str">
        <f>IFERROR(VLOOKUP(logos[[#This Row],[Cell_ID]],'registe maintenance'!A:D,4,FALSE)," non répertoriées")</f>
        <v xml:space="preserve"> non répertoriées</v>
      </c>
      <c r="H126" t="str">
        <f>IFERROR(VLOOKUP(logos[[#This Row],[Cell_ID]],'registe maintenance'!A:E,5,FALSE)," non répertoriées")</f>
        <v xml:space="preserve"> non répertoriées</v>
      </c>
      <c r="I126" t="str">
        <f>IFERROR(VLOOKUP(logos[[#This Row],[Cell_ID]],'registe maintenance'!A:F,6,FALSE)," non répertoriées")</f>
        <v xml:space="preserve"> non répertoriées</v>
      </c>
      <c r="J126">
        <f>IFERROR(VLOOKUP(B126,'logos transformer '!A:B,2,FALSE),"na")</f>
        <v>2</v>
      </c>
      <c r="K126">
        <f>IFERROR(VLOOKUP(B126,'logos transformer '!A:C,3,FALSE),"na")</f>
        <v>207</v>
      </c>
      <c r="L126" s="1">
        <f>IFERROR(VLOOKUP(B126,'logos transformer '!A:D,4,FALSE),"na")</f>
        <v>45209.268750000003</v>
      </c>
    </row>
    <row r="127" spans="1:12" x14ac:dyDescent="0.3">
      <c r="A127" s="1">
        <v>45225.776388888888</v>
      </c>
      <c r="B127" t="s">
        <v>69</v>
      </c>
      <c r="C127">
        <v>71</v>
      </c>
      <c r="D127" t="s">
        <v>5</v>
      </c>
      <c r="E127" t="str">
        <f>IFERROR(VLOOKUP(logos[[#This Row],[Cell_ID]],'registe maintenance'!A:B,2,FALSE)," non répertoriées")</f>
        <v>Nord-Kivu</v>
      </c>
      <c r="F127">
        <f>IFERROR(VLOOKUP(logos[[#This Row],[Cell_ID]],'registe maintenance'!A:C,3,FALSE)," non répertoriées")</f>
        <v>0.82868600000000003</v>
      </c>
      <c r="G127">
        <f>IFERROR(VLOOKUP(logos[[#This Row],[Cell_ID]],'registe maintenance'!A:D,4,FALSE)," non répertoriées")</f>
        <v>26.958843999999999</v>
      </c>
      <c r="H127" t="str">
        <f>IFERROR(VLOOKUP(logos[[#This Row],[Cell_ID]],'registe maintenance'!A:E,5,FALSE)," non répertoriées")</f>
        <v>5G</v>
      </c>
      <c r="I127" t="str">
        <f>IFERROR(VLOOKUP(logos[[#This Row],[Cell_ID]],'registe maintenance'!A:F,6,FALSE)," non répertoriées")</f>
        <v>ZTE</v>
      </c>
      <c r="J127">
        <f>IFERROR(VLOOKUP(B127,'logos transformer '!A:B,2,FALSE),"na")</f>
        <v>5</v>
      </c>
      <c r="K127">
        <f>IFERROR(VLOOKUP(B127,'logos transformer '!A:C,3,FALSE),"na")</f>
        <v>385</v>
      </c>
      <c r="L127" s="1">
        <f>IFERROR(VLOOKUP(B127,'logos transformer '!A:D,4,FALSE),"na")</f>
        <v>45229.065972222219</v>
      </c>
    </row>
    <row r="128" spans="1:12" x14ac:dyDescent="0.3">
      <c r="A128" s="1">
        <v>45220.436805555553</v>
      </c>
      <c r="B128" t="s">
        <v>64</v>
      </c>
      <c r="C128">
        <v>64</v>
      </c>
      <c r="D128" t="s">
        <v>8</v>
      </c>
      <c r="E128" t="str">
        <f>IFERROR(VLOOKUP(logos[[#This Row],[Cell_ID]],'registe maintenance'!A:B,2,FALSE)," non répertoriées")</f>
        <v>Haut-Katanga</v>
      </c>
      <c r="F128">
        <f>IFERROR(VLOOKUP(logos[[#This Row],[Cell_ID]],'registe maintenance'!A:C,3,FALSE)," non répertoriées")</f>
        <v>-5.5445120000000001</v>
      </c>
      <c r="G128">
        <f>IFERROR(VLOOKUP(logos[[#This Row],[Cell_ID]],'registe maintenance'!A:D,4,FALSE)," non répertoriées")</f>
        <v>27.547335</v>
      </c>
      <c r="H128" t="str">
        <f>IFERROR(VLOOKUP(logos[[#This Row],[Cell_ID]],'registe maintenance'!A:E,5,FALSE)," non répertoriées")</f>
        <v>4G</v>
      </c>
      <c r="I128" t="str">
        <f>IFERROR(VLOOKUP(logos[[#This Row],[Cell_ID]],'registe maintenance'!A:F,6,FALSE)," non répertoriées")</f>
        <v>Ericsson</v>
      </c>
      <c r="J128">
        <f>IFERROR(VLOOKUP(B128,'logos transformer '!A:B,2,FALSE),"na")</f>
        <v>4</v>
      </c>
      <c r="K128">
        <f>IFERROR(VLOOKUP(B128,'logos transformer '!A:C,3,FALSE),"na")</f>
        <v>222</v>
      </c>
      <c r="L128" s="1">
        <f>IFERROR(VLOOKUP(B128,'logos transformer '!A:D,4,FALSE),"na")</f>
        <v>45225.712500000001</v>
      </c>
    </row>
    <row r="129" spans="1:12" x14ac:dyDescent="0.3">
      <c r="A129" s="1">
        <v>45214.613194444442</v>
      </c>
      <c r="B129" t="s">
        <v>121</v>
      </c>
      <c r="C129">
        <v>11</v>
      </c>
      <c r="D129" t="s">
        <v>10</v>
      </c>
      <c r="E129" t="str">
        <f>IFERROR(VLOOKUP(logos[[#This Row],[Cell_ID]],'registe maintenance'!A:B,2,FALSE)," non répertoriées")</f>
        <v xml:space="preserve"> non répertoriées</v>
      </c>
      <c r="F129" t="str">
        <f>IFERROR(VLOOKUP(logos[[#This Row],[Cell_ID]],'registe maintenance'!A:C,3,FALSE)," non répertoriées")</f>
        <v xml:space="preserve"> non répertoriées</v>
      </c>
      <c r="G129" t="str">
        <f>IFERROR(VLOOKUP(logos[[#This Row],[Cell_ID]],'registe maintenance'!A:D,4,FALSE)," non répertoriées")</f>
        <v xml:space="preserve"> non répertoriées</v>
      </c>
      <c r="H129" t="str">
        <f>IFERROR(VLOOKUP(logos[[#This Row],[Cell_ID]],'registe maintenance'!A:E,5,FALSE)," non répertoriées")</f>
        <v xml:space="preserve"> non répertoriées</v>
      </c>
      <c r="I129" t="str">
        <f>IFERROR(VLOOKUP(logos[[#This Row],[Cell_ID]],'registe maintenance'!A:F,6,FALSE)," non répertoriées")</f>
        <v xml:space="preserve"> non répertoriées</v>
      </c>
      <c r="J129">
        <f>IFERROR(VLOOKUP(B129,'logos transformer '!A:B,2,FALSE),"na")</f>
        <v>2</v>
      </c>
      <c r="K129">
        <f>IFERROR(VLOOKUP(B129,'logos transformer '!A:C,3,FALSE),"na")</f>
        <v>78</v>
      </c>
      <c r="L129" s="1">
        <f>IFERROR(VLOOKUP(B129,'logos transformer '!A:D,4,FALSE),"na")</f>
        <v>45215.479166666664</v>
      </c>
    </row>
    <row r="130" spans="1:12" x14ac:dyDescent="0.3">
      <c r="A130" s="1">
        <v>45206.6875</v>
      </c>
      <c r="B130" t="s">
        <v>122</v>
      </c>
      <c r="C130">
        <v>76</v>
      </c>
      <c r="D130" t="s">
        <v>10</v>
      </c>
      <c r="E130" t="str">
        <f>IFERROR(VLOOKUP(logos[[#This Row],[Cell_ID]],'registe maintenance'!A:B,2,FALSE)," non répertoriées")</f>
        <v>Haut-Uele</v>
      </c>
      <c r="F130">
        <f>IFERROR(VLOOKUP(logos[[#This Row],[Cell_ID]],'registe maintenance'!A:C,3,FALSE)," non répertoriées")</f>
        <v>-12.100756000000001</v>
      </c>
      <c r="G130">
        <f>IFERROR(VLOOKUP(logos[[#This Row],[Cell_ID]],'registe maintenance'!A:D,4,FALSE)," non répertoriées")</f>
        <v>21.938649999999999</v>
      </c>
      <c r="H130" t="str">
        <f>IFERROR(VLOOKUP(logos[[#This Row],[Cell_ID]],'registe maintenance'!A:E,5,FALSE)," non répertoriées")</f>
        <v>4G</v>
      </c>
      <c r="I130" t="str">
        <f>IFERROR(VLOOKUP(logos[[#This Row],[Cell_ID]],'registe maintenance'!A:F,6,FALSE)," non répertoriées")</f>
        <v>Huawei</v>
      </c>
      <c r="J130">
        <f>IFERROR(VLOOKUP(B130,'logos transformer '!A:B,2,FALSE),"na")</f>
        <v>2</v>
      </c>
      <c r="K130">
        <f>IFERROR(VLOOKUP(B130,'logos transformer '!A:C,3,FALSE),"na")</f>
        <v>100</v>
      </c>
      <c r="L130" s="1">
        <f>IFERROR(VLOOKUP(B130,'logos transformer '!A:D,4,FALSE),"na")</f>
        <v>45216.693749999999</v>
      </c>
    </row>
    <row r="131" spans="1:12" x14ac:dyDescent="0.3">
      <c r="A131" s="1">
        <v>45225.965277777781</v>
      </c>
      <c r="B131" t="s">
        <v>123</v>
      </c>
      <c r="C131">
        <v>36</v>
      </c>
      <c r="D131" t="s">
        <v>5</v>
      </c>
      <c r="E131" t="str">
        <f>IFERROR(VLOOKUP(logos[[#This Row],[Cell_ID]],'registe maintenance'!A:B,2,FALSE)," non répertoriées")</f>
        <v>Tanganyika</v>
      </c>
      <c r="F131">
        <f>IFERROR(VLOOKUP(logos[[#This Row],[Cell_ID]],'registe maintenance'!A:C,3,FALSE)," non répertoriées")</f>
        <v>-9.002459</v>
      </c>
      <c r="G131">
        <f>IFERROR(VLOOKUP(logos[[#This Row],[Cell_ID]],'registe maintenance'!A:D,4,FALSE)," non répertoriées")</f>
        <v>25.182109000000001</v>
      </c>
      <c r="H131" t="str">
        <f>IFERROR(VLOOKUP(logos[[#This Row],[Cell_ID]],'registe maintenance'!A:E,5,FALSE)," non répertoriées")</f>
        <v>5G</v>
      </c>
      <c r="I131" t="str">
        <f>IFERROR(VLOOKUP(logos[[#This Row],[Cell_ID]],'registe maintenance'!A:F,6,FALSE)," non répertoriées")</f>
        <v>Huawei</v>
      </c>
      <c r="J131">
        <f>IFERROR(VLOOKUP(B131,'logos transformer '!A:B,2,FALSE),"na")</f>
        <v>2</v>
      </c>
      <c r="K131">
        <f>IFERROR(VLOOKUP(B131,'logos transformer '!A:C,3,FALSE),"na")</f>
        <v>64</v>
      </c>
      <c r="L131" s="1">
        <f>IFERROR(VLOOKUP(B131,'logos transformer '!A:D,4,FALSE),"na")</f>
        <v>45225.965277777781</v>
      </c>
    </row>
    <row r="132" spans="1:12" x14ac:dyDescent="0.3">
      <c r="A132" s="1">
        <v>45221.095833333333</v>
      </c>
      <c r="B132" t="s">
        <v>124</v>
      </c>
      <c r="C132">
        <v>113</v>
      </c>
      <c r="D132" t="s">
        <v>10</v>
      </c>
      <c r="E132" t="str">
        <f>IFERROR(VLOOKUP(logos[[#This Row],[Cell_ID]],'registe maintenance'!A:B,2,FALSE)," non répertoriées")</f>
        <v xml:space="preserve"> non répertoriées</v>
      </c>
      <c r="F132" t="str">
        <f>IFERROR(VLOOKUP(logos[[#This Row],[Cell_ID]],'registe maintenance'!A:C,3,FALSE)," non répertoriées")</f>
        <v xml:space="preserve"> non répertoriées</v>
      </c>
      <c r="G132" t="str">
        <f>IFERROR(VLOOKUP(logos[[#This Row],[Cell_ID]],'registe maintenance'!A:D,4,FALSE)," non répertoriées")</f>
        <v xml:space="preserve"> non répertoriées</v>
      </c>
      <c r="H132" t="str">
        <f>IFERROR(VLOOKUP(logos[[#This Row],[Cell_ID]],'registe maintenance'!A:E,5,FALSE)," non répertoriées")</f>
        <v xml:space="preserve"> non répertoriées</v>
      </c>
      <c r="I132" t="str">
        <f>IFERROR(VLOOKUP(logos[[#This Row],[Cell_ID]],'registe maintenance'!A:F,6,FALSE)," non répertoriées")</f>
        <v xml:space="preserve"> non répertoriées</v>
      </c>
      <c r="J132">
        <f>IFERROR(VLOOKUP(B132,'logos transformer '!A:B,2,FALSE),"na")</f>
        <v>2</v>
      </c>
      <c r="K132">
        <f>IFERROR(VLOOKUP(B132,'logos transformer '!A:C,3,FALSE),"na")</f>
        <v>154</v>
      </c>
      <c r="L132" s="1">
        <f>IFERROR(VLOOKUP(B132,'logos transformer '!A:D,4,FALSE),"na")</f>
        <v>45221.095833333333</v>
      </c>
    </row>
    <row r="133" spans="1:12" x14ac:dyDescent="0.3">
      <c r="A133" s="1">
        <v>45216.902777777781</v>
      </c>
      <c r="B133" t="s">
        <v>125</v>
      </c>
      <c r="C133">
        <v>20</v>
      </c>
      <c r="D133" t="s">
        <v>10</v>
      </c>
      <c r="E133" t="str">
        <f>IFERROR(VLOOKUP(logos[[#This Row],[Cell_ID]],'registe maintenance'!A:B,2,FALSE)," non répertoriées")</f>
        <v>Kwilu</v>
      </c>
      <c r="F133">
        <f>IFERROR(VLOOKUP(logos[[#This Row],[Cell_ID]],'registe maintenance'!A:C,3,FALSE)," non répertoriées")</f>
        <v>-4.2408359999999998</v>
      </c>
      <c r="G133">
        <f>IFERROR(VLOOKUP(logos[[#This Row],[Cell_ID]],'registe maintenance'!A:D,4,FALSE)," non répertoriées")</f>
        <v>26.210014000000001</v>
      </c>
      <c r="H133" t="str">
        <f>IFERROR(VLOOKUP(logos[[#This Row],[Cell_ID]],'registe maintenance'!A:E,5,FALSE)," non répertoriées")</f>
        <v>4G</v>
      </c>
      <c r="I133" t="str">
        <f>IFERROR(VLOOKUP(logos[[#This Row],[Cell_ID]],'registe maintenance'!A:F,6,FALSE)," non répertoriées")</f>
        <v>Huawei</v>
      </c>
      <c r="J133">
        <f>IFERROR(VLOOKUP(B133,'logos transformer '!A:B,2,FALSE),"na")</f>
        <v>1</v>
      </c>
      <c r="K133">
        <f>IFERROR(VLOOKUP(B133,'logos transformer '!A:C,3,FALSE),"na")</f>
        <v>20</v>
      </c>
      <c r="L133" s="1">
        <f>IFERROR(VLOOKUP(B133,'logos transformer '!A:D,4,FALSE),"na")</f>
        <v>45216.902777777781</v>
      </c>
    </row>
    <row r="134" spans="1:12" x14ac:dyDescent="0.3">
      <c r="A134" s="1">
        <v>45219.420138888891</v>
      </c>
      <c r="B134" t="s">
        <v>126</v>
      </c>
      <c r="C134">
        <v>63</v>
      </c>
      <c r="D134" t="s">
        <v>10</v>
      </c>
      <c r="E134" t="str">
        <f>IFERROR(VLOOKUP(logos[[#This Row],[Cell_ID]],'registe maintenance'!A:B,2,FALSE)," non répertoriées")</f>
        <v>Lomami</v>
      </c>
      <c r="F134">
        <f>IFERROR(VLOOKUP(logos[[#This Row],[Cell_ID]],'registe maintenance'!A:C,3,FALSE)," non répertoriées")</f>
        <v>-9.9875139999999991</v>
      </c>
      <c r="G134">
        <f>IFERROR(VLOOKUP(logos[[#This Row],[Cell_ID]],'registe maintenance'!A:D,4,FALSE)," non répertoriées")</f>
        <v>12.013676999999999</v>
      </c>
      <c r="H134" t="str">
        <f>IFERROR(VLOOKUP(logos[[#This Row],[Cell_ID]],'registe maintenance'!A:E,5,FALSE)," non répertoriées")</f>
        <v>3G</v>
      </c>
      <c r="I134" t="str">
        <f>IFERROR(VLOOKUP(logos[[#This Row],[Cell_ID]],'registe maintenance'!A:F,6,FALSE)," non répertoriées")</f>
        <v>ZTE</v>
      </c>
      <c r="J134">
        <f>IFERROR(VLOOKUP(B134,'logos transformer '!A:B,2,FALSE),"na")</f>
        <v>1</v>
      </c>
      <c r="K134">
        <f>IFERROR(VLOOKUP(B134,'logos transformer '!A:C,3,FALSE),"na")</f>
        <v>63</v>
      </c>
      <c r="L134" s="1">
        <f>IFERROR(VLOOKUP(B134,'logos transformer '!A:D,4,FALSE),"na")</f>
        <v>45219.420138888891</v>
      </c>
    </row>
    <row r="135" spans="1:12" x14ac:dyDescent="0.3">
      <c r="A135" s="1">
        <v>45226.321527777778</v>
      </c>
      <c r="B135" t="s">
        <v>127</v>
      </c>
      <c r="C135">
        <v>22</v>
      </c>
      <c r="D135" t="s">
        <v>10</v>
      </c>
      <c r="E135" t="str">
        <f>IFERROR(VLOOKUP(logos[[#This Row],[Cell_ID]],'registe maintenance'!A:B,2,FALSE)," non répertoriées")</f>
        <v>Nord-Kivu</v>
      </c>
      <c r="F135">
        <f>IFERROR(VLOOKUP(logos[[#This Row],[Cell_ID]],'registe maintenance'!A:C,3,FALSE)," non répertoriées")</f>
        <v>-10.25074</v>
      </c>
      <c r="G135">
        <f>IFERROR(VLOOKUP(logos[[#This Row],[Cell_ID]],'registe maintenance'!A:D,4,FALSE)," non répertoriées")</f>
        <v>26.099086</v>
      </c>
      <c r="H135" t="str">
        <f>IFERROR(VLOOKUP(logos[[#This Row],[Cell_ID]],'registe maintenance'!A:E,5,FALSE)," non répertoriées")</f>
        <v>4G</v>
      </c>
      <c r="I135" t="str">
        <f>IFERROR(VLOOKUP(logos[[#This Row],[Cell_ID]],'registe maintenance'!A:F,6,FALSE)," non répertoriées")</f>
        <v>Huawei</v>
      </c>
      <c r="J135">
        <f>IFERROR(VLOOKUP(B135,'logos transformer '!A:B,2,FALSE),"na")</f>
        <v>5</v>
      </c>
      <c r="K135">
        <f>IFERROR(VLOOKUP(B135,'logos transformer '!A:C,3,FALSE),"na")</f>
        <v>237</v>
      </c>
      <c r="L135" s="1">
        <f>IFERROR(VLOOKUP(B135,'logos transformer '!A:D,4,FALSE),"na")</f>
        <v>45227.92291666667</v>
      </c>
    </row>
    <row r="136" spans="1:12" x14ac:dyDescent="0.3">
      <c r="A136" s="1">
        <v>45209.32708333333</v>
      </c>
      <c r="B136" t="s">
        <v>128</v>
      </c>
      <c r="C136">
        <v>107</v>
      </c>
      <c r="D136" t="s">
        <v>8</v>
      </c>
      <c r="E136" t="str">
        <f>IFERROR(VLOOKUP(logos[[#This Row],[Cell_ID]],'registe maintenance'!A:B,2,FALSE)," non répertoriées")</f>
        <v>Equateur</v>
      </c>
      <c r="F136">
        <f>IFERROR(VLOOKUP(logos[[#This Row],[Cell_ID]],'registe maintenance'!A:C,3,FALSE)," non répertoriées")</f>
        <v>-5.0402180000000003</v>
      </c>
      <c r="G136">
        <f>IFERROR(VLOOKUP(logos[[#This Row],[Cell_ID]],'registe maintenance'!A:D,4,FALSE)," non répertoriées")</f>
        <v>13.892471</v>
      </c>
      <c r="H136" t="str">
        <f>IFERROR(VLOOKUP(logos[[#This Row],[Cell_ID]],'registe maintenance'!A:E,5,FALSE)," non répertoriées")</f>
        <v>3G</v>
      </c>
      <c r="I136" t="str">
        <f>IFERROR(VLOOKUP(logos[[#This Row],[Cell_ID]],'registe maintenance'!A:F,6,FALSE)," non répertoriées")</f>
        <v>ZTE</v>
      </c>
      <c r="J136">
        <f>IFERROR(VLOOKUP(B136,'logos transformer '!A:B,2,FALSE),"na")</f>
        <v>1</v>
      </c>
      <c r="K136">
        <f>IFERROR(VLOOKUP(B136,'logos transformer '!A:C,3,FALSE),"na")</f>
        <v>107</v>
      </c>
      <c r="L136" s="1">
        <f>IFERROR(VLOOKUP(B136,'logos transformer '!A:D,4,FALSE),"na")</f>
        <v>45209.32708333333</v>
      </c>
    </row>
    <row r="137" spans="1:12" x14ac:dyDescent="0.3">
      <c r="A137" s="1">
        <v>45206.167361111111</v>
      </c>
      <c r="B137" t="s">
        <v>129</v>
      </c>
      <c r="C137">
        <v>64</v>
      </c>
      <c r="D137" t="s">
        <v>8</v>
      </c>
      <c r="E137" t="str">
        <f>IFERROR(VLOOKUP(logos[[#This Row],[Cell_ID]],'registe maintenance'!A:B,2,FALSE)," non répertoriées")</f>
        <v>Ituri</v>
      </c>
      <c r="F137">
        <f>IFERROR(VLOOKUP(logos[[#This Row],[Cell_ID]],'registe maintenance'!A:C,3,FALSE)," non répertoriées")</f>
        <v>0.24202000000000001</v>
      </c>
      <c r="G137">
        <f>IFERROR(VLOOKUP(logos[[#This Row],[Cell_ID]],'registe maintenance'!A:D,4,FALSE)," non répertoriées")</f>
        <v>17.396256999999999</v>
      </c>
      <c r="H137" t="str">
        <f>IFERROR(VLOOKUP(logos[[#This Row],[Cell_ID]],'registe maintenance'!A:E,5,FALSE)," non répertoriées")</f>
        <v>4G</v>
      </c>
      <c r="I137" t="str">
        <f>IFERROR(VLOOKUP(logos[[#This Row],[Cell_ID]],'registe maintenance'!A:F,6,FALSE)," non répertoriées")</f>
        <v>Huawei</v>
      </c>
      <c r="J137">
        <f>IFERROR(VLOOKUP(B137,'logos transformer '!A:B,2,FALSE),"na")</f>
        <v>1</v>
      </c>
      <c r="K137">
        <f>IFERROR(VLOOKUP(B137,'logos transformer '!A:C,3,FALSE),"na")</f>
        <v>64</v>
      </c>
      <c r="L137" s="1">
        <f>IFERROR(VLOOKUP(B137,'logos transformer '!A:D,4,FALSE),"na")</f>
        <v>45206.167361111111</v>
      </c>
    </row>
    <row r="138" spans="1:12" x14ac:dyDescent="0.3">
      <c r="A138" s="1">
        <v>45201.3125</v>
      </c>
      <c r="B138" t="s">
        <v>130</v>
      </c>
      <c r="C138">
        <v>90</v>
      </c>
      <c r="D138" t="s">
        <v>8</v>
      </c>
      <c r="E138" t="str">
        <f>IFERROR(VLOOKUP(logos[[#This Row],[Cell_ID]],'registe maintenance'!A:B,2,FALSE)," non répertoriées")</f>
        <v>Kasai-Oriental</v>
      </c>
      <c r="F138">
        <f>IFERROR(VLOOKUP(logos[[#This Row],[Cell_ID]],'registe maintenance'!A:C,3,FALSE)," non répertoriées")</f>
        <v>-12.333232000000001</v>
      </c>
      <c r="G138">
        <f>IFERROR(VLOOKUP(logos[[#This Row],[Cell_ID]],'registe maintenance'!A:D,4,FALSE)," non répertoriées")</f>
        <v>25.229620000000001</v>
      </c>
      <c r="H138" t="str">
        <f>IFERROR(VLOOKUP(logos[[#This Row],[Cell_ID]],'registe maintenance'!A:E,5,FALSE)," non répertoriées")</f>
        <v>5G</v>
      </c>
      <c r="I138" t="str">
        <f>IFERROR(VLOOKUP(logos[[#This Row],[Cell_ID]],'registe maintenance'!A:F,6,FALSE)," non répertoriées")</f>
        <v>Nokia</v>
      </c>
      <c r="J138">
        <f>IFERROR(VLOOKUP(B138,'logos transformer '!A:B,2,FALSE),"na")</f>
        <v>1</v>
      </c>
      <c r="K138">
        <f>IFERROR(VLOOKUP(B138,'logos transformer '!A:C,3,FALSE),"na")</f>
        <v>90</v>
      </c>
      <c r="L138" s="1">
        <f>IFERROR(VLOOKUP(B138,'logos transformer '!A:D,4,FALSE),"na")</f>
        <v>45201.3125</v>
      </c>
    </row>
    <row r="139" spans="1:12" x14ac:dyDescent="0.3">
      <c r="A139" s="1">
        <v>45219.103472222218</v>
      </c>
      <c r="B139" t="s">
        <v>131</v>
      </c>
      <c r="C139">
        <v>72</v>
      </c>
      <c r="D139" t="s">
        <v>8</v>
      </c>
      <c r="E139" t="str">
        <f>IFERROR(VLOOKUP(logos[[#This Row],[Cell_ID]],'registe maintenance'!A:B,2,FALSE)," non répertoriées")</f>
        <v>Lomami</v>
      </c>
      <c r="F139">
        <f>IFERROR(VLOOKUP(logos[[#This Row],[Cell_ID]],'registe maintenance'!A:C,3,FALSE)," non répertoriées")</f>
        <v>-5.7035130000000001</v>
      </c>
      <c r="G139">
        <f>IFERROR(VLOOKUP(logos[[#This Row],[Cell_ID]],'registe maintenance'!A:D,4,FALSE)," non répertoriées")</f>
        <v>14.331479</v>
      </c>
      <c r="H139" t="str">
        <f>IFERROR(VLOOKUP(logos[[#This Row],[Cell_ID]],'registe maintenance'!A:E,5,FALSE)," non répertoriées")</f>
        <v>5G</v>
      </c>
      <c r="I139" t="str">
        <f>IFERROR(VLOOKUP(logos[[#This Row],[Cell_ID]],'registe maintenance'!A:F,6,FALSE)," non répertoriées")</f>
        <v>Nokia</v>
      </c>
      <c r="J139">
        <f>IFERROR(VLOOKUP(B139,'logos transformer '!A:B,2,FALSE),"na")</f>
        <v>2</v>
      </c>
      <c r="K139">
        <f>IFERROR(VLOOKUP(B139,'logos transformer '!A:C,3,FALSE),"na")</f>
        <v>111</v>
      </c>
      <c r="L139" s="1">
        <f>IFERROR(VLOOKUP(B139,'logos transformer '!A:D,4,FALSE),"na")</f>
        <v>45230.228472222225</v>
      </c>
    </row>
    <row r="140" spans="1:12" x14ac:dyDescent="0.3">
      <c r="A140" s="1">
        <v>45200.51458333333</v>
      </c>
      <c r="B140" t="s">
        <v>132</v>
      </c>
      <c r="C140">
        <v>24</v>
      </c>
      <c r="D140" t="s">
        <v>10</v>
      </c>
      <c r="E140" t="str">
        <f>IFERROR(VLOOKUP(logos[[#This Row],[Cell_ID]],'registe maintenance'!A:B,2,FALSE)," non répertoriées")</f>
        <v>Tshuapa</v>
      </c>
      <c r="F140">
        <f>IFERROR(VLOOKUP(logos[[#This Row],[Cell_ID]],'registe maintenance'!A:C,3,FALSE)," non répertoriées")</f>
        <v>-11.622688999999999</v>
      </c>
      <c r="G140">
        <f>IFERROR(VLOOKUP(logos[[#This Row],[Cell_ID]],'registe maintenance'!A:D,4,FALSE)," non répertoriées")</f>
        <v>18.483874</v>
      </c>
      <c r="H140" t="str">
        <f>IFERROR(VLOOKUP(logos[[#This Row],[Cell_ID]],'registe maintenance'!A:E,5,FALSE)," non répertoriées")</f>
        <v>5G</v>
      </c>
      <c r="I140" t="str">
        <f>IFERROR(VLOOKUP(logos[[#This Row],[Cell_ID]],'registe maintenance'!A:F,6,FALSE)," non répertoriées")</f>
        <v>ZTE</v>
      </c>
      <c r="J140">
        <f>IFERROR(VLOOKUP(B140,'logos transformer '!A:B,2,FALSE),"na")</f>
        <v>2</v>
      </c>
      <c r="K140">
        <f>IFERROR(VLOOKUP(B140,'logos transformer '!A:C,3,FALSE),"na")</f>
        <v>104</v>
      </c>
      <c r="L140" s="1">
        <f>IFERROR(VLOOKUP(B140,'logos transformer '!A:D,4,FALSE),"na")</f>
        <v>45216.701388888891</v>
      </c>
    </row>
    <row r="141" spans="1:12" x14ac:dyDescent="0.3">
      <c r="A141" s="1">
        <v>45221.910416666673</v>
      </c>
      <c r="B141" t="s">
        <v>133</v>
      </c>
      <c r="C141">
        <v>60</v>
      </c>
      <c r="D141" t="s">
        <v>8</v>
      </c>
      <c r="E141" t="str">
        <f>IFERROR(VLOOKUP(logos[[#This Row],[Cell_ID]],'registe maintenance'!A:B,2,FALSE)," non répertoriées")</f>
        <v>Kasai-Central</v>
      </c>
      <c r="F141">
        <f>IFERROR(VLOOKUP(logos[[#This Row],[Cell_ID]],'registe maintenance'!A:C,3,FALSE)," non répertoriées")</f>
        <v>-10.414493</v>
      </c>
      <c r="G141">
        <f>IFERROR(VLOOKUP(logos[[#This Row],[Cell_ID]],'registe maintenance'!A:D,4,FALSE)," non répertoriées")</f>
        <v>12.333356999999999</v>
      </c>
      <c r="H141" t="str">
        <f>IFERROR(VLOOKUP(logos[[#This Row],[Cell_ID]],'registe maintenance'!A:E,5,FALSE)," non répertoriées")</f>
        <v>3G</v>
      </c>
      <c r="I141" t="str">
        <f>IFERROR(VLOOKUP(logos[[#This Row],[Cell_ID]],'registe maintenance'!A:F,6,FALSE)," non répertoriées")</f>
        <v>Ericsson</v>
      </c>
      <c r="J141">
        <f>IFERROR(VLOOKUP(B141,'logos transformer '!A:B,2,FALSE),"na")</f>
        <v>4</v>
      </c>
      <c r="K141">
        <f>IFERROR(VLOOKUP(B141,'logos transformer '!A:C,3,FALSE),"na")</f>
        <v>273</v>
      </c>
      <c r="L141" s="1">
        <f>IFERROR(VLOOKUP(B141,'logos transformer '!A:D,4,FALSE),"na")</f>
        <v>45221.910416666666</v>
      </c>
    </row>
    <row r="142" spans="1:12" x14ac:dyDescent="0.3">
      <c r="A142" s="1">
        <v>45212.965277777781</v>
      </c>
      <c r="B142" t="s">
        <v>134</v>
      </c>
      <c r="C142">
        <v>27</v>
      </c>
      <c r="D142" t="s">
        <v>10</v>
      </c>
      <c r="E142" t="str">
        <f>IFERROR(VLOOKUP(logos[[#This Row],[Cell_ID]],'registe maintenance'!A:B,2,FALSE)," non répertoriées")</f>
        <v>Kongo-Central</v>
      </c>
      <c r="F142">
        <f>IFERROR(VLOOKUP(logos[[#This Row],[Cell_ID]],'registe maintenance'!A:C,3,FALSE)," non répertoriées")</f>
        <v>0.79124300000000003</v>
      </c>
      <c r="G142">
        <f>IFERROR(VLOOKUP(logos[[#This Row],[Cell_ID]],'registe maintenance'!A:D,4,FALSE)," non répertoriées")</f>
        <v>25.273389000000002</v>
      </c>
      <c r="H142" t="str">
        <f>IFERROR(VLOOKUP(logos[[#This Row],[Cell_ID]],'registe maintenance'!A:E,5,FALSE)," non répertoriées")</f>
        <v>4G</v>
      </c>
      <c r="I142" t="str">
        <f>IFERROR(VLOOKUP(logos[[#This Row],[Cell_ID]],'registe maintenance'!A:F,6,FALSE)," non répertoriées")</f>
        <v>Nokia</v>
      </c>
      <c r="J142">
        <f>IFERROR(VLOOKUP(B142,'logos transformer '!A:B,2,FALSE),"na")</f>
        <v>1</v>
      </c>
      <c r="K142">
        <f>IFERROR(VLOOKUP(B142,'logos transformer '!A:C,3,FALSE),"na")</f>
        <v>27</v>
      </c>
      <c r="L142" s="1">
        <f>IFERROR(VLOOKUP(B142,'logos transformer '!A:D,4,FALSE),"na")</f>
        <v>45212.965277777781</v>
      </c>
    </row>
    <row r="143" spans="1:12" x14ac:dyDescent="0.3">
      <c r="A143" s="1">
        <v>45226.623611111107</v>
      </c>
      <c r="B143" t="s">
        <v>135</v>
      </c>
      <c r="C143">
        <v>98</v>
      </c>
      <c r="D143" t="s">
        <v>10</v>
      </c>
      <c r="E143" t="str">
        <f>IFERROR(VLOOKUP(logos[[#This Row],[Cell_ID]],'registe maintenance'!A:B,2,FALSE)," non répertoriées")</f>
        <v>Nord-Ubangi</v>
      </c>
      <c r="F143">
        <f>IFERROR(VLOOKUP(logos[[#This Row],[Cell_ID]],'registe maintenance'!A:C,3,FALSE)," non répertoriées")</f>
        <v>-7.9987219999999999</v>
      </c>
      <c r="G143">
        <f>IFERROR(VLOOKUP(logos[[#This Row],[Cell_ID]],'registe maintenance'!A:D,4,FALSE)," non répertoriées")</f>
        <v>12.779335</v>
      </c>
      <c r="H143" t="str">
        <f>IFERROR(VLOOKUP(logos[[#This Row],[Cell_ID]],'registe maintenance'!A:E,5,FALSE)," non répertoriées")</f>
        <v>5G</v>
      </c>
      <c r="I143" t="str">
        <f>IFERROR(VLOOKUP(logos[[#This Row],[Cell_ID]],'registe maintenance'!A:F,6,FALSE)," non répertoriées")</f>
        <v>Nokia</v>
      </c>
      <c r="J143">
        <f>IFERROR(VLOOKUP(B143,'logos transformer '!A:B,2,FALSE),"na")</f>
        <v>2</v>
      </c>
      <c r="K143">
        <f>IFERROR(VLOOKUP(B143,'logos transformer '!A:C,3,FALSE),"na")</f>
        <v>154</v>
      </c>
      <c r="L143" s="1">
        <f>IFERROR(VLOOKUP(B143,'logos transformer '!A:D,4,FALSE),"na")</f>
        <v>45226.623611111114</v>
      </c>
    </row>
    <row r="144" spans="1:12" x14ac:dyDescent="0.3">
      <c r="A144" s="1">
        <v>45204.81527777778</v>
      </c>
      <c r="B144" t="s">
        <v>133</v>
      </c>
      <c r="C144">
        <v>71</v>
      </c>
      <c r="D144" t="s">
        <v>10</v>
      </c>
      <c r="E144" t="str">
        <f>IFERROR(VLOOKUP(logos[[#This Row],[Cell_ID]],'registe maintenance'!A:B,2,FALSE)," non répertoriées")</f>
        <v>Kasai-Central</v>
      </c>
      <c r="F144">
        <f>IFERROR(VLOOKUP(logos[[#This Row],[Cell_ID]],'registe maintenance'!A:C,3,FALSE)," non répertoriées")</f>
        <v>-10.414493</v>
      </c>
      <c r="G144">
        <f>IFERROR(VLOOKUP(logos[[#This Row],[Cell_ID]],'registe maintenance'!A:D,4,FALSE)," non répertoriées")</f>
        <v>12.333356999999999</v>
      </c>
      <c r="H144" t="str">
        <f>IFERROR(VLOOKUP(logos[[#This Row],[Cell_ID]],'registe maintenance'!A:E,5,FALSE)," non répertoriées")</f>
        <v>3G</v>
      </c>
      <c r="I144" t="str">
        <f>IFERROR(VLOOKUP(logos[[#This Row],[Cell_ID]],'registe maintenance'!A:F,6,FALSE)," non répertoriées")</f>
        <v>Ericsson</v>
      </c>
      <c r="J144">
        <f>IFERROR(VLOOKUP(B144,'logos transformer '!A:B,2,FALSE),"na")</f>
        <v>4</v>
      </c>
      <c r="K144">
        <f>IFERROR(VLOOKUP(B144,'logos transformer '!A:C,3,FALSE),"na")</f>
        <v>273</v>
      </c>
      <c r="L144" s="1">
        <f>IFERROR(VLOOKUP(B144,'logos transformer '!A:D,4,FALSE),"na")</f>
        <v>45221.910416666666</v>
      </c>
    </row>
    <row r="145" spans="1:12" x14ac:dyDescent="0.3">
      <c r="A145" s="1">
        <v>45200.525694444441</v>
      </c>
      <c r="B145" t="s">
        <v>136</v>
      </c>
      <c r="C145">
        <v>88</v>
      </c>
      <c r="D145" t="s">
        <v>10</v>
      </c>
      <c r="E145" t="str">
        <f>IFERROR(VLOOKUP(logos[[#This Row],[Cell_ID]],'registe maintenance'!A:B,2,FALSE)," non répertoriées")</f>
        <v>Kinshasa</v>
      </c>
      <c r="F145">
        <f>IFERROR(VLOOKUP(logos[[#This Row],[Cell_ID]],'registe maintenance'!A:C,3,FALSE)," non répertoriées")</f>
        <v>-1.6097570000000001</v>
      </c>
      <c r="G145">
        <f>IFERROR(VLOOKUP(logos[[#This Row],[Cell_ID]],'registe maintenance'!A:D,4,FALSE)," non répertoriées")</f>
        <v>30.661662</v>
      </c>
      <c r="H145" t="str">
        <f>IFERROR(VLOOKUP(logos[[#This Row],[Cell_ID]],'registe maintenance'!A:E,5,FALSE)," non répertoriées")</f>
        <v>4G</v>
      </c>
      <c r="I145" t="str">
        <f>IFERROR(VLOOKUP(logos[[#This Row],[Cell_ID]],'registe maintenance'!A:F,6,FALSE)," non répertoriées")</f>
        <v>Ericsson</v>
      </c>
      <c r="J145">
        <f>IFERROR(VLOOKUP(B145,'logos transformer '!A:B,2,FALSE),"na")</f>
        <v>2</v>
      </c>
      <c r="K145">
        <f>IFERROR(VLOOKUP(B145,'logos transformer '!A:C,3,FALSE),"na")</f>
        <v>141</v>
      </c>
      <c r="L145" s="1">
        <f>IFERROR(VLOOKUP(B145,'logos transformer '!A:D,4,FALSE),"na")</f>
        <v>45217.173611111109</v>
      </c>
    </row>
    <row r="146" spans="1:12" x14ac:dyDescent="0.3">
      <c r="A146" s="1">
        <v>45218.875694444447</v>
      </c>
      <c r="B146" t="s">
        <v>137</v>
      </c>
      <c r="C146">
        <v>39</v>
      </c>
      <c r="D146" t="s">
        <v>5</v>
      </c>
      <c r="E146" t="str">
        <f>IFERROR(VLOOKUP(logos[[#This Row],[Cell_ID]],'registe maintenance'!A:B,2,FALSE)," non répertoriées")</f>
        <v xml:space="preserve"> non répertoriées</v>
      </c>
      <c r="F146" t="str">
        <f>IFERROR(VLOOKUP(logos[[#This Row],[Cell_ID]],'registe maintenance'!A:C,3,FALSE)," non répertoriées")</f>
        <v xml:space="preserve"> non répertoriées</v>
      </c>
      <c r="G146" t="str">
        <f>IFERROR(VLOOKUP(logos[[#This Row],[Cell_ID]],'registe maintenance'!A:D,4,FALSE)," non répertoriées")</f>
        <v xml:space="preserve"> non répertoriées</v>
      </c>
      <c r="H146" t="str">
        <f>IFERROR(VLOOKUP(logos[[#This Row],[Cell_ID]],'registe maintenance'!A:E,5,FALSE)," non répertoriées")</f>
        <v xml:space="preserve"> non répertoriées</v>
      </c>
      <c r="I146" t="str">
        <f>IFERROR(VLOOKUP(logos[[#This Row],[Cell_ID]],'registe maintenance'!A:F,6,FALSE)," non répertoriées")</f>
        <v xml:space="preserve"> non répertoriées</v>
      </c>
      <c r="J146">
        <f>IFERROR(VLOOKUP(B146,'logos transformer '!A:B,2,FALSE),"na")</f>
        <v>2</v>
      </c>
      <c r="K146">
        <f>IFERROR(VLOOKUP(B146,'logos transformer '!A:C,3,FALSE),"na")</f>
        <v>92</v>
      </c>
      <c r="L146" s="1">
        <f>IFERROR(VLOOKUP(B146,'logos transformer '!A:D,4,FALSE),"na")</f>
        <v>45218.875694444447</v>
      </c>
    </row>
    <row r="147" spans="1:12" x14ac:dyDescent="0.3">
      <c r="A147" s="1">
        <v>45202.852083333331</v>
      </c>
      <c r="B147" t="s">
        <v>138</v>
      </c>
      <c r="C147">
        <v>83</v>
      </c>
      <c r="D147" t="s">
        <v>5</v>
      </c>
      <c r="E147" t="str">
        <f>IFERROR(VLOOKUP(logos[[#This Row],[Cell_ID]],'registe maintenance'!A:B,2,FALSE)," non répertoriées")</f>
        <v>Mai-Ndombe</v>
      </c>
      <c r="F147">
        <f>IFERROR(VLOOKUP(logos[[#This Row],[Cell_ID]],'registe maintenance'!A:C,3,FALSE)," non répertoriées")</f>
        <v>-1.607639</v>
      </c>
      <c r="G147">
        <f>IFERROR(VLOOKUP(logos[[#This Row],[Cell_ID]],'registe maintenance'!A:D,4,FALSE)," non répertoriées")</f>
        <v>17.003636</v>
      </c>
      <c r="H147" t="str">
        <f>IFERROR(VLOOKUP(logos[[#This Row],[Cell_ID]],'registe maintenance'!A:E,5,FALSE)," non répertoriées")</f>
        <v>4G</v>
      </c>
      <c r="I147" t="str">
        <f>IFERROR(VLOOKUP(logos[[#This Row],[Cell_ID]],'registe maintenance'!A:F,6,FALSE)," non répertoriées")</f>
        <v>Ericsson</v>
      </c>
      <c r="J147">
        <f>IFERROR(VLOOKUP(B147,'logos transformer '!A:B,2,FALSE),"na")</f>
        <v>1</v>
      </c>
      <c r="K147">
        <f>IFERROR(VLOOKUP(B147,'logos transformer '!A:C,3,FALSE),"na")</f>
        <v>83</v>
      </c>
      <c r="L147" s="1">
        <f>IFERROR(VLOOKUP(B147,'logos transformer '!A:D,4,FALSE),"na")</f>
        <v>45202.852083333331</v>
      </c>
    </row>
    <row r="148" spans="1:12" x14ac:dyDescent="0.3">
      <c r="A148" s="1">
        <v>45204.59097222222</v>
      </c>
      <c r="B148" t="s">
        <v>139</v>
      </c>
      <c r="C148">
        <v>108</v>
      </c>
      <c r="D148" t="s">
        <v>8</v>
      </c>
      <c r="E148" t="str">
        <f>IFERROR(VLOOKUP(logos[[#This Row],[Cell_ID]],'registe maintenance'!A:B,2,FALSE)," non répertoriées")</f>
        <v>Kwilu</v>
      </c>
      <c r="F148">
        <f>IFERROR(VLOOKUP(logos[[#This Row],[Cell_ID]],'registe maintenance'!A:C,3,FALSE)," non répertoriées")</f>
        <v>-8.5675749999999997</v>
      </c>
      <c r="G148">
        <f>IFERROR(VLOOKUP(logos[[#This Row],[Cell_ID]],'registe maintenance'!A:D,4,FALSE)," non répertoriées")</f>
        <v>26.994581</v>
      </c>
      <c r="H148" t="str">
        <f>IFERROR(VLOOKUP(logos[[#This Row],[Cell_ID]],'registe maintenance'!A:E,5,FALSE)," non répertoriées")</f>
        <v>3G</v>
      </c>
      <c r="I148" t="str">
        <f>IFERROR(VLOOKUP(logos[[#This Row],[Cell_ID]],'registe maintenance'!A:F,6,FALSE)," non répertoriées")</f>
        <v>Nokia</v>
      </c>
      <c r="J148">
        <f>IFERROR(VLOOKUP(B148,'logos transformer '!A:B,2,FALSE),"na")</f>
        <v>3</v>
      </c>
      <c r="K148">
        <f>IFERROR(VLOOKUP(B148,'logos transformer '!A:C,3,FALSE),"na")</f>
        <v>183</v>
      </c>
      <c r="L148" s="1">
        <f>IFERROR(VLOOKUP(B148,'logos transformer '!A:D,4,FALSE),"na")</f>
        <v>45217.473611111112</v>
      </c>
    </row>
    <row r="149" spans="1:12" x14ac:dyDescent="0.3">
      <c r="A149" s="1">
        <v>45201.35</v>
      </c>
      <c r="B149" t="s">
        <v>140</v>
      </c>
      <c r="C149">
        <v>73</v>
      </c>
      <c r="D149" t="s">
        <v>5</v>
      </c>
      <c r="E149" t="str">
        <f>IFERROR(VLOOKUP(logos[[#This Row],[Cell_ID]],'registe maintenance'!A:B,2,FALSE)," non répertoriées")</f>
        <v xml:space="preserve"> non répertoriées</v>
      </c>
      <c r="F149" t="str">
        <f>IFERROR(VLOOKUP(logos[[#This Row],[Cell_ID]],'registe maintenance'!A:C,3,FALSE)," non répertoriées")</f>
        <v xml:space="preserve"> non répertoriées</v>
      </c>
      <c r="G149" t="str">
        <f>IFERROR(VLOOKUP(logos[[#This Row],[Cell_ID]],'registe maintenance'!A:D,4,FALSE)," non répertoriées")</f>
        <v xml:space="preserve"> non répertoriées</v>
      </c>
      <c r="H149" t="str">
        <f>IFERROR(VLOOKUP(logos[[#This Row],[Cell_ID]],'registe maintenance'!A:E,5,FALSE)," non répertoriées")</f>
        <v xml:space="preserve"> non répertoriées</v>
      </c>
      <c r="I149" t="str">
        <f>IFERROR(VLOOKUP(logos[[#This Row],[Cell_ID]],'registe maintenance'!A:F,6,FALSE)," non répertoriées")</f>
        <v xml:space="preserve"> non répertoriées</v>
      </c>
      <c r="J149">
        <f>IFERROR(VLOOKUP(B149,'logos transformer '!A:B,2,FALSE),"na")</f>
        <v>4</v>
      </c>
      <c r="K149">
        <f>IFERROR(VLOOKUP(B149,'logos transformer '!A:C,3,FALSE),"na")</f>
        <v>347</v>
      </c>
      <c r="L149" s="1">
        <f>IFERROR(VLOOKUP(B149,'logos transformer '!A:D,4,FALSE),"na")</f>
        <v>45217.818749999999</v>
      </c>
    </row>
    <row r="150" spans="1:12" x14ac:dyDescent="0.3">
      <c r="A150" s="1">
        <v>45210.270138888889</v>
      </c>
      <c r="B150" t="s">
        <v>141</v>
      </c>
      <c r="C150">
        <v>104</v>
      </c>
      <c r="D150" t="s">
        <v>10</v>
      </c>
      <c r="E150" t="str">
        <f>IFERROR(VLOOKUP(logos[[#This Row],[Cell_ID]],'registe maintenance'!A:B,2,FALSE)," non répertoriées")</f>
        <v xml:space="preserve"> non répertoriées</v>
      </c>
      <c r="F150" t="str">
        <f>IFERROR(VLOOKUP(logos[[#This Row],[Cell_ID]],'registe maintenance'!A:C,3,FALSE)," non répertoriées")</f>
        <v xml:space="preserve"> non répertoriées</v>
      </c>
      <c r="G150" t="str">
        <f>IFERROR(VLOOKUP(logos[[#This Row],[Cell_ID]],'registe maintenance'!A:D,4,FALSE)," non répertoriées")</f>
        <v xml:space="preserve"> non répertoriées</v>
      </c>
      <c r="H150" t="str">
        <f>IFERROR(VLOOKUP(logos[[#This Row],[Cell_ID]],'registe maintenance'!A:E,5,FALSE)," non répertoriées")</f>
        <v xml:space="preserve"> non répertoriées</v>
      </c>
      <c r="I150" t="str">
        <f>IFERROR(VLOOKUP(logos[[#This Row],[Cell_ID]],'registe maintenance'!A:F,6,FALSE)," non répertoriées")</f>
        <v xml:space="preserve"> non répertoriées</v>
      </c>
      <c r="J150">
        <f>IFERROR(VLOOKUP(B150,'logos transformer '!A:B,2,FALSE),"na")</f>
        <v>1</v>
      </c>
      <c r="K150">
        <f>IFERROR(VLOOKUP(B150,'logos transformer '!A:C,3,FALSE),"na")</f>
        <v>104</v>
      </c>
      <c r="L150" s="1">
        <f>IFERROR(VLOOKUP(B150,'logos transformer '!A:D,4,FALSE),"na")</f>
        <v>45210.270138888889</v>
      </c>
    </row>
    <row r="151" spans="1:12" x14ac:dyDescent="0.3">
      <c r="A151" s="1">
        <v>45210.45</v>
      </c>
      <c r="B151" t="s">
        <v>142</v>
      </c>
      <c r="C151">
        <v>66</v>
      </c>
      <c r="D151" t="s">
        <v>5</v>
      </c>
      <c r="E151" t="str">
        <f>IFERROR(VLOOKUP(logos[[#This Row],[Cell_ID]],'registe maintenance'!A:B,2,FALSE)," non répertoriées")</f>
        <v>Lualaba</v>
      </c>
      <c r="F151">
        <f>IFERROR(VLOOKUP(logos[[#This Row],[Cell_ID]],'registe maintenance'!A:C,3,FALSE)," non répertoriées")</f>
        <v>-9.7803979999999999</v>
      </c>
      <c r="G151">
        <f>IFERROR(VLOOKUP(logos[[#This Row],[Cell_ID]],'registe maintenance'!A:D,4,FALSE)," non répertoriées")</f>
        <v>17.686595000000001</v>
      </c>
      <c r="H151" t="str">
        <f>IFERROR(VLOOKUP(logos[[#This Row],[Cell_ID]],'registe maintenance'!A:E,5,FALSE)," non répertoriées")</f>
        <v>4G</v>
      </c>
      <c r="I151" t="str">
        <f>IFERROR(VLOOKUP(logos[[#This Row],[Cell_ID]],'registe maintenance'!A:F,6,FALSE)," non répertoriées")</f>
        <v>Ericsson</v>
      </c>
      <c r="J151">
        <f>IFERROR(VLOOKUP(B151,'logos transformer '!A:B,2,FALSE),"na")</f>
        <v>2</v>
      </c>
      <c r="K151">
        <f>IFERROR(VLOOKUP(B151,'logos transformer '!A:C,3,FALSE),"na")</f>
        <v>151</v>
      </c>
      <c r="L151" s="1">
        <f>IFERROR(VLOOKUP(B151,'logos transformer '!A:D,4,FALSE),"na")</f>
        <v>45220.754166666666</v>
      </c>
    </row>
    <row r="152" spans="1:12" x14ac:dyDescent="0.3">
      <c r="A152" s="1">
        <v>45228.511805555558</v>
      </c>
      <c r="B152" t="s">
        <v>143</v>
      </c>
      <c r="C152">
        <v>64</v>
      </c>
      <c r="D152" t="s">
        <v>8</v>
      </c>
      <c r="E152" t="str">
        <f>IFERROR(VLOOKUP(logos[[#This Row],[Cell_ID]],'registe maintenance'!A:B,2,FALSE)," non répertoriées")</f>
        <v>Haut-Uele</v>
      </c>
      <c r="F152">
        <f>IFERROR(VLOOKUP(logos[[#This Row],[Cell_ID]],'registe maintenance'!A:C,3,FALSE)," non répertoriées")</f>
        <v>-4.4351269999999996</v>
      </c>
      <c r="G152">
        <f>IFERROR(VLOOKUP(logos[[#This Row],[Cell_ID]],'registe maintenance'!A:D,4,FALSE)," non répertoriées")</f>
        <v>24.825467</v>
      </c>
      <c r="H152" t="str">
        <f>IFERROR(VLOOKUP(logos[[#This Row],[Cell_ID]],'registe maintenance'!A:E,5,FALSE)," non répertoriées")</f>
        <v>4G</v>
      </c>
      <c r="I152" t="str">
        <f>IFERROR(VLOOKUP(logos[[#This Row],[Cell_ID]],'registe maintenance'!A:F,6,FALSE)," non répertoriées")</f>
        <v>Huawei</v>
      </c>
      <c r="J152">
        <f>IFERROR(VLOOKUP(B152,'logos transformer '!A:B,2,FALSE),"na")</f>
        <v>2</v>
      </c>
      <c r="K152">
        <f>IFERROR(VLOOKUP(B152,'logos transformer '!A:C,3,FALSE),"na")</f>
        <v>169</v>
      </c>
      <c r="L152" s="1">
        <f>IFERROR(VLOOKUP(B152,'logos transformer '!A:D,4,FALSE),"na")</f>
        <v>45230.323611111111</v>
      </c>
    </row>
    <row r="153" spans="1:12" x14ac:dyDescent="0.3">
      <c r="A153" s="1">
        <v>45224.552777777782</v>
      </c>
      <c r="B153" t="s">
        <v>144</v>
      </c>
      <c r="C153">
        <v>60</v>
      </c>
      <c r="D153" t="s">
        <v>8</v>
      </c>
      <c r="E153" t="str">
        <f>IFERROR(VLOOKUP(logos[[#This Row],[Cell_ID]],'registe maintenance'!A:B,2,FALSE)," non répertoriées")</f>
        <v>Tanganyika</v>
      </c>
      <c r="F153">
        <f>IFERROR(VLOOKUP(logos[[#This Row],[Cell_ID]],'registe maintenance'!A:C,3,FALSE)," non répertoriées")</f>
        <v>-10.439686999999999</v>
      </c>
      <c r="G153">
        <f>IFERROR(VLOOKUP(logos[[#This Row],[Cell_ID]],'registe maintenance'!A:D,4,FALSE)," non répertoriées")</f>
        <v>20.714210000000001</v>
      </c>
      <c r="H153" t="str">
        <f>IFERROR(VLOOKUP(logos[[#This Row],[Cell_ID]],'registe maintenance'!A:E,5,FALSE)," non répertoriées")</f>
        <v>4G</v>
      </c>
      <c r="I153" t="str">
        <f>IFERROR(VLOOKUP(logos[[#This Row],[Cell_ID]],'registe maintenance'!A:F,6,FALSE)," non répertoriées")</f>
        <v>ZTE</v>
      </c>
      <c r="J153">
        <f>IFERROR(VLOOKUP(B153,'logos transformer '!A:B,2,FALSE),"na")</f>
        <v>1</v>
      </c>
      <c r="K153">
        <f>IFERROR(VLOOKUP(B153,'logos transformer '!A:C,3,FALSE),"na")</f>
        <v>60</v>
      </c>
      <c r="L153" s="1">
        <f>IFERROR(VLOOKUP(B153,'logos transformer '!A:D,4,FALSE),"na")</f>
        <v>45224.552777777775</v>
      </c>
    </row>
    <row r="154" spans="1:12" x14ac:dyDescent="0.3">
      <c r="A154" s="1">
        <v>45226.104166666657</v>
      </c>
      <c r="B154" t="s">
        <v>145</v>
      </c>
      <c r="C154">
        <v>110</v>
      </c>
      <c r="D154" t="s">
        <v>8</v>
      </c>
      <c r="E154" t="str">
        <f>IFERROR(VLOOKUP(logos[[#This Row],[Cell_ID]],'registe maintenance'!A:B,2,FALSE)," non répertoriées")</f>
        <v>Tshuapa</v>
      </c>
      <c r="F154">
        <f>IFERROR(VLOOKUP(logos[[#This Row],[Cell_ID]],'registe maintenance'!A:C,3,FALSE)," non répertoriées")</f>
        <v>-2.3677800000000002</v>
      </c>
      <c r="G154">
        <f>IFERROR(VLOOKUP(logos[[#This Row],[Cell_ID]],'registe maintenance'!A:D,4,FALSE)," non répertoriées")</f>
        <v>18.790323999999998</v>
      </c>
      <c r="H154" t="str">
        <f>IFERROR(VLOOKUP(logos[[#This Row],[Cell_ID]],'registe maintenance'!A:E,5,FALSE)," non répertoriées")</f>
        <v>5G</v>
      </c>
      <c r="I154" t="str">
        <f>IFERROR(VLOOKUP(logos[[#This Row],[Cell_ID]],'registe maintenance'!A:F,6,FALSE)," non répertoriées")</f>
        <v>Huawei</v>
      </c>
      <c r="J154">
        <f>IFERROR(VLOOKUP(B154,'logos transformer '!A:B,2,FALSE),"na")</f>
        <v>2</v>
      </c>
      <c r="K154">
        <f>IFERROR(VLOOKUP(B154,'logos transformer '!A:C,3,FALSE),"na")</f>
        <v>151</v>
      </c>
      <c r="L154" s="1">
        <f>IFERROR(VLOOKUP(B154,'logos transformer '!A:D,4,FALSE),"na")</f>
        <v>45226.104166666664</v>
      </c>
    </row>
    <row r="155" spans="1:12" x14ac:dyDescent="0.3">
      <c r="A155" s="1">
        <v>45200.981944444437</v>
      </c>
      <c r="B155" t="s">
        <v>39</v>
      </c>
      <c r="C155">
        <v>98</v>
      </c>
      <c r="D155" t="s">
        <v>5</v>
      </c>
      <c r="E155" t="str">
        <f>IFERROR(VLOOKUP(logos[[#This Row],[Cell_ID]],'registe maintenance'!A:B,2,FALSE)," non répertoriées")</f>
        <v xml:space="preserve"> non répertoriées</v>
      </c>
      <c r="F155" t="str">
        <f>IFERROR(VLOOKUP(logos[[#This Row],[Cell_ID]],'registe maintenance'!A:C,3,FALSE)," non répertoriées")</f>
        <v xml:space="preserve"> non répertoriées</v>
      </c>
      <c r="G155" t="str">
        <f>IFERROR(VLOOKUP(logos[[#This Row],[Cell_ID]],'registe maintenance'!A:D,4,FALSE)," non répertoriées")</f>
        <v xml:space="preserve"> non répertoriées</v>
      </c>
      <c r="H155" t="str">
        <f>IFERROR(VLOOKUP(logos[[#This Row],[Cell_ID]],'registe maintenance'!A:E,5,FALSE)," non répertoriées")</f>
        <v xml:space="preserve"> non répertoriées</v>
      </c>
      <c r="I155" t="str">
        <f>IFERROR(VLOOKUP(logos[[#This Row],[Cell_ID]],'registe maintenance'!A:F,6,FALSE)," non répertoriées")</f>
        <v xml:space="preserve"> non répertoriées</v>
      </c>
      <c r="J155">
        <f>IFERROR(VLOOKUP(B155,'logos transformer '!A:B,2,FALSE),"na")</f>
        <v>3</v>
      </c>
      <c r="K155">
        <f>IFERROR(VLOOKUP(B155,'logos transformer '!A:C,3,FALSE),"na")</f>
        <v>259</v>
      </c>
      <c r="L155" s="1">
        <f>IFERROR(VLOOKUP(B155,'logos transformer '!A:D,4,FALSE),"na")</f>
        <v>45219.840277777781</v>
      </c>
    </row>
    <row r="156" spans="1:12" x14ac:dyDescent="0.3">
      <c r="A156" s="1">
        <v>45201.468055555553</v>
      </c>
      <c r="B156" t="s">
        <v>146</v>
      </c>
      <c r="C156">
        <v>80</v>
      </c>
      <c r="D156" t="s">
        <v>5</v>
      </c>
      <c r="E156" t="str">
        <f>IFERROR(VLOOKUP(logos[[#This Row],[Cell_ID]],'registe maintenance'!A:B,2,FALSE)," non répertoriées")</f>
        <v>Haut-Katanga</v>
      </c>
      <c r="F156">
        <f>IFERROR(VLOOKUP(logos[[#This Row],[Cell_ID]],'registe maintenance'!A:C,3,FALSE)," non répertoriées")</f>
        <v>-3.3890790000000002</v>
      </c>
      <c r="G156">
        <f>IFERROR(VLOOKUP(logos[[#This Row],[Cell_ID]],'registe maintenance'!A:D,4,FALSE)," non répertoriées")</f>
        <v>18.374571</v>
      </c>
      <c r="H156" t="str">
        <f>IFERROR(VLOOKUP(logos[[#This Row],[Cell_ID]],'registe maintenance'!A:E,5,FALSE)," non répertoriées")</f>
        <v>5G</v>
      </c>
      <c r="I156" t="str">
        <f>IFERROR(VLOOKUP(logos[[#This Row],[Cell_ID]],'registe maintenance'!A:F,6,FALSE)," non répertoriées")</f>
        <v>ZTE</v>
      </c>
      <c r="J156">
        <f>IFERROR(VLOOKUP(B156,'logos transformer '!A:B,2,FALSE),"na")</f>
        <v>1</v>
      </c>
      <c r="K156">
        <f>IFERROR(VLOOKUP(B156,'logos transformer '!A:C,3,FALSE),"na")</f>
        <v>80</v>
      </c>
      <c r="L156" s="1">
        <f>IFERROR(VLOOKUP(B156,'logos transformer '!A:D,4,FALSE),"na")</f>
        <v>45201.468055555553</v>
      </c>
    </row>
    <row r="157" spans="1:12" x14ac:dyDescent="0.3">
      <c r="A157" s="1">
        <v>45220.117361111108</v>
      </c>
      <c r="B157" t="s">
        <v>147</v>
      </c>
      <c r="C157">
        <v>39</v>
      </c>
      <c r="D157" t="s">
        <v>5</v>
      </c>
      <c r="E157" t="str">
        <f>IFERROR(VLOOKUP(logos[[#This Row],[Cell_ID]],'registe maintenance'!A:B,2,FALSE)," non répertoriées")</f>
        <v xml:space="preserve"> non répertoriées</v>
      </c>
      <c r="F157" t="str">
        <f>IFERROR(VLOOKUP(logos[[#This Row],[Cell_ID]],'registe maintenance'!A:C,3,FALSE)," non répertoriées")</f>
        <v xml:space="preserve"> non répertoriées</v>
      </c>
      <c r="G157" t="str">
        <f>IFERROR(VLOOKUP(logos[[#This Row],[Cell_ID]],'registe maintenance'!A:D,4,FALSE)," non répertoriées")</f>
        <v xml:space="preserve"> non répertoriées</v>
      </c>
      <c r="H157" t="str">
        <f>IFERROR(VLOOKUP(logos[[#This Row],[Cell_ID]],'registe maintenance'!A:E,5,FALSE)," non répertoriées")</f>
        <v xml:space="preserve"> non répertoriées</v>
      </c>
      <c r="I157" t="str">
        <f>IFERROR(VLOOKUP(logos[[#This Row],[Cell_ID]],'registe maintenance'!A:F,6,FALSE)," non répertoriées")</f>
        <v xml:space="preserve"> non répertoriées</v>
      </c>
      <c r="J157">
        <f>IFERROR(VLOOKUP(B157,'logos transformer '!A:B,2,FALSE),"na")</f>
        <v>1</v>
      </c>
      <c r="K157">
        <f>IFERROR(VLOOKUP(B157,'logos transformer '!A:C,3,FALSE),"na")</f>
        <v>39</v>
      </c>
      <c r="L157" s="1">
        <f>IFERROR(VLOOKUP(B157,'logos transformer '!A:D,4,FALSE),"na")</f>
        <v>45220.117361111108</v>
      </c>
    </row>
    <row r="158" spans="1:12" x14ac:dyDescent="0.3">
      <c r="A158" s="1">
        <v>45230.834722222222</v>
      </c>
      <c r="B158" t="s">
        <v>49</v>
      </c>
      <c r="C158">
        <v>46</v>
      </c>
      <c r="D158" t="s">
        <v>8</v>
      </c>
      <c r="E158" t="str">
        <f>IFERROR(VLOOKUP(logos[[#This Row],[Cell_ID]],'registe maintenance'!A:B,2,FALSE)," non répertoriées")</f>
        <v xml:space="preserve"> non répertoriées</v>
      </c>
      <c r="F158" t="str">
        <f>IFERROR(VLOOKUP(logos[[#This Row],[Cell_ID]],'registe maintenance'!A:C,3,FALSE)," non répertoriées")</f>
        <v xml:space="preserve"> non répertoriées</v>
      </c>
      <c r="G158" t="str">
        <f>IFERROR(VLOOKUP(logos[[#This Row],[Cell_ID]],'registe maintenance'!A:D,4,FALSE)," non répertoriées")</f>
        <v xml:space="preserve"> non répertoriées</v>
      </c>
      <c r="H158" t="str">
        <f>IFERROR(VLOOKUP(logos[[#This Row],[Cell_ID]],'registe maintenance'!A:E,5,FALSE)," non répertoriées")</f>
        <v xml:space="preserve"> non répertoriées</v>
      </c>
      <c r="I158" t="str">
        <f>IFERROR(VLOOKUP(logos[[#This Row],[Cell_ID]],'registe maintenance'!A:F,6,FALSE)," non répertoriées")</f>
        <v xml:space="preserve"> non répertoriées</v>
      </c>
      <c r="J158">
        <f>IFERROR(VLOOKUP(B158,'logos transformer '!A:B,2,FALSE),"na")</f>
        <v>6</v>
      </c>
      <c r="K158">
        <f>IFERROR(VLOOKUP(B158,'logos transformer '!A:C,3,FALSE),"na")</f>
        <v>330</v>
      </c>
      <c r="L158" s="1">
        <f>IFERROR(VLOOKUP(B158,'logos transformer '!A:D,4,FALSE),"na")</f>
        <v>45230.834722222222</v>
      </c>
    </row>
    <row r="159" spans="1:12" x14ac:dyDescent="0.3">
      <c r="A159" s="1">
        <v>45224.010416666657</v>
      </c>
      <c r="B159" t="s">
        <v>81</v>
      </c>
      <c r="C159">
        <v>114</v>
      </c>
      <c r="D159" t="s">
        <v>10</v>
      </c>
      <c r="E159" t="str">
        <f>IFERROR(VLOOKUP(logos[[#This Row],[Cell_ID]],'registe maintenance'!A:B,2,FALSE)," non répertoriées")</f>
        <v>Kwango</v>
      </c>
      <c r="F159">
        <f>IFERROR(VLOOKUP(logos[[#This Row],[Cell_ID]],'registe maintenance'!A:C,3,FALSE)," non répertoriées")</f>
        <v>-9.7712979999999998</v>
      </c>
      <c r="G159">
        <f>IFERROR(VLOOKUP(logos[[#This Row],[Cell_ID]],'registe maintenance'!A:D,4,FALSE)," non répertoriées")</f>
        <v>19.827895999999999</v>
      </c>
      <c r="H159" t="str">
        <f>IFERROR(VLOOKUP(logos[[#This Row],[Cell_ID]],'registe maintenance'!A:E,5,FALSE)," non répertoriées")</f>
        <v>3G</v>
      </c>
      <c r="I159" t="str">
        <f>IFERROR(VLOOKUP(logos[[#This Row],[Cell_ID]],'registe maintenance'!A:F,6,FALSE)," non répertoriées")</f>
        <v>ZTE</v>
      </c>
      <c r="J159">
        <f>IFERROR(VLOOKUP(B159,'logos transformer '!A:B,2,FALSE),"na")</f>
        <v>3</v>
      </c>
      <c r="K159">
        <f>IFERROR(VLOOKUP(B159,'logos transformer '!A:C,3,FALSE),"na")</f>
        <v>139</v>
      </c>
      <c r="L159" s="1">
        <f>IFERROR(VLOOKUP(B159,'logos transformer '!A:D,4,FALSE),"na")</f>
        <v>45224.010416666664</v>
      </c>
    </row>
    <row r="160" spans="1:12" x14ac:dyDescent="0.3">
      <c r="A160" s="1">
        <v>45206.027083333327</v>
      </c>
      <c r="B160" t="s">
        <v>148</v>
      </c>
      <c r="C160">
        <v>36</v>
      </c>
      <c r="D160" t="s">
        <v>10</v>
      </c>
      <c r="E160" t="str">
        <f>IFERROR(VLOOKUP(logos[[#This Row],[Cell_ID]],'registe maintenance'!A:B,2,FALSE)," non répertoriées")</f>
        <v>Kasai-Central</v>
      </c>
      <c r="F160">
        <f>IFERROR(VLOOKUP(logos[[#This Row],[Cell_ID]],'registe maintenance'!A:C,3,FALSE)," non répertoriées")</f>
        <v>-3.111418</v>
      </c>
      <c r="G160">
        <f>IFERROR(VLOOKUP(logos[[#This Row],[Cell_ID]],'registe maintenance'!A:D,4,FALSE)," non répertoriées")</f>
        <v>14.144854</v>
      </c>
      <c r="H160" t="str">
        <f>IFERROR(VLOOKUP(logos[[#This Row],[Cell_ID]],'registe maintenance'!A:E,5,FALSE)," non répertoriées")</f>
        <v>4G</v>
      </c>
      <c r="I160" t="str">
        <f>IFERROR(VLOOKUP(logos[[#This Row],[Cell_ID]],'registe maintenance'!A:F,6,FALSE)," non répertoriées")</f>
        <v>ZTE</v>
      </c>
      <c r="J160">
        <f>IFERROR(VLOOKUP(B160,'logos transformer '!A:B,2,FALSE),"na")</f>
        <v>3</v>
      </c>
      <c r="K160">
        <f>IFERROR(VLOOKUP(B160,'logos transformer '!A:C,3,FALSE),"na")</f>
        <v>152</v>
      </c>
      <c r="L160" s="1">
        <f>IFERROR(VLOOKUP(B160,'logos transformer '!A:D,4,FALSE),"na")</f>
        <v>45206.027083333334</v>
      </c>
    </row>
    <row r="161" spans="1:12" x14ac:dyDescent="0.3">
      <c r="A161" s="1">
        <v>45204.297222222223</v>
      </c>
      <c r="B161" t="s">
        <v>149</v>
      </c>
      <c r="C161">
        <v>111</v>
      </c>
      <c r="D161" t="s">
        <v>8</v>
      </c>
      <c r="E161" t="str">
        <f>IFERROR(VLOOKUP(logos[[#This Row],[Cell_ID]],'registe maintenance'!A:B,2,FALSE)," non répertoriées")</f>
        <v>Nord-Ubangi</v>
      </c>
      <c r="F161">
        <f>IFERROR(VLOOKUP(logos[[#This Row],[Cell_ID]],'registe maintenance'!A:C,3,FALSE)," non répertoriées")</f>
        <v>-1.342476</v>
      </c>
      <c r="G161">
        <f>IFERROR(VLOOKUP(logos[[#This Row],[Cell_ID]],'registe maintenance'!A:D,4,FALSE)," non répertoriées")</f>
        <v>15.986086</v>
      </c>
      <c r="H161" t="str">
        <f>IFERROR(VLOOKUP(logos[[#This Row],[Cell_ID]],'registe maintenance'!A:E,5,FALSE)," non répertoriées")</f>
        <v>4G</v>
      </c>
      <c r="I161" t="str">
        <f>IFERROR(VLOOKUP(logos[[#This Row],[Cell_ID]],'registe maintenance'!A:F,6,FALSE)," non répertoriées")</f>
        <v>Ericsson</v>
      </c>
      <c r="J161">
        <f>IFERROR(VLOOKUP(B161,'logos transformer '!A:B,2,FALSE),"na")</f>
        <v>4</v>
      </c>
      <c r="K161">
        <f>IFERROR(VLOOKUP(B161,'logos transformer '!A:C,3,FALSE),"na")</f>
        <v>352</v>
      </c>
      <c r="L161" s="1">
        <f>IFERROR(VLOOKUP(B161,'logos transformer '!A:D,4,FALSE),"na")</f>
        <v>45229.722916666666</v>
      </c>
    </row>
    <row r="162" spans="1:12" x14ac:dyDescent="0.3">
      <c r="A162" s="1">
        <v>45215.879861111112</v>
      </c>
      <c r="B162" t="s">
        <v>150</v>
      </c>
      <c r="C162">
        <v>16</v>
      </c>
      <c r="D162" t="s">
        <v>8</v>
      </c>
      <c r="E162" t="str">
        <f>IFERROR(VLOOKUP(logos[[#This Row],[Cell_ID]],'registe maintenance'!A:B,2,FALSE)," non répertoriées")</f>
        <v xml:space="preserve"> non répertoriées</v>
      </c>
      <c r="F162" t="str">
        <f>IFERROR(VLOOKUP(logos[[#This Row],[Cell_ID]],'registe maintenance'!A:C,3,FALSE)," non répertoriées")</f>
        <v xml:space="preserve"> non répertoriées</v>
      </c>
      <c r="G162" t="str">
        <f>IFERROR(VLOOKUP(logos[[#This Row],[Cell_ID]],'registe maintenance'!A:D,4,FALSE)," non répertoriées")</f>
        <v xml:space="preserve"> non répertoriées</v>
      </c>
      <c r="H162" t="str">
        <f>IFERROR(VLOOKUP(logos[[#This Row],[Cell_ID]],'registe maintenance'!A:E,5,FALSE)," non répertoriées")</f>
        <v xml:space="preserve"> non répertoriées</v>
      </c>
      <c r="I162" t="str">
        <f>IFERROR(VLOOKUP(logos[[#This Row],[Cell_ID]],'registe maintenance'!A:F,6,FALSE)," non répertoriées")</f>
        <v xml:space="preserve"> non répertoriées</v>
      </c>
      <c r="J162">
        <f>IFERROR(VLOOKUP(B162,'logos transformer '!A:B,2,FALSE),"na")</f>
        <v>4</v>
      </c>
      <c r="K162">
        <f>IFERROR(VLOOKUP(B162,'logos transformer '!A:C,3,FALSE),"na")</f>
        <v>208</v>
      </c>
      <c r="L162" s="1">
        <f>IFERROR(VLOOKUP(B162,'logos transformer '!A:D,4,FALSE),"na")</f>
        <v>45216.459027777775</v>
      </c>
    </row>
    <row r="163" spans="1:12" x14ac:dyDescent="0.3">
      <c r="A163" s="1">
        <v>45218.270138888889</v>
      </c>
      <c r="B163" t="s">
        <v>151</v>
      </c>
      <c r="C163">
        <v>40</v>
      </c>
      <c r="D163" t="s">
        <v>8</v>
      </c>
      <c r="E163" t="str">
        <f>IFERROR(VLOOKUP(logos[[#This Row],[Cell_ID]],'registe maintenance'!A:B,2,FALSE)," non répertoriées")</f>
        <v>Haut-Uele</v>
      </c>
      <c r="F163">
        <f>IFERROR(VLOOKUP(logos[[#This Row],[Cell_ID]],'registe maintenance'!A:C,3,FALSE)," non répertoriées")</f>
        <v>-1.8045979999999999</v>
      </c>
      <c r="G163">
        <f>IFERROR(VLOOKUP(logos[[#This Row],[Cell_ID]],'registe maintenance'!A:D,4,FALSE)," non répertoriées")</f>
        <v>12.511096999999999</v>
      </c>
      <c r="H163" t="str">
        <f>IFERROR(VLOOKUP(logos[[#This Row],[Cell_ID]],'registe maintenance'!A:E,5,FALSE)," non répertoriées")</f>
        <v>3G</v>
      </c>
      <c r="I163" t="str">
        <f>IFERROR(VLOOKUP(logos[[#This Row],[Cell_ID]],'registe maintenance'!A:F,6,FALSE)," non répertoriées")</f>
        <v>Huawei</v>
      </c>
      <c r="J163">
        <f>IFERROR(VLOOKUP(B163,'logos transformer '!A:B,2,FALSE),"na")</f>
        <v>4</v>
      </c>
      <c r="K163">
        <f>IFERROR(VLOOKUP(B163,'logos transformer '!A:C,3,FALSE),"na")</f>
        <v>211</v>
      </c>
      <c r="L163" s="1">
        <f>IFERROR(VLOOKUP(B163,'logos transformer '!A:D,4,FALSE),"na")</f>
        <v>45228.57708333333</v>
      </c>
    </row>
    <row r="164" spans="1:12" x14ac:dyDescent="0.3">
      <c r="A164" s="1">
        <v>45222.367361111108</v>
      </c>
      <c r="B164" t="s">
        <v>152</v>
      </c>
      <c r="C164">
        <v>117</v>
      </c>
      <c r="D164" t="s">
        <v>8</v>
      </c>
      <c r="E164" t="str">
        <f>IFERROR(VLOOKUP(logos[[#This Row],[Cell_ID]],'registe maintenance'!A:B,2,FALSE)," non répertoriées")</f>
        <v xml:space="preserve"> non répertoriées</v>
      </c>
      <c r="F164" t="str">
        <f>IFERROR(VLOOKUP(logos[[#This Row],[Cell_ID]],'registe maintenance'!A:C,3,FALSE)," non répertoriées")</f>
        <v xml:space="preserve"> non répertoriées</v>
      </c>
      <c r="G164" t="str">
        <f>IFERROR(VLOOKUP(logos[[#This Row],[Cell_ID]],'registe maintenance'!A:D,4,FALSE)," non répertoriées")</f>
        <v xml:space="preserve"> non répertoriées</v>
      </c>
      <c r="H164" t="str">
        <f>IFERROR(VLOOKUP(logos[[#This Row],[Cell_ID]],'registe maintenance'!A:E,5,FALSE)," non répertoriées")</f>
        <v xml:space="preserve"> non répertoriées</v>
      </c>
      <c r="I164" t="str">
        <f>IFERROR(VLOOKUP(logos[[#This Row],[Cell_ID]],'registe maintenance'!A:F,6,FALSE)," non répertoriées")</f>
        <v xml:space="preserve"> non répertoriées</v>
      </c>
      <c r="J164">
        <f>IFERROR(VLOOKUP(B164,'logos transformer '!A:B,2,FALSE),"na")</f>
        <v>1</v>
      </c>
      <c r="K164">
        <f>IFERROR(VLOOKUP(B164,'logos transformer '!A:C,3,FALSE),"na")</f>
        <v>117</v>
      </c>
      <c r="L164" s="1">
        <f>IFERROR(VLOOKUP(B164,'logos transformer '!A:D,4,FALSE),"na")</f>
        <v>45222.367361111108</v>
      </c>
    </row>
    <row r="165" spans="1:12" x14ac:dyDescent="0.3">
      <c r="A165" s="1">
        <v>45211.234722222223</v>
      </c>
      <c r="B165" t="s">
        <v>153</v>
      </c>
      <c r="C165">
        <v>62</v>
      </c>
      <c r="D165" t="s">
        <v>10</v>
      </c>
      <c r="E165" t="str">
        <f>IFERROR(VLOOKUP(logos[[#This Row],[Cell_ID]],'registe maintenance'!A:B,2,FALSE)," non répertoriées")</f>
        <v>Nord-Kivu</v>
      </c>
      <c r="F165">
        <f>IFERROR(VLOOKUP(logos[[#This Row],[Cell_ID]],'registe maintenance'!A:C,3,FALSE)," non répertoriées")</f>
        <v>-2.3102109999999998</v>
      </c>
      <c r="G165">
        <f>IFERROR(VLOOKUP(logos[[#This Row],[Cell_ID]],'registe maintenance'!A:D,4,FALSE)," non répertoriées")</f>
        <v>12.362488000000001</v>
      </c>
      <c r="H165" t="str">
        <f>IFERROR(VLOOKUP(logos[[#This Row],[Cell_ID]],'registe maintenance'!A:E,5,FALSE)," non répertoriées")</f>
        <v>5G</v>
      </c>
      <c r="I165" t="str">
        <f>IFERROR(VLOOKUP(logos[[#This Row],[Cell_ID]],'registe maintenance'!A:F,6,FALSE)," non répertoriées")</f>
        <v>Nokia</v>
      </c>
      <c r="J165">
        <f>IFERROR(VLOOKUP(B165,'logos transformer '!A:B,2,FALSE),"na")</f>
        <v>1</v>
      </c>
      <c r="K165">
        <f>IFERROR(VLOOKUP(B165,'logos transformer '!A:C,3,FALSE),"na")</f>
        <v>62</v>
      </c>
      <c r="L165" s="1">
        <f>IFERROR(VLOOKUP(B165,'logos transformer '!A:D,4,FALSE),"na")</f>
        <v>45211.234722222223</v>
      </c>
    </row>
    <row r="166" spans="1:12" x14ac:dyDescent="0.3">
      <c r="A166" s="1">
        <v>45219.989583333343</v>
      </c>
      <c r="B166" t="s">
        <v>154</v>
      </c>
      <c r="C166">
        <v>36</v>
      </c>
      <c r="D166" t="s">
        <v>5</v>
      </c>
      <c r="E166" t="str">
        <f>IFERROR(VLOOKUP(logos[[#This Row],[Cell_ID]],'registe maintenance'!A:B,2,FALSE)," non répertoriées")</f>
        <v xml:space="preserve"> non répertoriées</v>
      </c>
      <c r="F166" t="str">
        <f>IFERROR(VLOOKUP(logos[[#This Row],[Cell_ID]],'registe maintenance'!A:C,3,FALSE)," non répertoriées")</f>
        <v xml:space="preserve"> non répertoriées</v>
      </c>
      <c r="G166" t="str">
        <f>IFERROR(VLOOKUP(logos[[#This Row],[Cell_ID]],'registe maintenance'!A:D,4,FALSE)," non répertoriées")</f>
        <v xml:space="preserve"> non répertoriées</v>
      </c>
      <c r="H166" t="str">
        <f>IFERROR(VLOOKUP(logos[[#This Row],[Cell_ID]],'registe maintenance'!A:E,5,FALSE)," non répertoriées")</f>
        <v xml:space="preserve"> non répertoriées</v>
      </c>
      <c r="I166" t="str">
        <f>IFERROR(VLOOKUP(logos[[#This Row],[Cell_ID]],'registe maintenance'!A:F,6,FALSE)," non répertoriées")</f>
        <v xml:space="preserve"> non répertoriées</v>
      </c>
      <c r="J166">
        <f>IFERROR(VLOOKUP(B166,'logos transformer '!A:B,2,FALSE),"na")</f>
        <v>3</v>
      </c>
      <c r="K166">
        <f>IFERROR(VLOOKUP(B166,'logos transformer '!A:C,3,FALSE),"na")</f>
        <v>208</v>
      </c>
      <c r="L166" s="1">
        <f>IFERROR(VLOOKUP(B166,'logos transformer '!A:D,4,FALSE),"na")</f>
        <v>45230.565972222219</v>
      </c>
    </row>
    <row r="167" spans="1:12" x14ac:dyDescent="0.3">
      <c r="A167" s="1">
        <v>45203.22152777778</v>
      </c>
      <c r="B167" t="s">
        <v>155</v>
      </c>
      <c r="C167">
        <v>101</v>
      </c>
      <c r="D167" t="s">
        <v>5</v>
      </c>
      <c r="E167" t="str">
        <f>IFERROR(VLOOKUP(logos[[#This Row],[Cell_ID]],'registe maintenance'!A:B,2,FALSE)," non répertoriées")</f>
        <v>Tshopo</v>
      </c>
      <c r="F167">
        <f>IFERROR(VLOOKUP(logos[[#This Row],[Cell_ID]],'registe maintenance'!A:C,3,FALSE)," non répertoriées")</f>
        <v>3.0603760000000002</v>
      </c>
      <c r="G167">
        <f>IFERROR(VLOOKUP(logos[[#This Row],[Cell_ID]],'registe maintenance'!A:D,4,FALSE)," non répertoriées")</f>
        <v>19.708034000000001</v>
      </c>
      <c r="H167" t="str">
        <f>IFERROR(VLOOKUP(logos[[#This Row],[Cell_ID]],'registe maintenance'!A:E,5,FALSE)," non répertoriées")</f>
        <v>3G</v>
      </c>
      <c r="I167" t="str">
        <f>IFERROR(VLOOKUP(logos[[#This Row],[Cell_ID]],'registe maintenance'!A:F,6,FALSE)," non répertoriées")</f>
        <v>ZTE</v>
      </c>
      <c r="J167">
        <f>IFERROR(VLOOKUP(B167,'logos transformer '!A:B,2,FALSE),"na")</f>
        <v>2</v>
      </c>
      <c r="K167">
        <f>IFERROR(VLOOKUP(B167,'logos transformer '!A:C,3,FALSE),"na")</f>
        <v>169</v>
      </c>
      <c r="L167" s="1">
        <f>IFERROR(VLOOKUP(B167,'logos transformer '!A:D,4,FALSE),"na")</f>
        <v>45226.969444444447</v>
      </c>
    </row>
    <row r="168" spans="1:12" x14ac:dyDescent="0.3">
      <c r="A168" s="1">
        <v>45203.750694444447</v>
      </c>
      <c r="B168" t="s">
        <v>156</v>
      </c>
      <c r="C168">
        <v>64</v>
      </c>
      <c r="D168" t="s">
        <v>10</v>
      </c>
      <c r="E168" t="str">
        <f>IFERROR(VLOOKUP(logos[[#This Row],[Cell_ID]],'registe maintenance'!A:B,2,FALSE)," non répertoriées")</f>
        <v>Maniema</v>
      </c>
      <c r="F168">
        <f>IFERROR(VLOOKUP(logos[[#This Row],[Cell_ID]],'registe maintenance'!A:C,3,FALSE)," non répertoriées")</f>
        <v>-4.6818410000000004</v>
      </c>
      <c r="G168">
        <f>IFERROR(VLOOKUP(logos[[#This Row],[Cell_ID]],'registe maintenance'!A:D,4,FALSE)," non répertoriées")</f>
        <v>17.541618</v>
      </c>
      <c r="H168" t="str">
        <f>IFERROR(VLOOKUP(logos[[#This Row],[Cell_ID]],'registe maintenance'!A:E,5,FALSE)," non répertoriées")</f>
        <v>4G</v>
      </c>
      <c r="I168" t="str">
        <f>IFERROR(VLOOKUP(logos[[#This Row],[Cell_ID]],'registe maintenance'!A:F,6,FALSE)," non répertoriées")</f>
        <v>Ericsson</v>
      </c>
      <c r="J168">
        <f>IFERROR(VLOOKUP(B168,'logos transformer '!A:B,2,FALSE),"na")</f>
        <v>2</v>
      </c>
      <c r="K168">
        <f>IFERROR(VLOOKUP(B168,'logos transformer '!A:C,3,FALSE),"na")</f>
        <v>107</v>
      </c>
      <c r="L168" s="1">
        <f>IFERROR(VLOOKUP(B168,'logos transformer '!A:D,4,FALSE),"na")</f>
        <v>45224.201388888891</v>
      </c>
    </row>
    <row r="169" spans="1:12" x14ac:dyDescent="0.3">
      <c r="A169" s="1">
        <v>45229.4</v>
      </c>
      <c r="B169" t="s">
        <v>157</v>
      </c>
      <c r="C169">
        <v>77</v>
      </c>
      <c r="D169" t="s">
        <v>5</v>
      </c>
      <c r="E169" t="str">
        <f>IFERROR(VLOOKUP(logos[[#This Row],[Cell_ID]],'registe maintenance'!A:B,2,FALSE)," non répertoriées")</f>
        <v xml:space="preserve"> non répertoriées</v>
      </c>
      <c r="F169" t="str">
        <f>IFERROR(VLOOKUP(logos[[#This Row],[Cell_ID]],'registe maintenance'!A:C,3,FALSE)," non répertoriées")</f>
        <v xml:space="preserve"> non répertoriées</v>
      </c>
      <c r="G169" t="str">
        <f>IFERROR(VLOOKUP(logos[[#This Row],[Cell_ID]],'registe maintenance'!A:D,4,FALSE)," non répertoriées")</f>
        <v xml:space="preserve"> non répertoriées</v>
      </c>
      <c r="H169" t="str">
        <f>IFERROR(VLOOKUP(logos[[#This Row],[Cell_ID]],'registe maintenance'!A:E,5,FALSE)," non répertoriées")</f>
        <v xml:space="preserve"> non répertoriées</v>
      </c>
      <c r="I169" t="str">
        <f>IFERROR(VLOOKUP(logos[[#This Row],[Cell_ID]],'registe maintenance'!A:F,6,FALSE)," non répertoriées")</f>
        <v xml:space="preserve"> non répertoriées</v>
      </c>
      <c r="J169">
        <f>IFERROR(VLOOKUP(B169,'logos transformer '!A:B,2,FALSE),"na")</f>
        <v>2</v>
      </c>
      <c r="K169">
        <f>IFERROR(VLOOKUP(B169,'logos transformer '!A:C,3,FALSE),"na")</f>
        <v>91</v>
      </c>
      <c r="L169" s="1">
        <f>IFERROR(VLOOKUP(B169,'logos transformer '!A:D,4,FALSE),"na")</f>
        <v>45229.4</v>
      </c>
    </row>
    <row r="170" spans="1:12" x14ac:dyDescent="0.3">
      <c r="A170" s="1">
        <v>45221.517361111109</v>
      </c>
      <c r="B170" t="s">
        <v>158</v>
      </c>
      <c r="C170">
        <v>83</v>
      </c>
      <c r="D170" t="s">
        <v>10</v>
      </c>
      <c r="E170" t="str">
        <f>IFERROR(VLOOKUP(logos[[#This Row],[Cell_ID]],'registe maintenance'!A:B,2,FALSE)," non répertoriées")</f>
        <v>Sud-Kivu</v>
      </c>
      <c r="F170">
        <f>IFERROR(VLOOKUP(logos[[#This Row],[Cell_ID]],'registe maintenance'!A:C,3,FALSE)," non répertoriées")</f>
        <v>-2.9651529999999999</v>
      </c>
      <c r="G170">
        <f>IFERROR(VLOOKUP(logos[[#This Row],[Cell_ID]],'registe maintenance'!A:D,4,FALSE)," non répertoriées")</f>
        <v>29.79908</v>
      </c>
      <c r="H170" t="str">
        <f>IFERROR(VLOOKUP(logos[[#This Row],[Cell_ID]],'registe maintenance'!A:E,5,FALSE)," non répertoriées")</f>
        <v>4G</v>
      </c>
      <c r="I170" t="str">
        <f>IFERROR(VLOOKUP(logos[[#This Row],[Cell_ID]],'registe maintenance'!A:F,6,FALSE)," non répertoriées")</f>
        <v>Ericsson</v>
      </c>
      <c r="J170">
        <f>IFERROR(VLOOKUP(B170,'logos transformer '!A:B,2,FALSE),"na")</f>
        <v>2</v>
      </c>
      <c r="K170">
        <f>IFERROR(VLOOKUP(B170,'logos transformer '!A:C,3,FALSE),"na")</f>
        <v>120</v>
      </c>
      <c r="L170" s="1">
        <f>IFERROR(VLOOKUP(B170,'logos transformer '!A:D,4,FALSE),"na")</f>
        <v>45221.517361111109</v>
      </c>
    </row>
    <row r="171" spans="1:12" x14ac:dyDescent="0.3">
      <c r="A171" s="1">
        <v>45230.925000000003</v>
      </c>
      <c r="B171" t="s">
        <v>159</v>
      </c>
      <c r="C171">
        <v>90</v>
      </c>
      <c r="D171" t="s">
        <v>5</v>
      </c>
      <c r="E171" t="str">
        <f>IFERROR(VLOOKUP(logos[[#This Row],[Cell_ID]],'registe maintenance'!A:B,2,FALSE)," non répertoriées")</f>
        <v xml:space="preserve"> non répertoriées</v>
      </c>
      <c r="F171" t="str">
        <f>IFERROR(VLOOKUP(logos[[#This Row],[Cell_ID]],'registe maintenance'!A:C,3,FALSE)," non répertoriées")</f>
        <v xml:space="preserve"> non répertoriées</v>
      </c>
      <c r="G171" t="str">
        <f>IFERROR(VLOOKUP(logos[[#This Row],[Cell_ID]],'registe maintenance'!A:D,4,FALSE)," non répertoriées")</f>
        <v xml:space="preserve"> non répertoriées</v>
      </c>
      <c r="H171" t="str">
        <f>IFERROR(VLOOKUP(logos[[#This Row],[Cell_ID]],'registe maintenance'!A:E,5,FALSE)," non répertoriées")</f>
        <v xml:space="preserve"> non répertoriées</v>
      </c>
      <c r="I171" t="str">
        <f>IFERROR(VLOOKUP(logos[[#This Row],[Cell_ID]],'registe maintenance'!A:F,6,FALSE)," non répertoriées")</f>
        <v xml:space="preserve"> non répertoriées</v>
      </c>
      <c r="J171">
        <f>IFERROR(VLOOKUP(B171,'logos transformer '!A:B,2,FALSE),"na")</f>
        <v>1</v>
      </c>
      <c r="K171">
        <f>IFERROR(VLOOKUP(B171,'logos transformer '!A:C,3,FALSE),"na")</f>
        <v>90</v>
      </c>
      <c r="L171" s="1">
        <f>IFERROR(VLOOKUP(B171,'logos transformer '!A:D,4,FALSE),"na")</f>
        <v>45230.925000000003</v>
      </c>
    </row>
    <row r="172" spans="1:12" x14ac:dyDescent="0.3">
      <c r="A172" s="1">
        <v>45202.780555555553</v>
      </c>
      <c r="B172" t="s">
        <v>160</v>
      </c>
      <c r="C172">
        <v>53</v>
      </c>
      <c r="D172" t="s">
        <v>10</v>
      </c>
      <c r="E172" t="str">
        <f>IFERROR(VLOOKUP(logos[[#This Row],[Cell_ID]],'registe maintenance'!A:B,2,FALSE)," non répertoriées")</f>
        <v>Maniema</v>
      </c>
      <c r="F172">
        <f>IFERROR(VLOOKUP(logos[[#This Row],[Cell_ID]],'registe maintenance'!A:C,3,FALSE)," non répertoriées")</f>
        <v>-2.3743210000000001</v>
      </c>
      <c r="G172">
        <f>IFERROR(VLOOKUP(logos[[#This Row],[Cell_ID]],'registe maintenance'!A:D,4,FALSE)," non répertoriées")</f>
        <v>22.399491000000001</v>
      </c>
      <c r="H172" t="str">
        <f>IFERROR(VLOOKUP(logos[[#This Row],[Cell_ID]],'registe maintenance'!A:E,5,FALSE)," non répertoriées")</f>
        <v>5G</v>
      </c>
      <c r="I172" t="str">
        <f>IFERROR(VLOOKUP(logos[[#This Row],[Cell_ID]],'registe maintenance'!A:F,6,FALSE)," non répertoriées")</f>
        <v>Ericsson</v>
      </c>
      <c r="J172">
        <f>IFERROR(VLOOKUP(B172,'logos transformer '!A:B,2,FALSE),"na")</f>
        <v>3</v>
      </c>
      <c r="K172">
        <f>IFERROR(VLOOKUP(B172,'logos transformer '!A:C,3,FALSE),"na")</f>
        <v>227</v>
      </c>
      <c r="L172" s="1">
        <f>IFERROR(VLOOKUP(B172,'logos transformer '!A:D,4,FALSE),"na")</f>
        <v>45217.775694444441</v>
      </c>
    </row>
    <row r="173" spans="1:12" x14ac:dyDescent="0.3">
      <c r="A173" s="1">
        <v>45226.84375</v>
      </c>
      <c r="B173" t="s">
        <v>161</v>
      </c>
      <c r="C173">
        <v>48</v>
      </c>
      <c r="D173" t="s">
        <v>5</v>
      </c>
      <c r="E173" t="str">
        <f>IFERROR(VLOOKUP(logos[[#This Row],[Cell_ID]],'registe maintenance'!A:B,2,FALSE)," non répertoriées")</f>
        <v xml:space="preserve"> non répertoriées</v>
      </c>
      <c r="F173" t="str">
        <f>IFERROR(VLOOKUP(logos[[#This Row],[Cell_ID]],'registe maintenance'!A:C,3,FALSE)," non répertoriées")</f>
        <v xml:space="preserve"> non répertoriées</v>
      </c>
      <c r="G173" t="str">
        <f>IFERROR(VLOOKUP(logos[[#This Row],[Cell_ID]],'registe maintenance'!A:D,4,FALSE)," non répertoriées")</f>
        <v xml:space="preserve"> non répertoriées</v>
      </c>
      <c r="H173" t="str">
        <f>IFERROR(VLOOKUP(logos[[#This Row],[Cell_ID]],'registe maintenance'!A:E,5,FALSE)," non répertoriées")</f>
        <v xml:space="preserve"> non répertoriées</v>
      </c>
      <c r="I173" t="str">
        <f>IFERROR(VLOOKUP(logos[[#This Row],[Cell_ID]],'registe maintenance'!A:F,6,FALSE)," non répertoriées")</f>
        <v xml:space="preserve"> non répertoriées</v>
      </c>
      <c r="J173">
        <f>IFERROR(VLOOKUP(B173,'logos transformer '!A:B,2,FALSE),"na")</f>
        <v>1</v>
      </c>
      <c r="K173">
        <f>IFERROR(VLOOKUP(B173,'logos transformer '!A:C,3,FALSE),"na")</f>
        <v>48</v>
      </c>
      <c r="L173" s="1">
        <f>IFERROR(VLOOKUP(B173,'logos transformer '!A:D,4,FALSE),"na")</f>
        <v>45226.84375</v>
      </c>
    </row>
    <row r="174" spans="1:12" x14ac:dyDescent="0.3">
      <c r="A174" s="1">
        <v>45203.950694444437</v>
      </c>
      <c r="B174" t="s">
        <v>162</v>
      </c>
      <c r="C174">
        <v>8</v>
      </c>
      <c r="D174" t="s">
        <v>8</v>
      </c>
      <c r="E174" t="str">
        <f>IFERROR(VLOOKUP(logos[[#This Row],[Cell_ID]],'registe maintenance'!A:B,2,FALSE)," non répertoriées")</f>
        <v>Tshuapa</v>
      </c>
      <c r="F174">
        <f>IFERROR(VLOOKUP(logos[[#This Row],[Cell_ID]],'registe maintenance'!A:C,3,FALSE)," non répertoriées")</f>
        <v>-0.79406600000000005</v>
      </c>
      <c r="G174">
        <f>IFERROR(VLOOKUP(logos[[#This Row],[Cell_ID]],'registe maintenance'!A:D,4,FALSE)," non répertoriées")</f>
        <v>12.534793000000001</v>
      </c>
      <c r="H174" t="str">
        <f>IFERROR(VLOOKUP(logos[[#This Row],[Cell_ID]],'registe maintenance'!A:E,5,FALSE)," non répertoriées")</f>
        <v>3G</v>
      </c>
      <c r="I174" t="str">
        <f>IFERROR(VLOOKUP(logos[[#This Row],[Cell_ID]],'registe maintenance'!A:F,6,FALSE)," non répertoriées")</f>
        <v>Huawei</v>
      </c>
      <c r="J174">
        <f>IFERROR(VLOOKUP(B174,'logos transformer '!A:B,2,FALSE),"na")</f>
        <v>1</v>
      </c>
      <c r="K174">
        <f>IFERROR(VLOOKUP(B174,'logos transformer '!A:C,3,FALSE),"na")</f>
        <v>8</v>
      </c>
      <c r="L174" s="1">
        <f>IFERROR(VLOOKUP(B174,'logos transformer '!A:D,4,FALSE),"na")</f>
        <v>45203.950694444444</v>
      </c>
    </row>
    <row r="175" spans="1:12" x14ac:dyDescent="0.3">
      <c r="A175" s="1">
        <v>45209.901388888888</v>
      </c>
      <c r="B175" t="s">
        <v>163</v>
      </c>
      <c r="C175">
        <v>68</v>
      </c>
      <c r="D175" t="s">
        <v>8</v>
      </c>
      <c r="E175" t="str">
        <f>IFERROR(VLOOKUP(logos[[#This Row],[Cell_ID]],'registe maintenance'!A:B,2,FALSE)," non répertoriées")</f>
        <v>Sud-Ubangi</v>
      </c>
      <c r="F175">
        <f>IFERROR(VLOOKUP(logos[[#This Row],[Cell_ID]],'registe maintenance'!A:C,3,FALSE)," non répertoriées")</f>
        <v>-8.3241560000000003</v>
      </c>
      <c r="G175">
        <f>IFERROR(VLOOKUP(logos[[#This Row],[Cell_ID]],'registe maintenance'!A:D,4,FALSE)," non répertoriées")</f>
        <v>19.543866000000001</v>
      </c>
      <c r="H175" t="str">
        <f>IFERROR(VLOOKUP(logos[[#This Row],[Cell_ID]],'registe maintenance'!A:E,5,FALSE)," non répertoriées")</f>
        <v>4G</v>
      </c>
      <c r="I175" t="str">
        <f>IFERROR(VLOOKUP(logos[[#This Row],[Cell_ID]],'registe maintenance'!A:F,6,FALSE)," non répertoriées")</f>
        <v>ZTE</v>
      </c>
      <c r="J175">
        <f>IFERROR(VLOOKUP(B175,'logos transformer '!A:B,2,FALSE),"na")</f>
        <v>1</v>
      </c>
      <c r="K175">
        <f>IFERROR(VLOOKUP(B175,'logos transformer '!A:C,3,FALSE),"na")</f>
        <v>68</v>
      </c>
      <c r="L175" s="1">
        <f>IFERROR(VLOOKUP(B175,'logos transformer '!A:D,4,FALSE),"na")</f>
        <v>45209.901388888888</v>
      </c>
    </row>
    <row r="176" spans="1:12" x14ac:dyDescent="0.3">
      <c r="A176" s="1">
        <v>45225.159722222219</v>
      </c>
      <c r="B176" t="s">
        <v>164</v>
      </c>
      <c r="C176">
        <v>113</v>
      </c>
      <c r="D176" t="s">
        <v>5</v>
      </c>
      <c r="E176" t="str">
        <f>IFERROR(VLOOKUP(logos[[#This Row],[Cell_ID]],'registe maintenance'!A:B,2,FALSE)," non répertoriées")</f>
        <v xml:space="preserve"> non répertoriées</v>
      </c>
      <c r="F176" t="str">
        <f>IFERROR(VLOOKUP(logos[[#This Row],[Cell_ID]],'registe maintenance'!A:C,3,FALSE)," non répertoriées")</f>
        <v xml:space="preserve"> non répertoriées</v>
      </c>
      <c r="G176" t="str">
        <f>IFERROR(VLOOKUP(logos[[#This Row],[Cell_ID]],'registe maintenance'!A:D,4,FALSE)," non répertoriées")</f>
        <v xml:space="preserve"> non répertoriées</v>
      </c>
      <c r="H176" t="str">
        <f>IFERROR(VLOOKUP(logos[[#This Row],[Cell_ID]],'registe maintenance'!A:E,5,FALSE)," non répertoriées")</f>
        <v xml:space="preserve"> non répertoriées</v>
      </c>
      <c r="I176" t="str">
        <f>IFERROR(VLOOKUP(logos[[#This Row],[Cell_ID]],'registe maintenance'!A:F,6,FALSE)," non répertoriées")</f>
        <v xml:space="preserve"> non répertoriées</v>
      </c>
      <c r="J176">
        <f>IFERROR(VLOOKUP(B176,'logos transformer '!A:B,2,FALSE),"na")</f>
        <v>1</v>
      </c>
      <c r="K176">
        <f>IFERROR(VLOOKUP(B176,'logos transformer '!A:C,3,FALSE),"na")</f>
        <v>113</v>
      </c>
      <c r="L176" s="1">
        <f>IFERROR(VLOOKUP(B176,'logos transformer '!A:D,4,FALSE),"na")</f>
        <v>45225.159722222219</v>
      </c>
    </row>
    <row r="177" spans="1:12" x14ac:dyDescent="0.3">
      <c r="A177" s="1">
        <v>45218.056944444441</v>
      </c>
      <c r="B177" t="s">
        <v>165</v>
      </c>
      <c r="C177">
        <v>46</v>
      </c>
      <c r="D177" t="s">
        <v>10</v>
      </c>
      <c r="E177" t="str">
        <f>IFERROR(VLOOKUP(logos[[#This Row],[Cell_ID]],'registe maintenance'!A:B,2,FALSE)," non répertoriées")</f>
        <v xml:space="preserve"> non répertoriées</v>
      </c>
      <c r="F177" t="str">
        <f>IFERROR(VLOOKUP(logos[[#This Row],[Cell_ID]],'registe maintenance'!A:C,3,FALSE)," non répertoriées")</f>
        <v xml:space="preserve"> non répertoriées</v>
      </c>
      <c r="G177" t="str">
        <f>IFERROR(VLOOKUP(logos[[#This Row],[Cell_ID]],'registe maintenance'!A:D,4,FALSE)," non répertoriées")</f>
        <v xml:space="preserve"> non répertoriées</v>
      </c>
      <c r="H177" t="str">
        <f>IFERROR(VLOOKUP(logos[[#This Row],[Cell_ID]],'registe maintenance'!A:E,5,FALSE)," non répertoriées")</f>
        <v xml:space="preserve"> non répertoriées</v>
      </c>
      <c r="I177" t="str">
        <f>IFERROR(VLOOKUP(logos[[#This Row],[Cell_ID]],'registe maintenance'!A:F,6,FALSE)," non répertoriées")</f>
        <v xml:space="preserve"> non répertoriées</v>
      </c>
      <c r="J177">
        <f>IFERROR(VLOOKUP(B177,'logos transformer '!A:B,2,FALSE),"na")</f>
        <v>2</v>
      </c>
      <c r="K177">
        <f>IFERROR(VLOOKUP(B177,'logos transformer '!A:C,3,FALSE),"na")</f>
        <v>146</v>
      </c>
      <c r="L177" s="1">
        <f>IFERROR(VLOOKUP(B177,'logos transformer '!A:D,4,FALSE),"na")</f>
        <v>45219.041666666664</v>
      </c>
    </row>
    <row r="178" spans="1:12" x14ac:dyDescent="0.3">
      <c r="A178" s="1">
        <v>45217.570833333331</v>
      </c>
      <c r="B178" t="s">
        <v>166</v>
      </c>
      <c r="C178">
        <v>28</v>
      </c>
      <c r="D178" t="s">
        <v>5</v>
      </c>
      <c r="E178" t="str">
        <f>IFERROR(VLOOKUP(logos[[#This Row],[Cell_ID]],'registe maintenance'!A:B,2,FALSE)," non répertoriées")</f>
        <v xml:space="preserve"> non répertoriées</v>
      </c>
      <c r="F178" t="str">
        <f>IFERROR(VLOOKUP(logos[[#This Row],[Cell_ID]],'registe maintenance'!A:C,3,FALSE)," non répertoriées")</f>
        <v xml:space="preserve"> non répertoriées</v>
      </c>
      <c r="G178" t="str">
        <f>IFERROR(VLOOKUP(logos[[#This Row],[Cell_ID]],'registe maintenance'!A:D,4,FALSE)," non répertoriées")</f>
        <v xml:space="preserve"> non répertoriées</v>
      </c>
      <c r="H178" t="str">
        <f>IFERROR(VLOOKUP(logos[[#This Row],[Cell_ID]],'registe maintenance'!A:E,5,FALSE)," non répertoriées")</f>
        <v xml:space="preserve"> non répertoriées</v>
      </c>
      <c r="I178" t="str">
        <f>IFERROR(VLOOKUP(logos[[#This Row],[Cell_ID]],'registe maintenance'!A:F,6,FALSE)," non répertoriées")</f>
        <v xml:space="preserve"> non répertoriées</v>
      </c>
      <c r="J178">
        <f>IFERROR(VLOOKUP(B178,'logos transformer '!A:B,2,FALSE),"na")</f>
        <v>2</v>
      </c>
      <c r="K178">
        <f>IFERROR(VLOOKUP(B178,'logos transformer '!A:C,3,FALSE),"na")</f>
        <v>43</v>
      </c>
      <c r="L178" s="1">
        <f>IFERROR(VLOOKUP(B178,'logos transformer '!A:D,4,FALSE),"na")</f>
        <v>45217.570833333331</v>
      </c>
    </row>
    <row r="179" spans="1:12" x14ac:dyDescent="0.3">
      <c r="A179" s="1">
        <v>45211.105555555558</v>
      </c>
      <c r="B179" t="s">
        <v>34</v>
      </c>
      <c r="C179">
        <v>67</v>
      </c>
      <c r="D179" t="s">
        <v>5</v>
      </c>
      <c r="E179" t="str">
        <f>IFERROR(VLOOKUP(logos[[#This Row],[Cell_ID]],'registe maintenance'!A:B,2,FALSE)," non répertoriées")</f>
        <v xml:space="preserve"> non répertoriées</v>
      </c>
      <c r="F179" t="str">
        <f>IFERROR(VLOOKUP(logos[[#This Row],[Cell_ID]],'registe maintenance'!A:C,3,FALSE)," non répertoriées")</f>
        <v xml:space="preserve"> non répertoriées</v>
      </c>
      <c r="G179" t="str">
        <f>IFERROR(VLOOKUP(logos[[#This Row],[Cell_ID]],'registe maintenance'!A:D,4,FALSE)," non répertoriées")</f>
        <v xml:space="preserve"> non répertoriées</v>
      </c>
      <c r="H179" t="str">
        <f>IFERROR(VLOOKUP(logos[[#This Row],[Cell_ID]],'registe maintenance'!A:E,5,FALSE)," non répertoriées")</f>
        <v xml:space="preserve"> non répertoriées</v>
      </c>
      <c r="I179" t="str">
        <f>IFERROR(VLOOKUP(logos[[#This Row],[Cell_ID]],'registe maintenance'!A:F,6,FALSE)," non répertoriées")</f>
        <v xml:space="preserve"> non répertoriées</v>
      </c>
      <c r="J179">
        <f>IFERROR(VLOOKUP(B179,'logos transformer '!A:B,2,FALSE),"na")</f>
        <v>5</v>
      </c>
      <c r="K179">
        <f>IFERROR(VLOOKUP(B179,'logos transformer '!A:C,3,FALSE),"na")</f>
        <v>390</v>
      </c>
      <c r="L179" s="1">
        <f>IFERROR(VLOOKUP(B179,'logos transformer '!A:D,4,FALSE),"na")</f>
        <v>45227.306250000001</v>
      </c>
    </row>
    <row r="180" spans="1:12" x14ac:dyDescent="0.3">
      <c r="A180" s="1">
        <v>45220.416666666657</v>
      </c>
      <c r="B180" t="s">
        <v>167</v>
      </c>
      <c r="C180">
        <v>32</v>
      </c>
      <c r="D180" t="s">
        <v>8</v>
      </c>
      <c r="E180" t="str">
        <f>IFERROR(VLOOKUP(logos[[#This Row],[Cell_ID]],'registe maintenance'!A:B,2,FALSE)," non répertoriées")</f>
        <v>Kinshasa</v>
      </c>
      <c r="F180">
        <f>IFERROR(VLOOKUP(logos[[#This Row],[Cell_ID]],'registe maintenance'!A:C,3,FALSE)," non répertoriées")</f>
        <v>-11.991020000000001</v>
      </c>
      <c r="G180">
        <f>IFERROR(VLOOKUP(logos[[#This Row],[Cell_ID]],'registe maintenance'!A:D,4,FALSE)," non répertoriées")</f>
        <v>22.514747</v>
      </c>
      <c r="H180" t="str">
        <f>IFERROR(VLOOKUP(logos[[#This Row],[Cell_ID]],'registe maintenance'!A:E,5,FALSE)," non répertoriées")</f>
        <v>5G</v>
      </c>
      <c r="I180" t="str">
        <f>IFERROR(VLOOKUP(logos[[#This Row],[Cell_ID]],'registe maintenance'!A:F,6,FALSE)," non répertoriées")</f>
        <v>ZTE</v>
      </c>
      <c r="J180">
        <f>IFERROR(VLOOKUP(B180,'logos transformer '!A:B,2,FALSE),"na")</f>
        <v>2</v>
      </c>
      <c r="K180">
        <f>IFERROR(VLOOKUP(B180,'logos transformer '!A:C,3,FALSE),"na")</f>
        <v>98</v>
      </c>
      <c r="L180" s="1">
        <f>IFERROR(VLOOKUP(B180,'logos transformer '!A:D,4,FALSE),"na")</f>
        <v>45220.416666666664</v>
      </c>
    </row>
    <row r="181" spans="1:12" x14ac:dyDescent="0.3">
      <c r="A181" s="1">
        <v>45227.577777777777</v>
      </c>
      <c r="B181" t="s">
        <v>168</v>
      </c>
      <c r="C181">
        <v>50</v>
      </c>
      <c r="D181" t="s">
        <v>10</v>
      </c>
      <c r="E181" t="str">
        <f>IFERROR(VLOOKUP(logos[[#This Row],[Cell_ID]],'registe maintenance'!A:B,2,FALSE)," non répertoriées")</f>
        <v>Tshopo</v>
      </c>
      <c r="F181">
        <f>IFERROR(VLOOKUP(logos[[#This Row],[Cell_ID]],'registe maintenance'!A:C,3,FALSE)," non répertoriées")</f>
        <v>-4.5603610000000003</v>
      </c>
      <c r="G181">
        <f>IFERROR(VLOOKUP(logos[[#This Row],[Cell_ID]],'registe maintenance'!A:D,4,FALSE)," non répertoriées")</f>
        <v>24.113918999999999</v>
      </c>
      <c r="H181" t="str">
        <f>IFERROR(VLOOKUP(logos[[#This Row],[Cell_ID]],'registe maintenance'!A:E,5,FALSE)," non répertoriées")</f>
        <v>5G</v>
      </c>
      <c r="I181" t="str">
        <f>IFERROR(VLOOKUP(logos[[#This Row],[Cell_ID]],'registe maintenance'!A:F,6,FALSE)," non répertoriées")</f>
        <v>ZTE</v>
      </c>
      <c r="J181">
        <f>IFERROR(VLOOKUP(B181,'logos transformer '!A:B,2,FALSE),"na")</f>
        <v>2</v>
      </c>
      <c r="K181">
        <f>IFERROR(VLOOKUP(B181,'logos transformer '!A:C,3,FALSE),"na")</f>
        <v>107</v>
      </c>
      <c r="L181" s="1">
        <f>IFERROR(VLOOKUP(B181,'logos transformer '!A:D,4,FALSE),"na")</f>
        <v>45227.577777777777</v>
      </c>
    </row>
    <row r="182" spans="1:12" x14ac:dyDescent="0.3">
      <c r="A182" s="1">
        <v>45215.143750000003</v>
      </c>
      <c r="B182" t="s">
        <v>169</v>
      </c>
      <c r="C182">
        <v>107</v>
      </c>
      <c r="D182" t="s">
        <v>8</v>
      </c>
      <c r="E182" t="str">
        <f>IFERROR(VLOOKUP(logos[[#This Row],[Cell_ID]],'registe maintenance'!A:B,2,FALSE)," non répertoriées")</f>
        <v xml:space="preserve"> non répertoriées</v>
      </c>
      <c r="F182" t="str">
        <f>IFERROR(VLOOKUP(logos[[#This Row],[Cell_ID]],'registe maintenance'!A:C,3,FALSE)," non répertoriées")</f>
        <v xml:space="preserve"> non répertoriées</v>
      </c>
      <c r="G182" t="str">
        <f>IFERROR(VLOOKUP(logos[[#This Row],[Cell_ID]],'registe maintenance'!A:D,4,FALSE)," non répertoriées")</f>
        <v xml:space="preserve"> non répertoriées</v>
      </c>
      <c r="H182" t="str">
        <f>IFERROR(VLOOKUP(logos[[#This Row],[Cell_ID]],'registe maintenance'!A:E,5,FALSE)," non répertoriées")</f>
        <v xml:space="preserve"> non répertoriées</v>
      </c>
      <c r="I182" t="str">
        <f>IFERROR(VLOOKUP(logos[[#This Row],[Cell_ID]],'registe maintenance'!A:F,6,FALSE)," non répertoriées")</f>
        <v xml:space="preserve"> non répertoriées</v>
      </c>
      <c r="J182">
        <f>IFERROR(VLOOKUP(B182,'logos transformer '!A:B,2,FALSE),"na")</f>
        <v>2</v>
      </c>
      <c r="K182">
        <f>IFERROR(VLOOKUP(B182,'logos transformer '!A:C,3,FALSE),"na")</f>
        <v>114</v>
      </c>
      <c r="L182" s="1">
        <f>IFERROR(VLOOKUP(B182,'logos transformer '!A:D,4,FALSE),"na")</f>
        <v>45215.811111111114</v>
      </c>
    </row>
    <row r="183" spans="1:12" x14ac:dyDescent="0.3">
      <c r="A183" s="1">
        <v>45230.486111111109</v>
      </c>
      <c r="B183" t="s">
        <v>170</v>
      </c>
      <c r="C183">
        <v>38</v>
      </c>
      <c r="D183" t="s">
        <v>5</v>
      </c>
      <c r="E183" t="str">
        <f>IFERROR(VLOOKUP(logos[[#This Row],[Cell_ID]],'registe maintenance'!A:B,2,FALSE)," non répertoriées")</f>
        <v>Nord-Kivu</v>
      </c>
      <c r="F183">
        <f>IFERROR(VLOOKUP(logos[[#This Row],[Cell_ID]],'registe maintenance'!A:C,3,FALSE)," non répertoriées")</f>
        <v>-12.336202</v>
      </c>
      <c r="G183">
        <f>IFERROR(VLOOKUP(logos[[#This Row],[Cell_ID]],'registe maintenance'!A:D,4,FALSE)," non répertoriées")</f>
        <v>13.693683999999999</v>
      </c>
      <c r="H183" t="str">
        <f>IFERROR(VLOOKUP(logos[[#This Row],[Cell_ID]],'registe maintenance'!A:E,5,FALSE)," non répertoriées")</f>
        <v>5G</v>
      </c>
      <c r="I183" t="str">
        <f>IFERROR(VLOOKUP(logos[[#This Row],[Cell_ID]],'registe maintenance'!A:F,6,FALSE)," non répertoriées")</f>
        <v>Huawei</v>
      </c>
      <c r="J183">
        <f>IFERROR(VLOOKUP(B183,'logos transformer '!A:B,2,FALSE),"na")</f>
        <v>4</v>
      </c>
      <c r="K183">
        <f>IFERROR(VLOOKUP(B183,'logos transformer '!A:C,3,FALSE),"na")</f>
        <v>190</v>
      </c>
      <c r="L183" s="1">
        <f>IFERROR(VLOOKUP(B183,'logos transformer '!A:D,4,FALSE),"na")</f>
        <v>45230.486111111109</v>
      </c>
    </row>
    <row r="184" spans="1:12" x14ac:dyDescent="0.3">
      <c r="A184" s="1">
        <v>45228.614583333343</v>
      </c>
      <c r="B184" t="s">
        <v>171</v>
      </c>
      <c r="C184">
        <v>48</v>
      </c>
      <c r="D184" t="s">
        <v>8</v>
      </c>
      <c r="E184" t="str">
        <f>IFERROR(VLOOKUP(logos[[#This Row],[Cell_ID]],'registe maintenance'!A:B,2,FALSE)," non répertoriées")</f>
        <v>Bas-Uele</v>
      </c>
      <c r="F184">
        <f>IFERROR(VLOOKUP(logos[[#This Row],[Cell_ID]],'registe maintenance'!A:C,3,FALSE)," non répertoriées")</f>
        <v>-3.6945459999999999</v>
      </c>
      <c r="G184">
        <f>IFERROR(VLOOKUP(logos[[#This Row],[Cell_ID]],'registe maintenance'!A:D,4,FALSE)," non répertoriées")</f>
        <v>16.809108999999999</v>
      </c>
      <c r="H184" t="str">
        <f>IFERROR(VLOOKUP(logos[[#This Row],[Cell_ID]],'registe maintenance'!A:E,5,FALSE)," non répertoriées")</f>
        <v>5G</v>
      </c>
      <c r="I184" t="str">
        <f>IFERROR(VLOOKUP(logos[[#This Row],[Cell_ID]],'registe maintenance'!A:F,6,FALSE)," non répertoriées")</f>
        <v>ZTE</v>
      </c>
      <c r="J184">
        <f>IFERROR(VLOOKUP(B184,'logos transformer '!A:B,2,FALSE),"na")</f>
        <v>4</v>
      </c>
      <c r="K184">
        <f>IFERROR(VLOOKUP(B184,'logos transformer '!A:C,3,FALSE),"na")</f>
        <v>258</v>
      </c>
      <c r="L184" s="1">
        <f>IFERROR(VLOOKUP(B184,'logos transformer '!A:D,4,FALSE),"na")</f>
        <v>45228.614583333336</v>
      </c>
    </row>
    <row r="185" spans="1:12" x14ac:dyDescent="0.3">
      <c r="A185" s="1">
        <v>45215.597916666673</v>
      </c>
      <c r="B185" t="s">
        <v>172</v>
      </c>
      <c r="C185">
        <v>7</v>
      </c>
      <c r="D185" t="s">
        <v>10</v>
      </c>
      <c r="E185" t="str">
        <f>IFERROR(VLOOKUP(logos[[#This Row],[Cell_ID]],'registe maintenance'!A:B,2,FALSE)," non répertoriées")</f>
        <v xml:space="preserve"> non répertoriées</v>
      </c>
      <c r="F185" t="str">
        <f>IFERROR(VLOOKUP(logos[[#This Row],[Cell_ID]],'registe maintenance'!A:C,3,FALSE)," non répertoriées")</f>
        <v xml:space="preserve"> non répertoriées</v>
      </c>
      <c r="G185" t="str">
        <f>IFERROR(VLOOKUP(logos[[#This Row],[Cell_ID]],'registe maintenance'!A:D,4,FALSE)," non répertoriées")</f>
        <v xml:space="preserve"> non répertoriées</v>
      </c>
      <c r="H185" t="str">
        <f>IFERROR(VLOOKUP(logos[[#This Row],[Cell_ID]],'registe maintenance'!A:E,5,FALSE)," non répertoriées")</f>
        <v xml:space="preserve"> non répertoriées</v>
      </c>
      <c r="I185" t="str">
        <f>IFERROR(VLOOKUP(logos[[#This Row],[Cell_ID]],'registe maintenance'!A:F,6,FALSE)," non répertoriées")</f>
        <v xml:space="preserve"> non répertoriées</v>
      </c>
      <c r="J185">
        <f>IFERROR(VLOOKUP(B185,'logos transformer '!A:B,2,FALSE),"na")</f>
        <v>4</v>
      </c>
      <c r="K185">
        <f>IFERROR(VLOOKUP(B185,'logos transformer '!A:C,3,FALSE),"na")</f>
        <v>162</v>
      </c>
      <c r="L185" s="1">
        <f>IFERROR(VLOOKUP(B185,'logos transformer '!A:D,4,FALSE),"na")</f>
        <v>45220.651388888888</v>
      </c>
    </row>
    <row r="186" spans="1:12" x14ac:dyDescent="0.3">
      <c r="A186" s="1">
        <v>45205.052777777782</v>
      </c>
      <c r="B186" t="s">
        <v>38</v>
      </c>
      <c r="C186">
        <v>102</v>
      </c>
      <c r="D186" t="s">
        <v>8</v>
      </c>
      <c r="E186" t="str">
        <f>IFERROR(VLOOKUP(logos[[#This Row],[Cell_ID]],'registe maintenance'!A:B,2,FALSE)," non répertoriées")</f>
        <v>Kasai</v>
      </c>
      <c r="F186">
        <f>IFERROR(VLOOKUP(logos[[#This Row],[Cell_ID]],'registe maintenance'!A:C,3,FALSE)," non répertoriées")</f>
        <v>-4.9789079999999997</v>
      </c>
      <c r="G186">
        <f>IFERROR(VLOOKUP(logos[[#This Row],[Cell_ID]],'registe maintenance'!A:D,4,FALSE)," non répertoriées")</f>
        <v>28.506295000000001</v>
      </c>
      <c r="H186" t="str">
        <f>IFERROR(VLOOKUP(logos[[#This Row],[Cell_ID]],'registe maintenance'!A:E,5,FALSE)," non répertoriées")</f>
        <v>4G</v>
      </c>
      <c r="I186" t="str">
        <f>IFERROR(VLOOKUP(logos[[#This Row],[Cell_ID]],'registe maintenance'!A:F,6,FALSE)," non répertoriées")</f>
        <v>Huawei</v>
      </c>
      <c r="J186">
        <f>IFERROR(VLOOKUP(B186,'logos transformer '!A:B,2,FALSE),"na")</f>
        <v>2</v>
      </c>
      <c r="K186">
        <f>IFERROR(VLOOKUP(B186,'logos transformer '!A:C,3,FALSE),"na")</f>
        <v>108</v>
      </c>
      <c r="L186" s="1">
        <f>IFERROR(VLOOKUP(B186,'logos transformer '!A:D,4,FALSE),"na")</f>
        <v>45221.836111111108</v>
      </c>
    </row>
    <row r="187" spans="1:12" x14ac:dyDescent="0.3">
      <c r="A187" s="1">
        <v>45230.629861111112</v>
      </c>
      <c r="B187" t="s">
        <v>173</v>
      </c>
      <c r="C187">
        <v>91</v>
      </c>
      <c r="D187" t="s">
        <v>5</v>
      </c>
      <c r="E187" t="str">
        <f>IFERROR(VLOOKUP(logos[[#This Row],[Cell_ID]],'registe maintenance'!A:B,2,FALSE)," non répertoriées")</f>
        <v xml:space="preserve"> non répertoriées</v>
      </c>
      <c r="F187" t="str">
        <f>IFERROR(VLOOKUP(logos[[#This Row],[Cell_ID]],'registe maintenance'!A:C,3,FALSE)," non répertoriées")</f>
        <v xml:space="preserve"> non répertoriées</v>
      </c>
      <c r="G187" t="str">
        <f>IFERROR(VLOOKUP(logos[[#This Row],[Cell_ID]],'registe maintenance'!A:D,4,FALSE)," non répertoriées")</f>
        <v xml:space="preserve"> non répertoriées</v>
      </c>
      <c r="H187" t="str">
        <f>IFERROR(VLOOKUP(logos[[#This Row],[Cell_ID]],'registe maintenance'!A:E,5,FALSE)," non répertoriées")</f>
        <v xml:space="preserve"> non répertoriées</v>
      </c>
      <c r="I187" t="str">
        <f>IFERROR(VLOOKUP(logos[[#This Row],[Cell_ID]],'registe maintenance'!A:F,6,FALSE)," non répertoriées")</f>
        <v xml:space="preserve"> non répertoriées</v>
      </c>
      <c r="J187">
        <f>IFERROR(VLOOKUP(B187,'logos transformer '!A:B,2,FALSE),"na")</f>
        <v>2</v>
      </c>
      <c r="K187">
        <f>IFERROR(VLOOKUP(B187,'logos transformer '!A:C,3,FALSE),"na")</f>
        <v>141</v>
      </c>
      <c r="L187" s="1">
        <f>IFERROR(VLOOKUP(B187,'logos transformer '!A:D,4,FALSE),"na")</f>
        <v>45230.629861111112</v>
      </c>
    </row>
    <row r="188" spans="1:12" x14ac:dyDescent="0.3">
      <c r="A188" s="1">
        <v>45226.100694444453</v>
      </c>
      <c r="B188" t="s">
        <v>174</v>
      </c>
      <c r="C188">
        <v>110</v>
      </c>
      <c r="D188" t="s">
        <v>8</v>
      </c>
      <c r="E188" t="str">
        <f>IFERROR(VLOOKUP(logos[[#This Row],[Cell_ID]],'registe maintenance'!A:B,2,FALSE)," non répertoriées")</f>
        <v>Lomami</v>
      </c>
      <c r="F188">
        <f>IFERROR(VLOOKUP(logos[[#This Row],[Cell_ID]],'registe maintenance'!A:C,3,FALSE)," non répertoriées")</f>
        <v>-2.2681789999999999</v>
      </c>
      <c r="G188">
        <f>IFERROR(VLOOKUP(logos[[#This Row],[Cell_ID]],'registe maintenance'!A:D,4,FALSE)," non répertoriées")</f>
        <v>25.699068</v>
      </c>
      <c r="H188" t="str">
        <f>IFERROR(VLOOKUP(logos[[#This Row],[Cell_ID]],'registe maintenance'!A:E,5,FALSE)," non répertoriées")</f>
        <v>3G</v>
      </c>
      <c r="I188" t="str">
        <f>IFERROR(VLOOKUP(logos[[#This Row],[Cell_ID]],'registe maintenance'!A:F,6,FALSE)," non répertoriées")</f>
        <v>ZTE</v>
      </c>
      <c r="J188">
        <f>IFERROR(VLOOKUP(B188,'logos transformer '!A:B,2,FALSE),"na")</f>
        <v>2</v>
      </c>
      <c r="K188">
        <f>IFERROR(VLOOKUP(B188,'logos transformer '!A:C,3,FALSE),"na")</f>
        <v>219</v>
      </c>
      <c r="L188" s="1">
        <f>IFERROR(VLOOKUP(B188,'logos transformer '!A:D,4,FALSE),"na")</f>
        <v>45226.100694444445</v>
      </c>
    </row>
    <row r="189" spans="1:12" x14ac:dyDescent="0.3">
      <c r="A189" s="1">
        <v>45215.10833333333</v>
      </c>
      <c r="B189" t="s">
        <v>175</v>
      </c>
      <c r="C189">
        <v>39</v>
      </c>
      <c r="D189" t="s">
        <v>10</v>
      </c>
      <c r="E189" t="str">
        <f>IFERROR(VLOOKUP(logos[[#This Row],[Cell_ID]],'registe maintenance'!A:B,2,FALSE)," non répertoriées")</f>
        <v xml:space="preserve"> non répertoriées</v>
      </c>
      <c r="F189" t="str">
        <f>IFERROR(VLOOKUP(logos[[#This Row],[Cell_ID]],'registe maintenance'!A:C,3,FALSE)," non répertoriées")</f>
        <v xml:space="preserve"> non répertoriées</v>
      </c>
      <c r="G189" t="str">
        <f>IFERROR(VLOOKUP(logos[[#This Row],[Cell_ID]],'registe maintenance'!A:D,4,FALSE)," non répertoriées")</f>
        <v xml:space="preserve"> non répertoriées</v>
      </c>
      <c r="H189" t="str">
        <f>IFERROR(VLOOKUP(logos[[#This Row],[Cell_ID]],'registe maintenance'!A:E,5,FALSE)," non répertoriées")</f>
        <v xml:space="preserve"> non répertoriées</v>
      </c>
      <c r="I189" t="str">
        <f>IFERROR(VLOOKUP(logos[[#This Row],[Cell_ID]],'registe maintenance'!A:F,6,FALSE)," non répertoriées")</f>
        <v xml:space="preserve"> non répertoriées</v>
      </c>
      <c r="J189">
        <f>IFERROR(VLOOKUP(B189,'logos transformer '!A:B,2,FALSE),"na")</f>
        <v>2</v>
      </c>
      <c r="K189">
        <f>IFERROR(VLOOKUP(B189,'logos transformer '!A:C,3,FALSE),"na")</f>
        <v>65</v>
      </c>
      <c r="L189" s="1">
        <f>IFERROR(VLOOKUP(B189,'logos transformer '!A:D,4,FALSE),"na")</f>
        <v>45215.10833333333</v>
      </c>
    </row>
    <row r="190" spans="1:12" x14ac:dyDescent="0.3">
      <c r="A190" s="1">
        <v>45220.877083333333</v>
      </c>
      <c r="B190" t="s">
        <v>176</v>
      </c>
      <c r="C190">
        <v>78</v>
      </c>
      <c r="D190" t="s">
        <v>5</v>
      </c>
      <c r="E190" t="str">
        <f>IFERROR(VLOOKUP(logos[[#This Row],[Cell_ID]],'registe maintenance'!A:B,2,FALSE)," non répertoriées")</f>
        <v>Kinshasa</v>
      </c>
      <c r="F190">
        <f>IFERROR(VLOOKUP(logos[[#This Row],[Cell_ID]],'registe maintenance'!A:C,3,FALSE)," non répertoriées")</f>
        <v>-7.5418399999999997</v>
      </c>
      <c r="G190">
        <f>IFERROR(VLOOKUP(logos[[#This Row],[Cell_ID]],'registe maintenance'!A:D,4,FALSE)," non répertoriées")</f>
        <v>16.931206</v>
      </c>
      <c r="H190" t="str">
        <f>IFERROR(VLOOKUP(logos[[#This Row],[Cell_ID]],'registe maintenance'!A:E,5,FALSE)," non répertoriées")</f>
        <v>3G</v>
      </c>
      <c r="I190" t="str">
        <f>IFERROR(VLOOKUP(logos[[#This Row],[Cell_ID]],'registe maintenance'!A:F,6,FALSE)," non répertoriées")</f>
        <v>Nokia</v>
      </c>
      <c r="J190">
        <f>IFERROR(VLOOKUP(B190,'logos transformer '!A:B,2,FALSE),"na")</f>
        <v>2</v>
      </c>
      <c r="K190">
        <f>IFERROR(VLOOKUP(B190,'logos transformer '!A:C,3,FALSE),"na")</f>
        <v>191</v>
      </c>
      <c r="L190" s="1">
        <f>IFERROR(VLOOKUP(B190,'logos transformer '!A:D,4,FALSE),"na")</f>
        <v>45227.195833333331</v>
      </c>
    </row>
    <row r="191" spans="1:12" x14ac:dyDescent="0.3">
      <c r="A191" s="1">
        <v>45204.20208333333</v>
      </c>
      <c r="B191" t="s">
        <v>177</v>
      </c>
      <c r="C191">
        <v>10</v>
      </c>
      <c r="D191" t="s">
        <v>5</v>
      </c>
      <c r="E191" t="str">
        <f>IFERROR(VLOOKUP(logos[[#This Row],[Cell_ID]],'registe maintenance'!A:B,2,FALSE)," non répertoriées")</f>
        <v xml:space="preserve"> non répertoriées</v>
      </c>
      <c r="F191" t="str">
        <f>IFERROR(VLOOKUP(logos[[#This Row],[Cell_ID]],'registe maintenance'!A:C,3,FALSE)," non répertoriées")</f>
        <v xml:space="preserve"> non répertoriées</v>
      </c>
      <c r="G191" t="str">
        <f>IFERROR(VLOOKUP(logos[[#This Row],[Cell_ID]],'registe maintenance'!A:D,4,FALSE)," non répertoriées")</f>
        <v xml:space="preserve"> non répertoriées</v>
      </c>
      <c r="H191" t="str">
        <f>IFERROR(VLOOKUP(logos[[#This Row],[Cell_ID]],'registe maintenance'!A:E,5,FALSE)," non répertoriées")</f>
        <v xml:space="preserve"> non répertoriées</v>
      </c>
      <c r="I191" t="str">
        <f>IFERROR(VLOOKUP(logos[[#This Row],[Cell_ID]],'registe maintenance'!A:F,6,FALSE)," non répertoriées")</f>
        <v xml:space="preserve"> non répertoriées</v>
      </c>
      <c r="J191">
        <f>IFERROR(VLOOKUP(B191,'logos transformer '!A:B,2,FALSE),"na")</f>
        <v>1</v>
      </c>
      <c r="K191">
        <f>IFERROR(VLOOKUP(B191,'logos transformer '!A:C,3,FALSE),"na")</f>
        <v>10</v>
      </c>
      <c r="L191" s="1">
        <f>IFERROR(VLOOKUP(B191,'logos transformer '!A:D,4,FALSE),"na")</f>
        <v>45204.20208333333</v>
      </c>
    </row>
    <row r="192" spans="1:12" x14ac:dyDescent="0.3">
      <c r="A192" s="1">
        <v>45218.378472222219</v>
      </c>
      <c r="B192" t="s">
        <v>178</v>
      </c>
      <c r="C192">
        <v>102</v>
      </c>
      <c r="D192" t="s">
        <v>5</v>
      </c>
      <c r="E192" t="str">
        <f>IFERROR(VLOOKUP(logos[[#This Row],[Cell_ID]],'registe maintenance'!A:B,2,FALSE)," non répertoriées")</f>
        <v>Kasai-Central</v>
      </c>
      <c r="F192">
        <f>IFERROR(VLOOKUP(logos[[#This Row],[Cell_ID]],'registe maintenance'!A:C,3,FALSE)," non répertoriées")</f>
        <v>-4.4451280000000004</v>
      </c>
      <c r="G192">
        <f>IFERROR(VLOOKUP(logos[[#This Row],[Cell_ID]],'registe maintenance'!A:D,4,FALSE)," non répertoriées")</f>
        <v>16.536944999999999</v>
      </c>
      <c r="H192" t="str">
        <f>IFERROR(VLOOKUP(logos[[#This Row],[Cell_ID]],'registe maintenance'!A:E,5,FALSE)," non répertoriées")</f>
        <v>4G</v>
      </c>
      <c r="I192" t="str">
        <f>IFERROR(VLOOKUP(logos[[#This Row],[Cell_ID]],'registe maintenance'!A:F,6,FALSE)," non répertoriées")</f>
        <v>Ericsson</v>
      </c>
      <c r="J192">
        <f>IFERROR(VLOOKUP(B192,'logos transformer '!A:B,2,FALSE),"na")</f>
        <v>2</v>
      </c>
      <c r="K192">
        <f>IFERROR(VLOOKUP(B192,'logos transformer '!A:C,3,FALSE),"na")</f>
        <v>209</v>
      </c>
      <c r="L192" s="1">
        <f>IFERROR(VLOOKUP(B192,'logos transformer '!A:D,4,FALSE),"na")</f>
        <v>45221.772222222222</v>
      </c>
    </row>
    <row r="193" spans="1:12" x14ac:dyDescent="0.3">
      <c r="A193" s="1">
        <v>45207.149305555547</v>
      </c>
      <c r="B193" t="s">
        <v>179</v>
      </c>
      <c r="C193">
        <v>101</v>
      </c>
      <c r="D193" t="s">
        <v>10</v>
      </c>
      <c r="E193" t="str">
        <f>IFERROR(VLOOKUP(logos[[#This Row],[Cell_ID]],'registe maintenance'!A:B,2,FALSE)," non répertoriées")</f>
        <v>Lualaba</v>
      </c>
      <c r="F193">
        <f>IFERROR(VLOOKUP(logos[[#This Row],[Cell_ID]],'registe maintenance'!A:C,3,FALSE)," non répertoriées")</f>
        <v>-10.872631999999999</v>
      </c>
      <c r="G193">
        <f>IFERROR(VLOOKUP(logos[[#This Row],[Cell_ID]],'registe maintenance'!A:D,4,FALSE)," non répertoriées")</f>
        <v>12.773279</v>
      </c>
      <c r="H193" t="str">
        <f>IFERROR(VLOOKUP(logos[[#This Row],[Cell_ID]],'registe maintenance'!A:E,5,FALSE)," non répertoriées")</f>
        <v>3G</v>
      </c>
      <c r="I193" t="str">
        <f>IFERROR(VLOOKUP(logos[[#This Row],[Cell_ID]],'registe maintenance'!A:F,6,FALSE)," non répertoriées")</f>
        <v>ZTE</v>
      </c>
      <c r="J193">
        <f>IFERROR(VLOOKUP(B193,'logos transformer '!A:B,2,FALSE),"na")</f>
        <v>3</v>
      </c>
      <c r="K193">
        <f>IFERROR(VLOOKUP(B193,'logos transformer '!A:C,3,FALSE),"na")</f>
        <v>163</v>
      </c>
      <c r="L193" s="1">
        <f>IFERROR(VLOOKUP(B193,'logos transformer '!A:D,4,FALSE),"na")</f>
        <v>45209.898611111108</v>
      </c>
    </row>
    <row r="194" spans="1:12" x14ac:dyDescent="0.3">
      <c r="A194" s="1">
        <v>45224.568055555559</v>
      </c>
      <c r="B194" t="s">
        <v>180</v>
      </c>
      <c r="C194">
        <v>27</v>
      </c>
      <c r="D194" t="s">
        <v>5</v>
      </c>
      <c r="E194" t="str">
        <f>IFERROR(VLOOKUP(logos[[#This Row],[Cell_ID]],'registe maintenance'!A:B,2,FALSE)," non répertoriées")</f>
        <v>Mai-Ndombe</v>
      </c>
      <c r="F194">
        <f>IFERROR(VLOOKUP(logos[[#This Row],[Cell_ID]],'registe maintenance'!A:C,3,FALSE)," non répertoriées")</f>
        <v>-10.442425</v>
      </c>
      <c r="G194">
        <f>IFERROR(VLOOKUP(logos[[#This Row],[Cell_ID]],'registe maintenance'!A:D,4,FALSE)," non répertoriées")</f>
        <v>23.243632000000002</v>
      </c>
      <c r="H194" t="str">
        <f>IFERROR(VLOOKUP(logos[[#This Row],[Cell_ID]],'registe maintenance'!A:E,5,FALSE)," non répertoriées")</f>
        <v>4G</v>
      </c>
      <c r="I194" t="str">
        <f>IFERROR(VLOOKUP(logos[[#This Row],[Cell_ID]],'registe maintenance'!A:F,6,FALSE)," non répertoriées")</f>
        <v>Nokia</v>
      </c>
      <c r="J194">
        <f>IFERROR(VLOOKUP(B194,'logos transformer '!A:B,2,FALSE),"na")</f>
        <v>1</v>
      </c>
      <c r="K194">
        <f>IFERROR(VLOOKUP(B194,'logos transformer '!A:C,3,FALSE),"na")</f>
        <v>27</v>
      </c>
      <c r="L194" s="1">
        <f>IFERROR(VLOOKUP(B194,'logos transformer '!A:D,4,FALSE),"na")</f>
        <v>45224.568055555559</v>
      </c>
    </row>
    <row r="195" spans="1:12" x14ac:dyDescent="0.3">
      <c r="A195" s="1">
        <v>45219.801388888889</v>
      </c>
      <c r="B195" t="s">
        <v>181</v>
      </c>
      <c r="C195">
        <v>65</v>
      </c>
      <c r="D195" t="s">
        <v>8</v>
      </c>
      <c r="E195" t="str">
        <f>IFERROR(VLOOKUP(logos[[#This Row],[Cell_ID]],'registe maintenance'!A:B,2,FALSE)," non répertoriées")</f>
        <v>Tshuapa</v>
      </c>
      <c r="F195">
        <f>IFERROR(VLOOKUP(logos[[#This Row],[Cell_ID]],'registe maintenance'!A:C,3,FALSE)," non répertoriées")</f>
        <v>0.52897499999999997</v>
      </c>
      <c r="G195">
        <f>IFERROR(VLOOKUP(logos[[#This Row],[Cell_ID]],'registe maintenance'!A:D,4,FALSE)," non répertoriées")</f>
        <v>13.849651</v>
      </c>
      <c r="H195" t="str">
        <f>IFERROR(VLOOKUP(logos[[#This Row],[Cell_ID]],'registe maintenance'!A:E,5,FALSE)," non répertoriées")</f>
        <v>3G</v>
      </c>
      <c r="I195" t="str">
        <f>IFERROR(VLOOKUP(logos[[#This Row],[Cell_ID]],'registe maintenance'!A:F,6,FALSE)," non répertoriées")</f>
        <v>ZTE</v>
      </c>
      <c r="J195">
        <f>IFERROR(VLOOKUP(B195,'logos transformer '!A:B,2,FALSE),"na")</f>
        <v>1</v>
      </c>
      <c r="K195">
        <f>IFERROR(VLOOKUP(B195,'logos transformer '!A:C,3,FALSE),"na")</f>
        <v>65</v>
      </c>
      <c r="L195" s="1">
        <f>IFERROR(VLOOKUP(B195,'logos transformer '!A:D,4,FALSE),"na")</f>
        <v>45219.801388888889</v>
      </c>
    </row>
    <row r="196" spans="1:12" x14ac:dyDescent="0.3">
      <c r="A196" s="1">
        <v>45224.683333333327</v>
      </c>
      <c r="B196" t="s">
        <v>182</v>
      </c>
      <c r="C196">
        <v>71</v>
      </c>
      <c r="D196" t="s">
        <v>5</v>
      </c>
      <c r="E196" t="str">
        <f>IFERROR(VLOOKUP(logos[[#This Row],[Cell_ID]],'registe maintenance'!A:B,2,FALSE)," non répertoriées")</f>
        <v xml:space="preserve"> non répertoriées</v>
      </c>
      <c r="F196" t="str">
        <f>IFERROR(VLOOKUP(logos[[#This Row],[Cell_ID]],'registe maintenance'!A:C,3,FALSE)," non répertoriées")</f>
        <v xml:space="preserve"> non répertoriées</v>
      </c>
      <c r="G196" t="str">
        <f>IFERROR(VLOOKUP(logos[[#This Row],[Cell_ID]],'registe maintenance'!A:D,4,FALSE)," non répertoriées")</f>
        <v xml:space="preserve"> non répertoriées</v>
      </c>
      <c r="H196" t="str">
        <f>IFERROR(VLOOKUP(logos[[#This Row],[Cell_ID]],'registe maintenance'!A:E,5,FALSE)," non répertoriées")</f>
        <v xml:space="preserve"> non répertoriées</v>
      </c>
      <c r="I196" t="str">
        <f>IFERROR(VLOOKUP(logos[[#This Row],[Cell_ID]],'registe maintenance'!A:F,6,FALSE)," non répertoriées")</f>
        <v xml:space="preserve"> non répertoriées</v>
      </c>
      <c r="J196">
        <f>IFERROR(VLOOKUP(B196,'logos transformer '!A:B,2,FALSE),"na")</f>
        <v>2</v>
      </c>
      <c r="K196">
        <f>IFERROR(VLOOKUP(B196,'logos transformer '!A:C,3,FALSE),"na")</f>
        <v>125</v>
      </c>
      <c r="L196" s="1">
        <f>IFERROR(VLOOKUP(B196,'logos transformer '!A:D,4,FALSE),"na")</f>
        <v>45224.683333333334</v>
      </c>
    </row>
    <row r="197" spans="1:12" x14ac:dyDescent="0.3">
      <c r="A197" s="1">
        <v>45214.59652777778</v>
      </c>
      <c r="B197" t="s">
        <v>183</v>
      </c>
      <c r="C197">
        <v>88</v>
      </c>
      <c r="D197" t="s">
        <v>10</v>
      </c>
      <c r="E197" t="str">
        <f>IFERROR(VLOOKUP(logos[[#This Row],[Cell_ID]],'registe maintenance'!A:B,2,FALSE)," non répertoriées")</f>
        <v xml:space="preserve"> non répertoriées</v>
      </c>
      <c r="F197" t="str">
        <f>IFERROR(VLOOKUP(logos[[#This Row],[Cell_ID]],'registe maintenance'!A:C,3,FALSE)," non répertoriées")</f>
        <v xml:space="preserve"> non répertoriées</v>
      </c>
      <c r="G197" t="str">
        <f>IFERROR(VLOOKUP(logos[[#This Row],[Cell_ID]],'registe maintenance'!A:D,4,FALSE)," non répertoriées")</f>
        <v xml:space="preserve"> non répertoriées</v>
      </c>
      <c r="H197" t="str">
        <f>IFERROR(VLOOKUP(logos[[#This Row],[Cell_ID]],'registe maintenance'!A:E,5,FALSE)," non répertoriées")</f>
        <v xml:space="preserve"> non répertoriées</v>
      </c>
      <c r="I197" t="str">
        <f>IFERROR(VLOOKUP(logos[[#This Row],[Cell_ID]],'registe maintenance'!A:F,6,FALSE)," non répertoriées")</f>
        <v xml:space="preserve"> non répertoriées</v>
      </c>
      <c r="J197">
        <f>IFERROR(VLOOKUP(B197,'logos transformer '!A:B,2,FALSE),"na")</f>
        <v>3</v>
      </c>
      <c r="K197">
        <f>IFERROR(VLOOKUP(B197,'logos transformer '!A:C,3,FALSE),"na")</f>
        <v>254</v>
      </c>
      <c r="L197" s="1">
        <f>IFERROR(VLOOKUP(B197,'logos transformer '!A:D,4,FALSE),"na")</f>
        <v>45219.818749999999</v>
      </c>
    </row>
    <row r="198" spans="1:12" x14ac:dyDescent="0.3">
      <c r="A198" s="1">
        <v>45227.768750000003</v>
      </c>
      <c r="B198" t="s">
        <v>184</v>
      </c>
      <c r="C198">
        <v>61</v>
      </c>
      <c r="D198" t="s">
        <v>8</v>
      </c>
      <c r="E198" t="str">
        <f>IFERROR(VLOOKUP(logos[[#This Row],[Cell_ID]],'registe maintenance'!A:B,2,FALSE)," non répertoriées")</f>
        <v xml:space="preserve"> non répertoriées</v>
      </c>
      <c r="F198" t="str">
        <f>IFERROR(VLOOKUP(logos[[#This Row],[Cell_ID]],'registe maintenance'!A:C,3,FALSE)," non répertoriées")</f>
        <v xml:space="preserve"> non répertoriées</v>
      </c>
      <c r="G198" t="str">
        <f>IFERROR(VLOOKUP(logos[[#This Row],[Cell_ID]],'registe maintenance'!A:D,4,FALSE)," non répertoriées")</f>
        <v xml:space="preserve"> non répertoriées</v>
      </c>
      <c r="H198" t="str">
        <f>IFERROR(VLOOKUP(logos[[#This Row],[Cell_ID]],'registe maintenance'!A:E,5,FALSE)," non répertoriées")</f>
        <v xml:space="preserve"> non répertoriées</v>
      </c>
      <c r="I198" t="str">
        <f>IFERROR(VLOOKUP(logos[[#This Row],[Cell_ID]],'registe maintenance'!A:F,6,FALSE)," non répertoriées")</f>
        <v xml:space="preserve"> non répertoriées</v>
      </c>
      <c r="J198">
        <f>IFERROR(VLOOKUP(B198,'logos transformer '!A:B,2,FALSE),"na")</f>
        <v>1</v>
      </c>
      <c r="K198">
        <f>IFERROR(VLOOKUP(B198,'logos transformer '!A:C,3,FALSE),"na")</f>
        <v>61</v>
      </c>
      <c r="L198" s="1">
        <f>IFERROR(VLOOKUP(B198,'logos transformer '!A:D,4,FALSE),"na")</f>
        <v>45227.768750000003</v>
      </c>
    </row>
    <row r="199" spans="1:12" x14ac:dyDescent="0.3">
      <c r="A199" s="1">
        <v>45209.777083333327</v>
      </c>
      <c r="B199" t="s">
        <v>185</v>
      </c>
      <c r="C199">
        <v>40</v>
      </c>
      <c r="D199" t="s">
        <v>10</v>
      </c>
      <c r="E199" t="str">
        <f>IFERROR(VLOOKUP(logos[[#This Row],[Cell_ID]],'registe maintenance'!A:B,2,FALSE)," non répertoriées")</f>
        <v>Lualaba</v>
      </c>
      <c r="F199">
        <f>IFERROR(VLOOKUP(logos[[#This Row],[Cell_ID]],'registe maintenance'!A:C,3,FALSE)," non répertoriées")</f>
        <v>-9.5243310000000001</v>
      </c>
      <c r="G199">
        <f>IFERROR(VLOOKUP(logos[[#This Row],[Cell_ID]],'registe maintenance'!A:D,4,FALSE)," non répertoriées")</f>
        <v>30.541212000000002</v>
      </c>
      <c r="H199" t="str">
        <f>IFERROR(VLOOKUP(logos[[#This Row],[Cell_ID]],'registe maintenance'!A:E,5,FALSE)," non répertoriées")</f>
        <v>3G</v>
      </c>
      <c r="I199" t="str">
        <f>IFERROR(VLOOKUP(logos[[#This Row],[Cell_ID]],'registe maintenance'!A:F,6,FALSE)," non répertoriées")</f>
        <v>Ericsson</v>
      </c>
      <c r="J199">
        <f>IFERROR(VLOOKUP(B199,'logos transformer '!A:B,2,FALSE),"na")</f>
        <v>3</v>
      </c>
      <c r="K199">
        <f>IFERROR(VLOOKUP(B199,'logos transformer '!A:C,3,FALSE),"na")</f>
        <v>126</v>
      </c>
      <c r="L199" s="1">
        <f>IFERROR(VLOOKUP(B199,'logos transformer '!A:D,4,FALSE),"na")</f>
        <v>45230.119444444441</v>
      </c>
    </row>
    <row r="200" spans="1:12" x14ac:dyDescent="0.3">
      <c r="A200" s="1">
        <v>45201.824305555558</v>
      </c>
      <c r="B200" t="s">
        <v>186</v>
      </c>
      <c r="C200">
        <v>28</v>
      </c>
      <c r="D200" t="s">
        <v>8</v>
      </c>
      <c r="E200" t="str">
        <f>IFERROR(VLOOKUP(logos[[#This Row],[Cell_ID]],'registe maintenance'!A:B,2,FALSE)," non répertoriées")</f>
        <v>Mai-Ndombe</v>
      </c>
      <c r="F200">
        <f>IFERROR(VLOOKUP(logos[[#This Row],[Cell_ID]],'registe maintenance'!A:C,3,FALSE)," non répertoriées")</f>
        <v>-9.3652280000000001</v>
      </c>
      <c r="G200">
        <f>IFERROR(VLOOKUP(logos[[#This Row],[Cell_ID]],'registe maintenance'!A:D,4,FALSE)," non répertoriées")</f>
        <v>18.674116000000001</v>
      </c>
      <c r="H200" t="str">
        <f>IFERROR(VLOOKUP(logos[[#This Row],[Cell_ID]],'registe maintenance'!A:E,5,FALSE)," non répertoriées")</f>
        <v>4G</v>
      </c>
      <c r="I200" t="str">
        <f>IFERROR(VLOOKUP(logos[[#This Row],[Cell_ID]],'registe maintenance'!A:F,6,FALSE)," non répertoriées")</f>
        <v>Huawei</v>
      </c>
      <c r="J200">
        <f>IFERROR(VLOOKUP(B200,'logos transformer '!A:B,2,FALSE),"na")</f>
        <v>4</v>
      </c>
      <c r="K200">
        <f>IFERROR(VLOOKUP(B200,'logos transformer '!A:C,3,FALSE),"na")</f>
        <v>177</v>
      </c>
      <c r="L200" s="1">
        <f>IFERROR(VLOOKUP(B200,'logos transformer '!A:D,4,FALSE),"na")</f>
        <v>45224.98333333333</v>
      </c>
    </row>
    <row r="201" spans="1:12" x14ac:dyDescent="0.3">
      <c r="A201" s="1">
        <v>45203.277777777781</v>
      </c>
      <c r="B201" t="s">
        <v>187</v>
      </c>
      <c r="C201">
        <v>79</v>
      </c>
      <c r="D201" t="s">
        <v>8</v>
      </c>
      <c r="E201" t="str">
        <f>IFERROR(VLOOKUP(logos[[#This Row],[Cell_ID]],'registe maintenance'!A:B,2,FALSE)," non répertoriées")</f>
        <v xml:space="preserve"> non répertoriées</v>
      </c>
      <c r="F201" t="str">
        <f>IFERROR(VLOOKUP(logos[[#This Row],[Cell_ID]],'registe maintenance'!A:C,3,FALSE)," non répertoriées")</f>
        <v xml:space="preserve"> non répertoriées</v>
      </c>
      <c r="G201" t="str">
        <f>IFERROR(VLOOKUP(logos[[#This Row],[Cell_ID]],'registe maintenance'!A:D,4,FALSE)," non répertoriées")</f>
        <v xml:space="preserve"> non répertoriées</v>
      </c>
      <c r="H201" t="str">
        <f>IFERROR(VLOOKUP(logos[[#This Row],[Cell_ID]],'registe maintenance'!A:E,5,FALSE)," non répertoriées")</f>
        <v xml:space="preserve"> non répertoriées</v>
      </c>
      <c r="I201" t="str">
        <f>IFERROR(VLOOKUP(logos[[#This Row],[Cell_ID]],'registe maintenance'!A:F,6,FALSE)," non répertoriées")</f>
        <v xml:space="preserve"> non répertoriées</v>
      </c>
      <c r="J201">
        <f>IFERROR(VLOOKUP(B201,'logos transformer '!A:B,2,FALSE),"na")</f>
        <v>3</v>
      </c>
      <c r="K201">
        <f>IFERROR(VLOOKUP(B201,'logos transformer '!A:C,3,FALSE),"na")</f>
        <v>217</v>
      </c>
      <c r="L201" s="1">
        <f>IFERROR(VLOOKUP(B201,'logos transformer '!A:D,4,FALSE),"na")</f>
        <v>45226.975694444445</v>
      </c>
    </row>
    <row r="202" spans="1:12" x14ac:dyDescent="0.3">
      <c r="A202" s="1">
        <v>45206.362500000003</v>
      </c>
      <c r="B202" t="s">
        <v>188</v>
      </c>
      <c r="C202">
        <v>60</v>
      </c>
      <c r="D202" t="s">
        <v>10</v>
      </c>
      <c r="E202" t="str">
        <f>IFERROR(VLOOKUP(logos[[#This Row],[Cell_ID]],'registe maintenance'!A:B,2,FALSE)," non répertoriées")</f>
        <v>Maniema</v>
      </c>
      <c r="F202">
        <f>IFERROR(VLOOKUP(logos[[#This Row],[Cell_ID]],'registe maintenance'!A:C,3,FALSE)," non répertoriées")</f>
        <v>-4.2645619999999997</v>
      </c>
      <c r="G202">
        <f>IFERROR(VLOOKUP(logos[[#This Row],[Cell_ID]],'registe maintenance'!A:D,4,FALSE)," non répertoriées")</f>
        <v>18.960726000000001</v>
      </c>
      <c r="H202" t="str">
        <f>IFERROR(VLOOKUP(logos[[#This Row],[Cell_ID]],'registe maintenance'!A:E,5,FALSE)," non répertoriées")</f>
        <v>4G</v>
      </c>
      <c r="I202" t="str">
        <f>IFERROR(VLOOKUP(logos[[#This Row],[Cell_ID]],'registe maintenance'!A:F,6,FALSE)," non répertoriées")</f>
        <v>Huawei</v>
      </c>
      <c r="J202">
        <f>IFERROR(VLOOKUP(B202,'logos transformer '!A:B,2,FALSE),"na")</f>
        <v>2</v>
      </c>
      <c r="K202">
        <f>IFERROR(VLOOKUP(B202,'logos transformer '!A:C,3,FALSE),"na")</f>
        <v>145</v>
      </c>
      <c r="L202" s="1">
        <f>IFERROR(VLOOKUP(B202,'logos transformer '!A:D,4,FALSE),"na")</f>
        <v>45210.38958333333</v>
      </c>
    </row>
    <row r="203" spans="1:12" x14ac:dyDescent="0.3">
      <c r="A203" s="1">
        <v>45202.21875</v>
      </c>
      <c r="B203" t="s">
        <v>189</v>
      </c>
      <c r="C203">
        <v>86</v>
      </c>
      <c r="D203" t="s">
        <v>10</v>
      </c>
      <c r="E203" t="str">
        <f>IFERROR(VLOOKUP(logos[[#This Row],[Cell_ID]],'registe maintenance'!A:B,2,FALSE)," non répertoriées")</f>
        <v>Haut-Lomami</v>
      </c>
      <c r="F203">
        <f>IFERROR(VLOOKUP(logos[[#This Row],[Cell_ID]],'registe maintenance'!A:C,3,FALSE)," non répertoriées")</f>
        <v>-12.112682</v>
      </c>
      <c r="G203">
        <f>IFERROR(VLOOKUP(logos[[#This Row],[Cell_ID]],'registe maintenance'!A:D,4,FALSE)," non répertoriées")</f>
        <v>19.972052000000001</v>
      </c>
      <c r="H203" t="str">
        <f>IFERROR(VLOOKUP(logos[[#This Row],[Cell_ID]],'registe maintenance'!A:E,5,FALSE)," non répertoriées")</f>
        <v>4G</v>
      </c>
      <c r="I203" t="str">
        <f>IFERROR(VLOOKUP(logos[[#This Row],[Cell_ID]],'registe maintenance'!A:F,6,FALSE)," non répertoriées")</f>
        <v>Huawei</v>
      </c>
      <c r="J203">
        <f>IFERROR(VLOOKUP(B203,'logos transformer '!A:B,2,FALSE),"na")</f>
        <v>2</v>
      </c>
      <c r="K203">
        <f>IFERROR(VLOOKUP(B203,'logos transformer '!A:C,3,FALSE),"na")</f>
        <v>181</v>
      </c>
      <c r="L203" s="1">
        <f>IFERROR(VLOOKUP(B203,'logos transformer '!A:D,4,FALSE),"na")</f>
        <v>45210.458333333336</v>
      </c>
    </row>
    <row r="204" spans="1:12" x14ac:dyDescent="0.3">
      <c r="A204" s="1">
        <v>45205.711111111108</v>
      </c>
      <c r="B204" t="s">
        <v>190</v>
      </c>
      <c r="C204">
        <v>109</v>
      </c>
      <c r="D204" t="s">
        <v>10</v>
      </c>
      <c r="E204" t="str">
        <f>IFERROR(VLOOKUP(logos[[#This Row],[Cell_ID]],'registe maintenance'!A:B,2,FALSE)," non répertoriées")</f>
        <v xml:space="preserve"> non répertoriées</v>
      </c>
      <c r="F204" t="str">
        <f>IFERROR(VLOOKUP(logos[[#This Row],[Cell_ID]],'registe maintenance'!A:C,3,FALSE)," non répertoriées")</f>
        <v xml:space="preserve"> non répertoriées</v>
      </c>
      <c r="G204" t="str">
        <f>IFERROR(VLOOKUP(logos[[#This Row],[Cell_ID]],'registe maintenance'!A:D,4,FALSE)," non répertoriées")</f>
        <v xml:space="preserve"> non répertoriées</v>
      </c>
      <c r="H204" t="str">
        <f>IFERROR(VLOOKUP(logos[[#This Row],[Cell_ID]],'registe maintenance'!A:E,5,FALSE)," non répertoriées")</f>
        <v xml:space="preserve"> non répertoriées</v>
      </c>
      <c r="I204" t="str">
        <f>IFERROR(VLOOKUP(logos[[#This Row],[Cell_ID]],'registe maintenance'!A:F,6,FALSE)," non répertoriées")</f>
        <v xml:space="preserve"> non répertoriées</v>
      </c>
      <c r="J204">
        <f>IFERROR(VLOOKUP(B204,'logos transformer '!A:B,2,FALSE),"na")</f>
        <v>2</v>
      </c>
      <c r="K204">
        <f>IFERROR(VLOOKUP(B204,'logos transformer '!A:C,3,FALSE),"na")</f>
        <v>118</v>
      </c>
      <c r="L204" s="1">
        <f>IFERROR(VLOOKUP(B204,'logos transformer '!A:D,4,FALSE),"na")</f>
        <v>45205.711111111108</v>
      </c>
    </row>
    <row r="205" spans="1:12" x14ac:dyDescent="0.3">
      <c r="A205" s="1">
        <v>45205.018055555563</v>
      </c>
      <c r="B205" t="s">
        <v>191</v>
      </c>
      <c r="C205">
        <v>67</v>
      </c>
      <c r="D205" t="s">
        <v>10</v>
      </c>
      <c r="E205" t="str">
        <f>IFERROR(VLOOKUP(logos[[#This Row],[Cell_ID]],'registe maintenance'!A:B,2,FALSE)," non répertoriées")</f>
        <v>Bas-Uele</v>
      </c>
      <c r="F205">
        <f>IFERROR(VLOOKUP(logos[[#This Row],[Cell_ID]],'registe maintenance'!A:C,3,FALSE)," non répertoriées")</f>
        <v>1.5278670000000001</v>
      </c>
      <c r="G205">
        <f>IFERROR(VLOOKUP(logos[[#This Row],[Cell_ID]],'registe maintenance'!A:D,4,FALSE)," non répertoriées")</f>
        <v>13.899388999999999</v>
      </c>
      <c r="H205" t="str">
        <f>IFERROR(VLOOKUP(logos[[#This Row],[Cell_ID]],'registe maintenance'!A:E,5,FALSE)," non répertoriées")</f>
        <v>3G</v>
      </c>
      <c r="I205" t="str">
        <f>IFERROR(VLOOKUP(logos[[#This Row],[Cell_ID]],'registe maintenance'!A:F,6,FALSE)," non répertoriées")</f>
        <v>Huawei</v>
      </c>
      <c r="J205">
        <f>IFERROR(VLOOKUP(B205,'logos transformer '!A:B,2,FALSE),"na")</f>
        <v>5</v>
      </c>
      <c r="K205">
        <f>IFERROR(VLOOKUP(B205,'logos transformer '!A:C,3,FALSE),"na")</f>
        <v>273</v>
      </c>
      <c r="L205" s="1">
        <f>IFERROR(VLOOKUP(B205,'logos transformer '!A:D,4,FALSE),"na")</f>
        <v>45223.436111111114</v>
      </c>
    </row>
    <row r="206" spans="1:12" x14ac:dyDescent="0.3">
      <c r="A206" s="1">
        <v>45214.943055555559</v>
      </c>
      <c r="B206" t="s">
        <v>192</v>
      </c>
      <c r="C206">
        <v>16</v>
      </c>
      <c r="D206" t="s">
        <v>5</v>
      </c>
      <c r="E206" t="str">
        <f>IFERROR(VLOOKUP(logos[[#This Row],[Cell_ID]],'registe maintenance'!A:B,2,FALSE)," non répertoriées")</f>
        <v>Haut-Lomami</v>
      </c>
      <c r="F206">
        <f>IFERROR(VLOOKUP(logos[[#This Row],[Cell_ID]],'registe maintenance'!A:C,3,FALSE)," non répertoriées")</f>
        <v>1.210869</v>
      </c>
      <c r="G206">
        <f>IFERROR(VLOOKUP(logos[[#This Row],[Cell_ID]],'registe maintenance'!A:D,4,FALSE)," non répertoriées")</f>
        <v>25.598741</v>
      </c>
      <c r="H206" t="str">
        <f>IFERROR(VLOOKUP(logos[[#This Row],[Cell_ID]],'registe maintenance'!A:E,5,FALSE)," non répertoriées")</f>
        <v>4G</v>
      </c>
      <c r="I206" t="str">
        <f>IFERROR(VLOOKUP(logos[[#This Row],[Cell_ID]],'registe maintenance'!A:F,6,FALSE)," non répertoriées")</f>
        <v>Ericsson</v>
      </c>
      <c r="J206">
        <f>IFERROR(VLOOKUP(B206,'logos transformer '!A:B,2,FALSE),"na")</f>
        <v>3</v>
      </c>
      <c r="K206">
        <f>IFERROR(VLOOKUP(B206,'logos transformer '!A:C,3,FALSE),"na")</f>
        <v>106</v>
      </c>
      <c r="L206" s="1">
        <f>IFERROR(VLOOKUP(B206,'logos transformer '!A:D,4,FALSE),"na")</f>
        <v>45214.943055555559</v>
      </c>
    </row>
    <row r="207" spans="1:12" x14ac:dyDescent="0.3">
      <c r="A207" s="1">
        <v>45215.376388888893</v>
      </c>
      <c r="B207" t="s">
        <v>22</v>
      </c>
      <c r="C207">
        <v>65</v>
      </c>
      <c r="D207" t="s">
        <v>10</v>
      </c>
      <c r="E207" t="str">
        <f>IFERROR(VLOOKUP(logos[[#This Row],[Cell_ID]],'registe maintenance'!A:B,2,FALSE)," non répertoriées")</f>
        <v>Lomami</v>
      </c>
      <c r="F207">
        <f>IFERROR(VLOOKUP(logos[[#This Row],[Cell_ID]],'registe maintenance'!A:C,3,FALSE)," non répertoriées")</f>
        <v>-2.2371569999999998</v>
      </c>
      <c r="G207">
        <f>IFERROR(VLOOKUP(logos[[#This Row],[Cell_ID]],'registe maintenance'!A:D,4,FALSE)," non répertoriées")</f>
        <v>25.926188</v>
      </c>
      <c r="H207" t="str">
        <f>IFERROR(VLOOKUP(logos[[#This Row],[Cell_ID]],'registe maintenance'!A:E,5,FALSE)," non répertoriées")</f>
        <v>3G</v>
      </c>
      <c r="I207" t="str">
        <f>IFERROR(VLOOKUP(logos[[#This Row],[Cell_ID]],'registe maintenance'!A:F,6,FALSE)," non répertoriées")</f>
        <v>Nokia</v>
      </c>
      <c r="J207">
        <f>IFERROR(VLOOKUP(B207,'logos transformer '!A:B,2,FALSE),"na")</f>
        <v>3</v>
      </c>
      <c r="K207">
        <f>IFERROR(VLOOKUP(B207,'logos transformer '!A:C,3,FALSE),"na")</f>
        <v>171</v>
      </c>
      <c r="L207" s="1">
        <f>IFERROR(VLOOKUP(B207,'logos transformer '!A:D,4,FALSE),"na")</f>
        <v>45224.482638888891</v>
      </c>
    </row>
    <row r="208" spans="1:12" x14ac:dyDescent="0.3">
      <c r="A208" s="1">
        <v>45207.40625</v>
      </c>
      <c r="B208" t="s">
        <v>72</v>
      </c>
      <c r="C208">
        <v>49</v>
      </c>
      <c r="D208" t="s">
        <v>8</v>
      </c>
      <c r="E208" t="str">
        <f>IFERROR(VLOOKUP(logos[[#This Row],[Cell_ID]],'registe maintenance'!A:B,2,FALSE)," non répertoriées")</f>
        <v xml:space="preserve"> non répertoriées</v>
      </c>
      <c r="F208" t="str">
        <f>IFERROR(VLOOKUP(logos[[#This Row],[Cell_ID]],'registe maintenance'!A:C,3,FALSE)," non répertoriées")</f>
        <v xml:space="preserve"> non répertoriées</v>
      </c>
      <c r="G208" t="str">
        <f>IFERROR(VLOOKUP(logos[[#This Row],[Cell_ID]],'registe maintenance'!A:D,4,FALSE)," non répertoriées")</f>
        <v xml:space="preserve"> non répertoriées</v>
      </c>
      <c r="H208" t="str">
        <f>IFERROR(VLOOKUP(logos[[#This Row],[Cell_ID]],'registe maintenance'!A:E,5,FALSE)," non répertoriées")</f>
        <v xml:space="preserve"> non répertoriées</v>
      </c>
      <c r="I208" t="str">
        <f>IFERROR(VLOOKUP(logos[[#This Row],[Cell_ID]],'registe maintenance'!A:F,6,FALSE)," non répertoriées")</f>
        <v xml:space="preserve"> non répertoriées</v>
      </c>
      <c r="J208">
        <f>IFERROR(VLOOKUP(B208,'logos transformer '!A:B,2,FALSE),"na")</f>
        <v>2</v>
      </c>
      <c r="K208">
        <f>IFERROR(VLOOKUP(B208,'logos transformer '!A:C,3,FALSE),"na")</f>
        <v>55</v>
      </c>
      <c r="L208" s="1">
        <f>IFERROR(VLOOKUP(B208,'logos transformer '!A:D,4,FALSE),"na")</f>
        <v>45225.737500000003</v>
      </c>
    </row>
    <row r="209" spans="1:12" x14ac:dyDescent="0.3">
      <c r="A209" s="1">
        <v>45209.954861111109</v>
      </c>
      <c r="B209" t="s">
        <v>193</v>
      </c>
      <c r="C209">
        <v>57</v>
      </c>
      <c r="D209" t="s">
        <v>5</v>
      </c>
      <c r="E209" t="str">
        <f>IFERROR(VLOOKUP(logos[[#This Row],[Cell_ID]],'registe maintenance'!A:B,2,FALSE)," non répertoriées")</f>
        <v xml:space="preserve"> non répertoriées</v>
      </c>
      <c r="F209" t="str">
        <f>IFERROR(VLOOKUP(logos[[#This Row],[Cell_ID]],'registe maintenance'!A:C,3,FALSE)," non répertoriées")</f>
        <v xml:space="preserve"> non répertoriées</v>
      </c>
      <c r="G209" t="str">
        <f>IFERROR(VLOOKUP(logos[[#This Row],[Cell_ID]],'registe maintenance'!A:D,4,FALSE)," non répertoriées")</f>
        <v xml:space="preserve"> non répertoriées</v>
      </c>
      <c r="H209" t="str">
        <f>IFERROR(VLOOKUP(logos[[#This Row],[Cell_ID]],'registe maintenance'!A:E,5,FALSE)," non répertoriées")</f>
        <v xml:space="preserve"> non répertoriées</v>
      </c>
      <c r="I209" t="str">
        <f>IFERROR(VLOOKUP(logos[[#This Row],[Cell_ID]],'registe maintenance'!A:F,6,FALSE)," non répertoriées")</f>
        <v xml:space="preserve"> non répertoriées</v>
      </c>
      <c r="J209">
        <f>IFERROR(VLOOKUP(B209,'logos transformer '!A:B,2,FALSE),"na")</f>
        <v>2</v>
      </c>
      <c r="K209">
        <f>IFERROR(VLOOKUP(B209,'logos transformer '!A:C,3,FALSE),"na")</f>
        <v>111</v>
      </c>
      <c r="L209" s="1">
        <f>IFERROR(VLOOKUP(B209,'logos transformer '!A:D,4,FALSE),"na")</f>
        <v>45218.558333333334</v>
      </c>
    </row>
    <row r="210" spans="1:12" x14ac:dyDescent="0.3">
      <c r="A210" s="1">
        <v>45214.113194444442</v>
      </c>
      <c r="B210" t="s">
        <v>60</v>
      </c>
      <c r="C210">
        <v>47</v>
      </c>
      <c r="D210" t="s">
        <v>10</v>
      </c>
      <c r="E210" t="str">
        <f>IFERROR(VLOOKUP(logos[[#This Row],[Cell_ID]],'registe maintenance'!A:B,2,FALSE)," non répertoriées")</f>
        <v xml:space="preserve"> non répertoriées</v>
      </c>
      <c r="F210" t="str">
        <f>IFERROR(VLOOKUP(logos[[#This Row],[Cell_ID]],'registe maintenance'!A:C,3,FALSE)," non répertoriées")</f>
        <v xml:space="preserve"> non répertoriées</v>
      </c>
      <c r="G210" t="str">
        <f>IFERROR(VLOOKUP(logos[[#This Row],[Cell_ID]],'registe maintenance'!A:D,4,FALSE)," non répertoriées")</f>
        <v xml:space="preserve"> non répertoriées</v>
      </c>
      <c r="H210" t="str">
        <f>IFERROR(VLOOKUP(logos[[#This Row],[Cell_ID]],'registe maintenance'!A:E,5,FALSE)," non répertoriées")</f>
        <v xml:space="preserve"> non répertoriées</v>
      </c>
      <c r="I210" t="str">
        <f>IFERROR(VLOOKUP(logos[[#This Row],[Cell_ID]],'registe maintenance'!A:F,6,FALSE)," non répertoriées")</f>
        <v xml:space="preserve"> non répertoriées</v>
      </c>
      <c r="J210">
        <f>IFERROR(VLOOKUP(B210,'logos transformer '!A:B,2,FALSE),"na")</f>
        <v>3</v>
      </c>
      <c r="K210">
        <f>IFERROR(VLOOKUP(B210,'logos transformer '!A:C,3,FALSE),"na")</f>
        <v>171</v>
      </c>
      <c r="L210" s="1">
        <f>IFERROR(VLOOKUP(B210,'logos transformer '!A:D,4,FALSE),"na")</f>
        <v>45227.135416666664</v>
      </c>
    </row>
    <row r="211" spans="1:12" x14ac:dyDescent="0.3">
      <c r="A211" s="1">
        <v>45207.368055555547</v>
      </c>
      <c r="B211" t="s">
        <v>194</v>
      </c>
      <c r="C211">
        <v>46</v>
      </c>
      <c r="D211" t="s">
        <v>5</v>
      </c>
      <c r="E211" t="str">
        <f>IFERROR(VLOOKUP(logos[[#This Row],[Cell_ID]],'registe maintenance'!A:B,2,FALSE)," non répertoriées")</f>
        <v>Tanganyika</v>
      </c>
      <c r="F211">
        <f>IFERROR(VLOOKUP(logos[[#This Row],[Cell_ID]],'registe maintenance'!A:C,3,FALSE)," non répertoriées")</f>
        <v>-10.481026999999999</v>
      </c>
      <c r="G211">
        <f>IFERROR(VLOOKUP(logos[[#This Row],[Cell_ID]],'registe maintenance'!A:D,4,FALSE)," non répertoriées")</f>
        <v>18.160464000000001</v>
      </c>
      <c r="H211" t="str">
        <f>IFERROR(VLOOKUP(logos[[#This Row],[Cell_ID]],'registe maintenance'!A:E,5,FALSE)," non répertoriées")</f>
        <v>5G</v>
      </c>
      <c r="I211" t="str">
        <f>IFERROR(VLOOKUP(logos[[#This Row],[Cell_ID]],'registe maintenance'!A:F,6,FALSE)," non répertoriées")</f>
        <v>Huawei</v>
      </c>
      <c r="J211">
        <f>IFERROR(VLOOKUP(B211,'logos transformer '!A:B,2,FALSE),"na")</f>
        <v>1</v>
      </c>
      <c r="K211">
        <f>IFERROR(VLOOKUP(B211,'logos transformer '!A:C,3,FALSE),"na")</f>
        <v>46</v>
      </c>
      <c r="L211" s="1">
        <f>IFERROR(VLOOKUP(B211,'logos transformer '!A:D,4,FALSE),"na")</f>
        <v>45207.368055555555</v>
      </c>
    </row>
    <row r="212" spans="1:12" x14ac:dyDescent="0.3">
      <c r="A212" s="1">
        <v>45225.859027777777</v>
      </c>
      <c r="B212" t="s">
        <v>195</v>
      </c>
      <c r="C212">
        <v>90</v>
      </c>
      <c r="D212" t="s">
        <v>8</v>
      </c>
      <c r="E212" t="str">
        <f>IFERROR(VLOOKUP(logos[[#This Row],[Cell_ID]],'registe maintenance'!A:B,2,FALSE)," non répertoriées")</f>
        <v xml:space="preserve"> non répertoriées</v>
      </c>
      <c r="F212" t="str">
        <f>IFERROR(VLOOKUP(logos[[#This Row],[Cell_ID]],'registe maintenance'!A:C,3,FALSE)," non répertoriées")</f>
        <v xml:space="preserve"> non répertoriées</v>
      </c>
      <c r="G212" t="str">
        <f>IFERROR(VLOOKUP(logos[[#This Row],[Cell_ID]],'registe maintenance'!A:D,4,FALSE)," non répertoriées")</f>
        <v xml:space="preserve"> non répertoriées</v>
      </c>
      <c r="H212" t="str">
        <f>IFERROR(VLOOKUP(logos[[#This Row],[Cell_ID]],'registe maintenance'!A:E,5,FALSE)," non répertoriées")</f>
        <v xml:space="preserve"> non répertoriées</v>
      </c>
      <c r="I212" t="str">
        <f>IFERROR(VLOOKUP(logos[[#This Row],[Cell_ID]],'registe maintenance'!A:F,6,FALSE)," non répertoriées")</f>
        <v xml:space="preserve"> non répertoriées</v>
      </c>
      <c r="J212">
        <f>IFERROR(VLOOKUP(B212,'logos transformer '!A:B,2,FALSE),"na")</f>
        <v>3</v>
      </c>
      <c r="K212">
        <f>IFERROR(VLOOKUP(B212,'logos transformer '!A:C,3,FALSE),"na")</f>
        <v>221</v>
      </c>
      <c r="L212" s="1">
        <f>IFERROR(VLOOKUP(B212,'logos transformer '!A:D,4,FALSE),"na")</f>
        <v>45225.859027777777</v>
      </c>
    </row>
    <row r="213" spans="1:12" x14ac:dyDescent="0.3">
      <c r="A213" s="1">
        <v>45221.268750000003</v>
      </c>
      <c r="B213" t="s">
        <v>196</v>
      </c>
      <c r="C213">
        <v>18</v>
      </c>
      <c r="D213" t="s">
        <v>8</v>
      </c>
      <c r="E213" t="str">
        <f>IFERROR(VLOOKUP(logos[[#This Row],[Cell_ID]],'registe maintenance'!A:B,2,FALSE)," non répertoriées")</f>
        <v>Nord-Kivu</v>
      </c>
      <c r="F213">
        <f>IFERROR(VLOOKUP(logos[[#This Row],[Cell_ID]],'registe maintenance'!A:C,3,FALSE)," non répertoriées")</f>
        <v>-1.8555980000000001</v>
      </c>
      <c r="G213">
        <f>IFERROR(VLOOKUP(logos[[#This Row],[Cell_ID]],'registe maintenance'!A:D,4,FALSE)," non répertoriées")</f>
        <v>30.421918000000002</v>
      </c>
      <c r="H213" t="str">
        <f>IFERROR(VLOOKUP(logos[[#This Row],[Cell_ID]],'registe maintenance'!A:E,5,FALSE)," non répertoriées")</f>
        <v>3G</v>
      </c>
      <c r="I213" t="str">
        <f>IFERROR(VLOOKUP(logos[[#This Row],[Cell_ID]],'registe maintenance'!A:F,6,FALSE)," non répertoriées")</f>
        <v>ZTE</v>
      </c>
      <c r="J213">
        <f>IFERROR(VLOOKUP(B213,'logos transformer '!A:B,2,FALSE),"na")</f>
        <v>5</v>
      </c>
      <c r="K213">
        <f>IFERROR(VLOOKUP(B213,'logos transformer '!A:C,3,FALSE),"na")</f>
        <v>226</v>
      </c>
      <c r="L213" s="1">
        <f>IFERROR(VLOOKUP(B213,'logos transformer '!A:D,4,FALSE),"na")</f>
        <v>45222.597222222219</v>
      </c>
    </row>
    <row r="214" spans="1:12" x14ac:dyDescent="0.3">
      <c r="A214" s="1">
        <v>45203.718055555553</v>
      </c>
      <c r="B214" t="s">
        <v>197</v>
      </c>
      <c r="C214">
        <v>114</v>
      </c>
      <c r="D214" t="s">
        <v>8</v>
      </c>
      <c r="E214" t="str">
        <f>IFERROR(VLOOKUP(logos[[#This Row],[Cell_ID]],'registe maintenance'!A:B,2,FALSE)," non répertoriées")</f>
        <v xml:space="preserve"> non répertoriées</v>
      </c>
      <c r="F214" t="str">
        <f>IFERROR(VLOOKUP(logos[[#This Row],[Cell_ID]],'registe maintenance'!A:C,3,FALSE)," non répertoriées")</f>
        <v xml:space="preserve"> non répertoriées</v>
      </c>
      <c r="G214" t="str">
        <f>IFERROR(VLOOKUP(logos[[#This Row],[Cell_ID]],'registe maintenance'!A:D,4,FALSE)," non répertoriées")</f>
        <v xml:space="preserve"> non répertoriées</v>
      </c>
      <c r="H214" t="str">
        <f>IFERROR(VLOOKUP(logos[[#This Row],[Cell_ID]],'registe maintenance'!A:E,5,FALSE)," non répertoriées")</f>
        <v xml:space="preserve"> non répertoriées</v>
      </c>
      <c r="I214" t="str">
        <f>IFERROR(VLOOKUP(logos[[#This Row],[Cell_ID]],'registe maintenance'!A:F,6,FALSE)," non répertoriées")</f>
        <v xml:space="preserve"> non répertoriées</v>
      </c>
      <c r="J214">
        <f>IFERROR(VLOOKUP(B214,'logos transformer '!A:B,2,FALSE),"na")</f>
        <v>2</v>
      </c>
      <c r="K214">
        <f>IFERROR(VLOOKUP(B214,'logos transformer '!A:C,3,FALSE),"na")</f>
        <v>154</v>
      </c>
      <c r="L214" s="1">
        <f>IFERROR(VLOOKUP(B214,'logos transformer '!A:D,4,FALSE),"na")</f>
        <v>45230.444444444445</v>
      </c>
    </row>
    <row r="215" spans="1:12" x14ac:dyDescent="0.3">
      <c r="A215" s="1">
        <v>45220.206944444442</v>
      </c>
      <c r="B215" t="s">
        <v>198</v>
      </c>
      <c r="C215">
        <v>25</v>
      </c>
      <c r="D215" t="s">
        <v>5</v>
      </c>
      <c r="E215" t="str">
        <f>IFERROR(VLOOKUP(logos[[#This Row],[Cell_ID]],'registe maintenance'!A:B,2,FALSE)," non répertoriées")</f>
        <v>Equateur</v>
      </c>
      <c r="F215">
        <f>IFERROR(VLOOKUP(logos[[#This Row],[Cell_ID]],'registe maintenance'!A:C,3,FALSE)," non répertoriées")</f>
        <v>3.3289240000000002</v>
      </c>
      <c r="G215">
        <f>IFERROR(VLOOKUP(logos[[#This Row],[Cell_ID]],'registe maintenance'!A:D,4,FALSE)," non répertoriées")</f>
        <v>24.412261000000001</v>
      </c>
      <c r="H215" t="str">
        <f>IFERROR(VLOOKUP(logos[[#This Row],[Cell_ID]],'registe maintenance'!A:E,5,FALSE)," non répertoriées")</f>
        <v>5G</v>
      </c>
      <c r="I215" t="str">
        <f>IFERROR(VLOOKUP(logos[[#This Row],[Cell_ID]],'registe maintenance'!A:F,6,FALSE)," non répertoriées")</f>
        <v>Nokia</v>
      </c>
      <c r="J215">
        <f>IFERROR(VLOOKUP(B215,'logos transformer '!A:B,2,FALSE),"na")</f>
        <v>1</v>
      </c>
      <c r="K215">
        <f>IFERROR(VLOOKUP(B215,'logos transformer '!A:C,3,FALSE),"na")</f>
        <v>25</v>
      </c>
      <c r="L215" s="1">
        <f>IFERROR(VLOOKUP(B215,'logos transformer '!A:D,4,FALSE),"na")</f>
        <v>45220.206944444442</v>
      </c>
    </row>
    <row r="216" spans="1:12" x14ac:dyDescent="0.3">
      <c r="A216" s="1">
        <v>45208.169444444437</v>
      </c>
      <c r="B216" t="s">
        <v>199</v>
      </c>
      <c r="C216">
        <v>47</v>
      </c>
      <c r="D216" t="s">
        <v>5</v>
      </c>
      <c r="E216" t="str">
        <f>IFERROR(VLOOKUP(logos[[#This Row],[Cell_ID]],'registe maintenance'!A:B,2,FALSE)," non répertoriées")</f>
        <v>Kasai</v>
      </c>
      <c r="F216">
        <f>IFERROR(VLOOKUP(logos[[#This Row],[Cell_ID]],'registe maintenance'!A:C,3,FALSE)," non répertoriées")</f>
        <v>-4.351254</v>
      </c>
      <c r="G216">
        <f>IFERROR(VLOOKUP(logos[[#This Row],[Cell_ID]],'registe maintenance'!A:D,4,FALSE)," non répertoriées")</f>
        <v>30.097408999999999</v>
      </c>
      <c r="H216" t="str">
        <f>IFERROR(VLOOKUP(logos[[#This Row],[Cell_ID]],'registe maintenance'!A:E,5,FALSE)," non répertoriées")</f>
        <v>5G</v>
      </c>
      <c r="I216" t="str">
        <f>IFERROR(VLOOKUP(logos[[#This Row],[Cell_ID]],'registe maintenance'!A:F,6,FALSE)," non répertoriées")</f>
        <v>Nokia</v>
      </c>
      <c r="J216">
        <f>IFERROR(VLOOKUP(B216,'logos transformer '!A:B,2,FALSE),"na")</f>
        <v>2</v>
      </c>
      <c r="K216">
        <f>IFERROR(VLOOKUP(B216,'logos transformer '!A:C,3,FALSE),"na")</f>
        <v>157</v>
      </c>
      <c r="L216" s="1">
        <f>IFERROR(VLOOKUP(B216,'logos transformer '!A:D,4,FALSE),"na")</f>
        <v>45210.895833333336</v>
      </c>
    </row>
    <row r="217" spans="1:12" x14ac:dyDescent="0.3">
      <c r="A217" s="1">
        <v>45201.243055555547</v>
      </c>
      <c r="B217" t="s">
        <v>200</v>
      </c>
      <c r="C217">
        <v>57</v>
      </c>
      <c r="D217" t="s">
        <v>10</v>
      </c>
      <c r="E217" t="str">
        <f>IFERROR(VLOOKUP(logos[[#This Row],[Cell_ID]],'registe maintenance'!A:B,2,FALSE)," non répertoriées")</f>
        <v xml:space="preserve"> non répertoriées</v>
      </c>
      <c r="F217" t="str">
        <f>IFERROR(VLOOKUP(logos[[#This Row],[Cell_ID]],'registe maintenance'!A:C,3,FALSE)," non répertoriées")</f>
        <v xml:space="preserve"> non répertoriées</v>
      </c>
      <c r="G217" t="str">
        <f>IFERROR(VLOOKUP(logos[[#This Row],[Cell_ID]],'registe maintenance'!A:D,4,FALSE)," non répertoriées")</f>
        <v xml:space="preserve"> non répertoriées</v>
      </c>
      <c r="H217" t="str">
        <f>IFERROR(VLOOKUP(logos[[#This Row],[Cell_ID]],'registe maintenance'!A:E,5,FALSE)," non répertoriées")</f>
        <v xml:space="preserve"> non répertoriées</v>
      </c>
      <c r="I217" t="str">
        <f>IFERROR(VLOOKUP(logos[[#This Row],[Cell_ID]],'registe maintenance'!A:F,6,FALSE)," non répertoriées")</f>
        <v xml:space="preserve"> non répertoriées</v>
      </c>
      <c r="J217">
        <f>IFERROR(VLOOKUP(B217,'logos transformer '!A:B,2,FALSE),"na")</f>
        <v>3</v>
      </c>
      <c r="K217">
        <f>IFERROR(VLOOKUP(B217,'logos transformer '!A:C,3,FALSE),"na")</f>
        <v>144</v>
      </c>
      <c r="L217" s="1">
        <f>IFERROR(VLOOKUP(B217,'logos transformer '!A:D,4,FALSE),"na")</f>
        <v>45217.68472222222</v>
      </c>
    </row>
    <row r="218" spans="1:12" x14ac:dyDescent="0.3">
      <c r="A218" s="1">
        <v>45209.824305555558</v>
      </c>
      <c r="B218" t="s">
        <v>133</v>
      </c>
      <c r="C218">
        <v>93</v>
      </c>
      <c r="D218" t="s">
        <v>10</v>
      </c>
      <c r="E218" t="str">
        <f>IFERROR(VLOOKUP(logos[[#This Row],[Cell_ID]],'registe maintenance'!A:B,2,FALSE)," non répertoriées")</f>
        <v>Kasai-Central</v>
      </c>
      <c r="F218">
        <f>IFERROR(VLOOKUP(logos[[#This Row],[Cell_ID]],'registe maintenance'!A:C,3,FALSE)," non répertoriées")</f>
        <v>-10.414493</v>
      </c>
      <c r="G218">
        <f>IFERROR(VLOOKUP(logos[[#This Row],[Cell_ID]],'registe maintenance'!A:D,4,FALSE)," non répertoriées")</f>
        <v>12.333356999999999</v>
      </c>
      <c r="H218" t="str">
        <f>IFERROR(VLOOKUP(logos[[#This Row],[Cell_ID]],'registe maintenance'!A:E,5,FALSE)," non répertoriées")</f>
        <v>3G</v>
      </c>
      <c r="I218" t="str">
        <f>IFERROR(VLOOKUP(logos[[#This Row],[Cell_ID]],'registe maintenance'!A:F,6,FALSE)," non répertoriées")</f>
        <v>Ericsson</v>
      </c>
      <c r="J218">
        <f>IFERROR(VLOOKUP(B218,'logos transformer '!A:B,2,FALSE),"na")</f>
        <v>4</v>
      </c>
      <c r="K218">
        <f>IFERROR(VLOOKUP(B218,'logos transformer '!A:C,3,FALSE),"na")</f>
        <v>273</v>
      </c>
      <c r="L218" s="1">
        <f>IFERROR(VLOOKUP(B218,'logos transformer '!A:D,4,FALSE),"na")</f>
        <v>45221.910416666666</v>
      </c>
    </row>
    <row r="219" spans="1:12" x14ac:dyDescent="0.3">
      <c r="A219" s="1">
        <v>45226.790277777778</v>
      </c>
      <c r="B219" t="s">
        <v>201</v>
      </c>
      <c r="C219">
        <v>68</v>
      </c>
      <c r="D219" t="s">
        <v>10</v>
      </c>
      <c r="E219" t="str">
        <f>IFERROR(VLOOKUP(logos[[#This Row],[Cell_ID]],'registe maintenance'!A:B,2,FALSE)," non répertoriées")</f>
        <v>Equateur</v>
      </c>
      <c r="F219">
        <f>IFERROR(VLOOKUP(logos[[#This Row],[Cell_ID]],'registe maintenance'!A:C,3,FALSE)," non répertoriées")</f>
        <v>-0.37665700000000002</v>
      </c>
      <c r="G219">
        <f>IFERROR(VLOOKUP(logos[[#This Row],[Cell_ID]],'registe maintenance'!A:D,4,FALSE)," non répertoriées")</f>
        <v>25.154807999999999</v>
      </c>
      <c r="H219" t="str">
        <f>IFERROR(VLOOKUP(logos[[#This Row],[Cell_ID]],'registe maintenance'!A:E,5,FALSE)," non répertoriées")</f>
        <v>3G</v>
      </c>
      <c r="I219" t="str">
        <f>IFERROR(VLOOKUP(logos[[#This Row],[Cell_ID]],'registe maintenance'!A:F,6,FALSE)," non répertoriées")</f>
        <v>Nokia</v>
      </c>
      <c r="J219">
        <f>IFERROR(VLOOKUP(B219,'logos transformer '!A:B,2,FALSE),"na")</f>
        <v>1</v>
      </c>
      <c r="K219">
        <f>IFERROR(VLOOKUP(B219,'logos transformer '!A:C,3,FALSE),"na")</f>
        <v>68</v>
      </c>
      <c r="L219" s="1">
        <f>IFERROR(VLOOKUP(B219,'logos transformer '!A:D,4,FALSE),"na")</f>
        <v>45226.790277777778</v>
      </c>
    </row>
    <row r="220" spans="1:12" x14ac:dyDescent="0.3">
      <c r="A220" s="1">
        <v>45209.588194444441</v>
      </c>
      <c r="B220" t="s">
        <v>124</v>
      </c>
      <c r="C220">
        <v>41</v>
      </c>
      <c r="D220" t="s">
        <v>8</v>
      </c>
      <c r="E220" t="str">
        <f>IFERROR(VLOOKUP(logos[[#This Row],[Cell_ID]],'registe maintenance'!A:B,2,FALSE)," non répertoriées")</f>
        <v xml:space="preserve"> non répertoriées</v>
      </c>
      <c r="F220" t="str">
        <f>IFERROR(VLOOKUP(logos[[#This Row],[Cell_ID]],'registe maintenance'!A:C,3,FALSE)," non répertoriées")</f>
        <v xml:space="preserve"> non répertoriées</v>
      </c>
      <c r="G220" t="str">
        <f>IFERROR(VLOOKUP(logos[[#This Row],[Cell_ID]],'registe maintenance'!A:D,4,FALSE)," non répertoriées")</f>
        <v xml:space="preserve"> non répertoriées</v>
      </c>
      <c r="H220" t="str">
        <f>IFERROR(VLOOKUP(logos[[#This Row],[Cell_ID]],'registe maintenance'!A:E,5,FALSE)," non répertoriées")</f>
        <v xml:space="preserve"> non répertoriées</v>
      </c>
      <c r="I220" t="str">
        <f>IFERROR(VLOOKUP(logos[[#This Row],[Cell_ID]],'registe maintenance'!A:F,6,FALSE)," non répertoriées")</f>
        <v xml:space="preserve"> non répertoriées</v>
      </c>
      <c r="J220">
        <f>IFERROR(VLOOKUP(B220,'logos transformer '!A:B,2,FALSE),"na")</f>
        <v>2</v>
      </c>
      <c r="K220">
        <f>IFERROR(VLOOKUP(B220,'logos transformer '!A:C,3,FALSE),"na")</f>
        <v>154</v>
      </c>
      <c r="L220" s="1">
        <f>IFERROR(VLOOKUP(B220,'logos transformer '!A:D,4,FALSE),"na")</f>
        <v>45221.095833333333</v>
      </c>
    </row>
    <row r="221" spans="1:12" x14ac:dyDescent="0.3">
      <c r="A221" s="1">
        <v>45214.929861111108</v>
      </c>
      <c r="B221" t="s">
        <v>202</v>
      </c>
      <c r="C221">
        <v>89</v>
      </c>
      <c r="D221" t="s">
        <v>10</v>
      </c>
      <c r="E221" t="str">
        <f>IFERROR(VLOOKUP(logos[[#This Row],[Cell_ID]],'registe maintenance'!A:B,2,FALSE)," non répertoriées")</f>
        <v xml:space="preserve"> non répertoriées</v>
      </c>
      <c r="F221" t="str">
        <f>IFERROR(VLOOKUP(logos[[#This Row],[Cell_ID]],'registe maintenance'!A:C,3,FALSE)," non répertoriées")</f>
        <v xml:space="preserve"> non répertoriées</v>
      </c>
      <c r="G221" t="str">
        <f>IFERROR(VLOOKUP(logos[[#This Row],[Cell_ID]],'registe maintenance'!A:D,4,FALSE)," non répertoriées")</f>
        <v xml:space="preserve"> non répertoriées</v>
      </c>
      <c r="H221" t="str">
        <f>IFERROR(VLOOKUP(logos[[#This Row],[Cell_ID]],'registe maintenance'!A:E,5,FALSE)," non répertoriées")</f>
        <v xml:space="preserve"> non répertoriées</v>
      </c>
      <c r="I221" t="str">
        <f>IFERROR(VLOOKUP(logos[[#This Row],[Cell_ID]],'registe maintenance'!A:F,6,FALSE)," non répertoriées")</f>
        <v xml:space="preserve"> non répertoriées</v>
      </c>
      <c r="J221">
        <f>IFERROR(VLOOKUP(B221,'logos transformer '!A:B,2,FALSE),"na")</f>
        <v>1</v>
      </c>
      <c r="K221">
        <f>IFERROR(VLOOKUP(B221,'logos transformer '!A:C,3,FALSE),"na")</f>
        <v>89</v>
      </c>
      <c r="L221" s="1">
        <f>IFERROR(VLOOKUP(B221,'logos transformer '!A:D,4,FALSE),"na")</f>
        <v>45214.929861111108</v>
      </c>
    </row>
    <row r="222" spans="1:12" x14ac:dyDescent="0.3">
      <c r="A222" s="1">
        <v>45222.511805555558</v>
      </c>
      <c r="B222" t="s">
        <v>203</v>
      </c>
      <c r="C222">
        <v>56</v>
      </c>
      <c r="D222" t="s">
        <v>5</v>
      </c>
      <c r="E222" t="str">
        <f>IFERROR(VLOOKUP(logos[[#This Row],[Cell_ID]],'registe maintenance'!A:B,2,FALSE)," non répertoriées")</f>
        <v xml:space="preserve"> non répertoriées</v>
      </c>
      <c r="F222" t="str">
        <f>IFERROR(VLOOKUP(logos[[#This Row],[Cell_ID]],'registe maintenance'!A:C,3,FALSE)," non répertoriées")</f>
        <v xml:space="preserve"> non répertoriées</v>
      </c>
      <c r="G222" t="str">
        <f>IFERROR(VLOOKUP(logos[[#This Row],[Cell_ID]],'registe maintenance'!A:D,4,FALSE)," non répertoriées")</f>
        <v xml:space="preserve"> non répertoriées</v>
      </c>
      <c r="H222" t="str">
        <f>IFERROR(VLOOKUP(logos[[#This Row],[Cell_ID]],'registe maintenance'!A:E,5,FALSE)," non répertoriées")</f>
        <v xml:space="preserve"> non répertoriées</v>
      </c>
      <c r="I222" t="str">
        <f>IFERROR(VLOOKUP(logos[[#This Row],[Cell_ID]],'registe maintenance'!A:F,6,FALSE)," non répertoriées")</f>
        <v xml:space="preserve"> non répertoriées</v>
      </c>
      <c r="J222">
        <f>IFERROR(VLOOKUP(B222,'logos transformer '!A:B,2,FALSE),"na")</f>
        <v>1</v>
      </c>
      <c r="K222">
        <f>IFERROR(VLOOKUP(B222,'logos transformer '!A:C,3,FALSE),"na")</f>
        <v>56</v>
      </c>
      <c r="L222" s="1">
        <f>IFERROR(VLOOKUP(B222,'logos transformer '!A:D,4,FALSE),"na")</f>
        <v>45222.511805555558</v>
      </c>
    </row>
    <row r="223" spans="1:12" x14ac:dyDescent="0.3">
      <c r="A223" s="1">
        <v>45216.729861111111</v>
      </c>
      <c r="B223" t="s">
        <v>204</v>
      </c>
      <c r="C223">
        <v>109</v>
      </c>
      <c r="D223" t="s">
        <v>10</v>
      </c>
      <c r="E223" t="str">
        <f>IFERROR(VLOOKUP(logos[[#This Row],[Cell_ID]],'registe maintenance'!A:B,2,FALSE)," non répertoriées")</f>
        <v>Kasai-Oriental</v>
      </c>
      <c r="F223">
        <f>IFERROR(VLOOKUP(logos[[#This Row],[Cell_ID]],'registe maintenance'!A:C,3,FALSE)," non répertoriées")</f>
        <v>0.639208</v>
      </c>
      <c r="G223">
        <f>IFERROR(VLOOKUP(logos[[#This Row],[Cell_ID]],'registe maintenance'!A:D,4,FALSE)," non répertoriées")</f>
        <v>20.701739</v>
      </c>
      <c r="H223" t="str">
        <f>IFERROR(VLOOKUP(logos[[#This Row],[Cell_ID]],'registe maintenance'!A:E,5,FALSE)," non répertoriées")</f>
        <v>4G</v>
      </c>
      <c r="I223" t="str">
        <f>IFERROR(VLOOKUP(logos[[#This Row],[Cell_ID]],'registe maintenance'!A:F,6,FALSE)," non répertoriées")</f>
        <v>Huawei</v>
      </c>
      <c r="J223">
        <f>IFERROR(VLOOKUP(B223,'logos transformer '!A:B,2,FALSE),"na")</f>
        <v>1</v>
      </c>
      <c r="K223">
        <f>IFERROR(VLOOKUP(B223,'logos transformer '!A:C,3,FALSE),"na")</f>
        <v>109</v>
      </c>
      <c r="L223" s="1">
        <f>IFERROR(VLOOKUP(B223,'logos transformer '!A:D,4,FALSE),"na")</f>
        <v>45216.729861111111</v>
      </c>
    </row>
    <row r="224" spans="1:12" x14ac:dyDescent="0.3">
      <c r="A224" s="1">
        <v>45214.109722222223</v>
      </c>
      <c r="B224" t="s">
        <v>205</v>
      </c>
      <c r="C224">
        <v>102</v>
      </c>
      <c r="D224" t="s">
        <v>8</v>
      </c>
      <c r="E224" t="str">
        <f>IFERROR(VLOOKUP(logos[[#This Row],[Cell_ID]],'registe maintenance'!A:B,2,FALSE)," non répertoriées")</f>
        <v xml:space="preserve"> non répertoriées</v>
      </c>
      <c r="F224" t="str">
        <f>IFERROR(VLOOKUP(logos[[#This Row],[Cell_ID]],'registe maintenance'!A:C,3,FALSE)," non répertoriées")</f>
        <v xml:space="preserve"> non répertoriées</v>
      </c>
      <c r="G224" t="str">
        <f>IFERROR(VLOOKUP(logos[[#This Row],[Cell_ID]],'registe maintenance'!A:D,4,FALSE)," non répertoriées")</f>
        <v xml:space="preserve"> non répertoriées</v>
      </c>
      <c r="H224" t="str">
        <f>IFERROR(VLOOKUP(logos[[#This Row],[Cell_ID]],'registe maintenance'!A:E,5,FALSE)," non répertoriées")</f>
        <v xml:space="preserve"> non répertoriées</v>
      </c>
      <c r="I224" t="str">
        <f>IFERROR(VLOOKUP(logos[[#This Row],[Cell_ID]],'registe maintenance'!A:F,6,FALSE)," non répertoriées")</f>
        <v xml:space="preserve"> non répertoriées</v>
      </c>
      <c r="J224">
        <f>IFERROR(VLOOKUP(B224,'logos transformer '!A:B,2,FALSE),"na")</f>
        <v>2</v>
      </c>
      <c r="K224">
        <f>IFERROR(VLOOKUP(B224,'logos transformer '!A:C,3,FALSE),"na")</f>
        <v>109</v>
      </c>
      <c r="L224" s="1">
        <f>IFERROR(VLOOKUP(B224,'logos transformer '!A:D,4,FALSE),"na")</f>
        <v>45214.109722222223</v>
      </c>
    </row>
    <row r="225" spans="1:12" x14ac:dyDescent="0.3">
      <c r="A225" s="1">
        <v>45201.574305555558</v>
      </c>
      <c r="B225" t="s">
        <v>26</v>
      </c>
      <c r="C225">
        <v>75</v>
      </c>
      <c r="D225" t="s">
        <v>10</v>
      </c>
      <c r="E225" t="str">
        <f>IFERROR(VLOOKUP(logos[[#This Row],[Cell_ID]],'registe maintenance'!A:B,2,FALSE)," non répertoriées")</f>
        <v>Haut-Katanga</v>
      </c>
      <c r="F225">
        <f>IFERROR(VLOOKUP(logos[[#This Row],[Cell_ID]],'registe maintenance'!A:C,3,FALSE)," non répertoriées")</f>
        <v>0.172153</v>
      </c>
      <c r="G225">
        <f>IFERROR(VLOOKUP(logos[[#This Row],[Cell_ID]],'registe maintenance'!A:D,4,FALSE)," non répertoriées")</f>
        <v>21.091376</v>
      </c>
      <c r="H225" t="str">
        <f>IFERROR(VLOOKUP(logos[[#This Row],[Cell_ID]],'registe maintenance'!A:E,5,FALSE)," non répertoriées")</f>
        <v>3G</v>
      </c>
      <c r="I225" t="str">
        <f>IFERROR(VLOOKUP(logos[[#This Row],[Cell_ID]],'registe maintenance'!A:F,6,FALSE)," non répertoriées")</f>
        <v>Ericsson</v>
      </c>
      <c r="J225">
        <f>IFERROR(VLOOKUP(B225,'logos transformer '!A:B,2,FALSE),"na")</f>
        <v>3</v>
      </c>
      <c r="K225">
        <f>IFERROR(VLOOKUP(B225,'logos transformer '!A:C,3,FALSE),"na")</f>
        <v>165</v>
      </c>
      <c r="L225" s="1">
        <f>IFERROR(VLOOKUP(B225,'logos transformer '!A:D,4,FALSE),"na")</f>
        <v>45224.428472222222</v>
      </c>
    </row>
    <row r="226" spans="1:12" x14ac:dyDescent="0.3">
      <c r="A226" s="1">
        <v>45210.802777777782</v>
      </c>
      <c r="B226" t="s">
        <v>206</v>
      </c>
      <c r="C226">
        <v>9</v>
      </c>
      <c r="D226" t="s">
        <v>8</v>
      </c>
      <c r="E226" t="str">
        <f>IFERROR(VLOOKUP(logos[[#This Row],[Cell_ID]],'registe maintenance'!A:B,2,FALSE)," non répertoriées")</f>
        <v xml:space="preserve"> non répertoriées</v>
      </c>
      <c r="F226" t="str">
        <f>IFERROR(VLOOKUP(logos[[#This Row],[Cell_ID]],'registe maintenance'!A:C,3,FALSE)," non répertoriées")</f>
        <v xml:space="preserve"> non répertoriées</v>
      </c>
      <c r="G226" t="str">
        <f>IFERROR(VLOOKUP(logos[[#This Row],[Cell_ID]],'registe maintenance'!A:D,4,FALSE)," non répertoriées")</f>
        <v xml:space="preserve"> non répertoriées</v>
      </c>
      <c r="H226" t="str">
        <f>IFERROR(VLOOKUP(logos[[#This Row],[Cell_ID]],'registe maintenance'!A:E,5,FALSE)," non répertoriées")</f>
        <v xml:space="preserve"> non répertoriées</v>
      </c>
      <c r="I226" t="str">
        <f>IFERROR(VLOOKUP(logos[[#This Row],[Cell_ID]],'registe maintenance'!A:F,6,FALSE)," non répertoriées")</f>
        <v xml:space="preserve"> non répertoriées</v>
      </c>
      <c r="J226">
        <f>IFERROR(VLOOKUP(B226,'logos transformer '!A:B,2,FALSE),"na")</f>
        <v>2</v>
      </c>
      <c r="K226">
        <f>IFERROR(VLOOKUP(B226,'logos transformer '!A:C,3,FALSE),"na")</f>
        <v>85</v>
      </c>
      <c r="L226" s="1">
        <f>IFERROR(VLOOKUP(B226,'logos transformer '!A:D,4,FALSE),"na")</f>
        <v>45221.578472222223</v>
      </c>
    </row>
    <row r="227" spans="1:12" x14ac:dyDescent="0.3">
      <c r="A227" s="1">
        <v>45200.093055555553</v>
      </c>
      <c r="B227" t="s">
        <v>47</v>
      </c>
      <c r="C227">
        <v>63</v>
      </c>
      <c r="D227" t="s">
        <v>8</v>
      </c>
      <c r="E227" t="str">
        <f>IFERROR(VLOOKUP(logos[[#This Row],[Cell_ID]],'registe maintenance'!A:B,2,FALSE)," non répertoriées")</f>
        <v xml:space="preserve"> non répertoriées</v>
      </c>
      <c r="F227" t="str">
        <f>IFERROR(VLOOKUP(logos[[#This Row],[Cell_ID]],'registe maintenance'!A:C,3,FALSE)," non répertoriées")</f>
        <v xml:space="preserve"> non répertoriées</v>
      </c>
      <c r="G227" t="str">
        <f>IFERROR(VLOOKUP(logos[[#This Row],[Cell_ID]],'registe maintenance'!A:D,4,FALSE)," non répertoriées")</f>
        <v xml:space="preserve"> non répertoriées</v>
      </c>
      <c r="H227" t="str">
        <f>IFERROR(VLOOKUP(logos[[#This Row],[Cell_ID]],'registe maintenance'!A:E,5,FALSE)," non répertoriées")</f>
        <v xml:space="preserve"> non répertoriées</v>
      </c>
      <c r="I227" t="str">
        <f>IFERROR(VLOOKUP(logos[[#This Row],[Cell_ID]],'registe maintenance'!A:F,6,FALSE)," non répertoriées")</f>
        <v xml:space="preserve"> non répertoriées</v>
      </c>
      <c r="J227">
        <f>IFERROR(VLOOKUP(B227,'logos transformer '!A:B,2,FALSE),"na")</f>
        <v>3</v>
      </c>
      <c r="K227">
        <f>IFERROR(VLOOKUP(B227,'logos transformer '!A:C,3,FALSE),"na")</f>
        <v>251</v>
      </c>
      <c r="L227" s="1">
        <f>IFERROR(VLOOKUP(B227,'logos transformer '!A:D,4,FALSE),"na")</f>
        <v>45230.788888888892</v>
      </c>
    </row>
    <row r="228" spans="1:12" x14ac:dyDescent="0.3">
      <c r="A228" s="1">
        <v>45230.911805555559</v>
      </c>
      <c r="B228" t="s">
        <v>207</v>
      </c>
      <c r="C228">
        <v>16</v>
      </c>
      <c r="D228" t="s">
        <v>8</v>
      </c>
      <c r="E228" t="str">
        <f>IFERROR(VLOOKUP(logos[[#This Row],[Cell_ID]],'registe maintenance'!A:B,2,FALSE)," non répertoriées")</f>
        <v xml:space="preserve"> non répertoriées</v>
      </c>
      <c r="F228" t="str">
        <f>IFERROR(VLOOKUP(logos[[#This Row],[Cell_ID]],'registe maintenance'!A:C,3,FALSE)," non répertoriées")</f>
        <v xml:space="preserve"> non répertoriées</v>
      </c>
      <c r="G228" t="str">
        <f>IFERROR(VLOOKUP(logos[[#This Row],[Cell_ID]],'registe maintenance'!A:D,4,FALSE)," non répertoriées")</f>
        <v xml:space="preserve"> non répertoriées</v>
      </c>
      <c r="H228" t="str">
        <f>IFERROR(VLOOKUP(logos[[#This Row],[Cell_ID]],'registe maintenance'!A:E,5,FALSE)," non répertoriées")</f>
        <v xml:space="preserve"> non répertoriées</v>
      </c>
      <c r="I228" t="str">
        <f>IFERROR(VLOOKUP(logos[[#This Row],[Cell_ID]],'registe maintenance'!A:F,6,FALSE)," non répertoriées")</f>
        <v xml:space="preserve"> non répertoriées</v>
      </c>
      <c r="J228">
        <f>IFERROR(VLOOKUP(B228,'logos transformer '!A:B,2,FALSE),"na")</f>
        <v>3</v>
      </c>
      <c r="K228">
        <f>IFERROR(VLOOKUP(B228,'logos transformer '!A:C,3,FALSE),"na")</f>
        <v>96</v>
      </c>
      <c r="L228" s="1">
        <f>IFERROR(VLOOKUP(B228,'logos transformer '!A:D,4,FALSE),"na")</f>
        <v>45230.911805555559</v>
      </c>
    </row>
    <row r="229" spans="1:12" x14ac:dyDescent="0.3">
      <c r="A229" s="1">
        <v>45227.775694444441</v>
      </c>
      <c r="B229" t="s">
        <v>112</v>
      </c>
      <c r="C229">
        <v>45</v>
      </c>
      <c r="D229" t="s">
        <v>10</v>
      </c>
      <c r="E229" t="str">
        <f>IFERROR(VLOOKUP(logos[[#This Row],[Cell_ID]],'registe maintenance'!A:B,2,FALSE)," non répertoriées")</f>
        <v xml:space="preserve"> non répertoriées</v>
      </c>
      <c r="F229" t="str">
        <f>IFERROR(VLOOKUP(logos[[#This Row],[Cell_ID]],'registe maintenance'!A:C,3,FALSE)," non répertoriées")</f>
        <v xml:space="preserve"> non répertoriées</v>
      </c>
      <c r="G229" t="str">
        <f>IFERROR(VLOOKUP(logos[[#This Row],[Cell_ID]],'registe maintenance'!A:D,4,FALSE)," non répertoriées")</f>
        <v xml:space="preserve"> non répertoriées</v>
      </c>
      <c r="H229" t="str">
        <f>IFERROR(VLOOKUP(logos[[#This Row],[Cell_ID]],'registe maintenance'!A:E,5,FALSE)," non répertoriées")</f>
        <v xml:space="preserve"> non répertoriées</v>
      </c>
      <c r="I229" t="str">
        <f>IFERROR(VLOOKUP(logos[[#This Row],[Cell_ID]],'registe maintenance'!A:F,6,FALSE)," non répertoriées")</f>
        <v xml:space="preserve"> non répertoriées</v>
      </c>
      <c r="J229">
        <f>IFERROR(VLOOKUP(B229,'logos transformer '!A:B,2,FALSE),"na")</f>
        <v>2</v>
      </c>
      <c r="K229">
        <f>IFERROR(VLOOKUP(B229,'logos transformer '!A:C,3,FALSE),"na")</f>
        <v>148</v>
      </c>
      <c r="L229" s="1">
        <f>IFERROR(VLOOKUP(B229,'logos transformer '!A:D,4,FALSE),"na")</f>
        <v>45227.775694444441</v>
      </c>
    </row>
    <row r="230" spans="1:12" x14ac:dyDescent="0.3">
      <c r="A230" s="1">
        <v>45212.624305555553</v>
      </c>
      <c r="B230" t="s">
        <v>208</v>
      </c>
      <c r="C230">
        <v>113</v>
      </c>
      <c r="D230" t="s">
        <v>10</v>
      </c>
      <c r="E230" t="str">
        <f>IFERROR(VLOOKUP(logos[[#This Row],[Cell_ID]],'registe maintenance'!A:B,2,FALSE)," non répertoriées")</f>
        <v xml:space="preserve"> non répertoriées</v>
      </c>
      <c r="F230" t="str">
        <f>IFERROR(VLOOKUP(logos[[#This Row],[Cell_ID]],'registe maintenance'!A:C,3,FALSE)," non répertoriées")</f>
        <v xml:space="preserve"> non répertoriées</v>
      </c>
      <c r="G230" t="str">
        <f>IFERROR(VLOOKUP(logos[[#This Row],[Cell_ID]],'registe maintenance'!A:D,4,FALSE)," non répertoriées")</f>
        <v xml:space="preserve"> non répertoriées</v>
      </c>
      <c r="H230" t="str">
        <f>IFERROR(VLOOKUP(logos[[#This Row],[Cell_ID]],'registe maintenance'!A:E,5,FALSE)," non répertoriées")</f>
        <v xml:space="preserve"> non répertoriées</v>
      </c>
      <c r="I230" t="str">
        <f>IFERROR(VLOOKUP(logos[[#This Row],[Cell_ID]],'registe maintenance'!A:F,6,FALSE)," non répertoriées")</f>
        <v xml:space="preserve"> non répertoriées</v>
      </c>
      <c r="J230">
        <f>IFERROR(VLOOKUP(B230,'logos transformer '!A:B,2,FALSE),"na")</f>
        <v>3</v>
      </c>
      <c r="K230">
        <f>IFERROR(VLOOKUP(B230,'logos transformer '!A:C,3,FALSE),"na")</f>
        <v>268</v>
      </c>
      <c r="L230" s="1">
        <f>IFERROR(VLOOKUP(B230,'logos transformer '!A:D,4,FALSE),"na")</f>
        <v>45218.242361111108</v>
      </c>
    </row>
    <row r="231" spans="1:12" x14ac:dyDescent="0.3">
      <c r="A231" s="1">
        <v>45210.280555555553</v>
      </c>
      <c r="B231" t="s">
        <v>209</v>
      </c>
      <c r="C231">
        <v>43</v>
      </c>
      <c r="D231" t="s">
        <v>8</v>
      </c>
      <c r="E231" t="str">
        <f>IFERROR(VLOOKUP(logos[[#This Row],[Cell_ID]],'registe maintenance'!A:B,2,FALSE)," non répertoriées")</f>
        <v>Sud-Ubangi</v>
      </c>
      <c r="F231">
        <f>IFERROR(VLOOKUP(logos[[#This Row],[Cell_ID]],'registe maintenance'!A:C,3,FALSE)," non répertoriées")</f>
        <v>-12.342053999999999</v>
      </c>
      <c r="G231">
        <f>IFERROR(VLOOKUP(logos[[#This Row],[Cell_ID]],'registe maintenance'!A:D,4,FALSE)," non répertoriées")</f>
        <v>18.756862000000002</v>
      </c>
      <c r="H231" t="str">
        <f>IFERROR(VLOOKUP(logos[[#This Row],[Cell_ID]],'registe maintenance'!A:E,5,FALSE)," non répertoriées")</f>
        <v>3G</v>
      </c>
      <c r="I231" t="str">
        <f>IFERROR(VLOOKUP(logos[[#This Row],[Cell_ID]],'registe maintenance'!A:F,6,FALSE)," non répertoriées")</f>
        <v>Ericsson</v>
      </c>
      <c r="J231">
        <f>IFERROR(VLOOKUP(B231,'logos transformer '!A:B,2,FALSE),"na")</f>
        <v>2</v>
      </c>
      <c r="K231">
        <f>IFERROR(VLOOKUP(B231,'logos transformer '!A:C,3,FALSE),"na")</f>
        <v>88</v>
      </c>
      <c r="L231" s="1">
        <f>IFERROR(VLOOKUP(B231,'logos transformer '!A:D,4,FALSE),"na")</f>
        <v>45211.904861111114</v>
      </c>
    </row>
    <row r="232" spans="1:12" x14ac:dyDescent="0.3">
      <c r="A232" s="1">
        <v>45207.543055555558</v>
      </c>
      <c r="B232" t="s">
        <v>210</v>
      </c>
      <c r="C232">
        <v>54</v>
      </c>
      <c r="D232" t="s">
        <v>5</v>
      </c>
      <c r="E232" t="str">
        <f>IFERROR(VLOOKUP(logos[[#This Row],[Cell_ID]],'registe maintenance'!A:B,2,FALSE)," non répertoriées")</f>
        <v xml:space="preserve"> non répertoriées</v>
      </c>
      <c r="F232" t="str">
        <f>IFERROR(VLOOKUP(logos[[#This Row],[Cell_ID]],'registe maintenance'!A:C,3,FALSE)," non répertoriées")</f>
        <v xml:space="preserve"> non répertoriées</v>
      </c>
      <c r="G232" t="str">
        <f>IFERROR(VLOOKUP(logos[[#This Row],[Cell_ID]],'registe maintenance'!A:D,4,FALSE)," non répertoriées")</f>
        <v xml:space="preserve"> non répertoriées</v>
      </c>
      <c r="H232" t="str">
        <f>IFERROR(VLOOKUP(logos[[#This Row],[Cell_ID]],'registe maintenance'!A:E,5,FALSE)," non répertoriées")</f>
        <v xml:space="preserve"> non répertoriées</v>
      </c>
      <c r="I232" t="str">
        <f>IFERROR(VLOOKUP(logos[[#This Row],[Cell_ID]],'registe maintenance'!A:F,6,FALSE)," non répertoriées")</f>
        <v xml:space="preserve"> non répertoriées</v>
      </c>
      <c r="J232">
        <f>IFERROR(VLOOKUP(B232,'logos transformer '!A:B,2,FALSE),"na")</f>
        <v>2</v>
      </c>
      <c r="K232">
        <f>IFERROR(VLOOKUP(B232,'logos transformer '!A:C,3,FALSE),"na")</f>
        <v>109</v>
      </c>
      <c r="L232" s="1">
        <f>IFERROR(VLOOKUP(B232,'logos transformer '!A:D,4,FALSE),"na")</f>
        <v>45225.996527777781</v>
      </c>
    </row>
    <row r="233" spans="1:12" x14ac:dyDescent="0.3">
      <c r="A233" s="1">
        <v>45210.979166666657</v>
      </c>
      <c r="B233" t="s">
        <v>211</v>
      </c>
      <c r="C233">
        <v>114</v>
      </c>
      <c r="D233" t="s">
        <v>10</v>
      </c>
      <c r="E233" t="str">
        <f>IFERROR(VLOOKUP(logos[[#This Row],[Cell_ID]],'registe maintenance'!A:B,2,FALSE)," non répertoriées")</f>
        <v xml:space="preserve"> non répertoriées</v>
      </c>
      <c r="F233" t="str">
        <f>IFERROR(VLOOKUP(logos[[#This Row],[Cell_ID]],'registe maintenance'!A:C,3,FALSE)," non répertoriées")</f>
        <v xml:space="preserve"> non répertoriées</v>
      </c>
      <c r="G233" t="str">
        <f>IFERROR(VLOOKUP(logos[[#This Row],[Cell_ID]],'registe maintenance'!A:D,4,FALSE)," non répertoriées")</f>
        <v xml:space="preserve"> non répertoriées</v>
      </c>
      <c r="H233" t="str">
        <f>IFERROR(VLOOKUP(logos[[#This Row],[Cell_ID]],'registe maintenance'!A:E,5,FALSE)," non répertoriées")</f>
        <v xml:space="preserve"> non répertoriées</v>
      </c>
      <c r="I233" t="str">
        <f>IFERROR(VLOOKUP(logos[[#This Row],[Cell_ID]],'registe maintenance'!A:F,6,FALSE)," non répertoriées")</f>
        <v xml:space="preserve"> non répertoriées</v>
      </c>
      <c r="J233">
        <f>IFERROR(VLOOKUP(B233,'logos transformer '!A:B,2,FALSE),"na")</f>
        <v>1</v>
      </c>
      <c r="K233">
        <f>IFERROR(VLOOKUP(B233,'logos transformer '!A:C,3,FALSE),"na")</f>
        <v>114</v>
      </c>
      <c r="L233" s="1">
        <f>IFERROR(VLOOKUP(B233,'logos transformer '!A:D,4,FALSE),"na")</f>
        <v>45210.979166666664</v>
      </c>
    </row>
    <row r="234" spans="1:12" x14ac:dyDescent="0.3">
      <c r="A234" s="1">
        <v>45222.51666666667</v>
      </c>
      <c r="B234" t="s">
        <v>212</v>
      </c>
      <c r="C234">
        <v>66</v>
      </c>
      <c r="D234" t="s">
        <v>5</v>
      </c>
      <c r="E234" t="str">
        <f>IFERROR(VLOOKUP(logos[[#This Row],[Cell_ID]],'registe maintenance'!A:B,2,FALSE)," non répertoriées")</f>
        <v xml:space="preserve"> non répertoriées</v>
      </c>
      <c r="F234" t="str">
        <f>IFERROR(VLOOKUP(logos[[#This Row],[Cell_ID]],'registe maintenance'!A:C,3,FALSE)," non répertoriées")</f>
        <v xml:space="preserve"> non répertoriées</v>
      </c>
      <c r="G234" t="str">
        <f>IFERROR(VLOOKUP(logos[[#This Row],[Cell_ID]],'registe maintenance'!A:D,4,FALSE)," non répertoriées")</f>
        <v xml:space="preserve"> non répertoriées</v>
      </c>
      <c r="H234" t="str">
        <f>IFERROR(VLOOKUP(logos[[#This Row],[Cell_ID]],'registe maintenance'!A:E,5,FALSE)," non répertoriées")</f>
        <v xml:space="preserve"> non répertoriées</v>
      </c>
      <c r="I234" t="str">
        <f>IFERROR(VLOOKUP(logos[[#This Row],[Cell_ID]],'registe maintenance'!A:F,6,FALSE)," non répertoriées")</f>
        <v xml:space="preserve"> non répertoriées</v>
      </c>
      <c r="J234">
        <f>IFERROR(VLOOKUP(B234,'logos transformer '!A:B,2,FALSE),"na")</f>
        <v>3</v>
      </c>
      <c r="K234">
        <f>IFERROR(VLOOKUP(B234,'logos transformer '!A:C,3,FALSE),"na")</f>
        <v>201</v>
      </c>
      <c r="L234" s="1">
        <f>IFERROR(VLOOKUP(B234,'logos transformer '!A:D,4,FALSE),"na")</f>
        <v>45222.51666666667</v>
      </c>
    </row>
    <row r="235" spans="1:12" x14ac:dyDescent="0.3">
      <c r="A235" s="1">
        <v>45221.839583333327</v>
      </c>
      <c r="B235" t="s">
        <v>213</v>
      </c>
      <c r="C235">
        <v>18</v>
      </c>
      <c r="D235" t="s">
        <v>5</v>
      </c>
      <c r="E235" t="str">
        <f>IFERROR(VLOOKUP(logos[[#This Row],[Cell_ID]],'registe maintenance'!A:B,2,FALSE)," non répertoriées")</f>
        <v xml:space="preserve"> non répertoriées</v>
      </c>
      <c r="F235" t="str">
        <f>IFERROR(VLOOKUP(logos[[#This Row],[Cell_ID]],'registe maintenance'!A:C,3,FALSE)," non répertoriées")</f>
        <v xml:space="preserve"> non répertoriées</v>
      </c>
      <c r="G235" t="str">
        <f>IFERROR(VLOOKUP(logos[[#This Row],[Cell_ID]],'registe maintenance'!A:D,4,FALSE)," non répertoriées")</f>
        <v xml:space="preserve"> non répertoriées</v>
      </c>
      <c r="H235" t="str">
        <f>IFERROR(VLOOKUP(logos[[#This Row],[Cell_ID]],'registe maintenance'!A:E,5,FALSE)," non répertoriées")</f>
        <v xml:space="preserve"> non répertoriées</v>
      </c>
      <c r="I235" t="str">
        <f>IFERROR(VLOOKUP(logos[[#This Row],[Cell_ID]],'registe maintenance'!A:F,6,FALSE)," non répertoriées")</f>
        <v xml:space="preserve"> non répertoriées</v>
      </c>
      <c r="J235">
        <f>IFERROR(VLOOKUP(B235,'logos transformer '!A:B,2,FALSE),"na")</f>
        <v>1</v>
      </c>
      <c r="K235">
        <f>IFERROR(VLOOKUP(B235,'logos transformer '!A:C,3,FALSE),"na")</f>
        <v>18</v>
      </c>
      <c r="L235" s="1">
        <f>IFERROR(VLOOKUP(B235,'logos transformer '!A:D,4,FALSE),"na")</f>
        <v>45221.839583333334</v>
      </c>
    </row>
    <row r="236" spans="1:12" x14ac:dyDescent="0.3">
      <c r="A236" s="1">
        <v>45215.047222222223</v>
      </c>
      <c r="B236" t="s">
        <v>214</v>
      </c>
      <c r="C236">
        <v>35</v>
      </c>
      <c r="D236" t="s">
        <v>5</v>
      </c>
      <c r="E236" t="str">
        <f>IFERROR(VLOOKUP(logos[[#This Row],[Cell_ID]],'registe maintenance'!A:B,2,FALSE)," non répertoriées")</f>
        <v xml:space="preserve"> non répertoriées</v>
      </c>
      <c r="F236" t="str">
        <f>IFERROR(VLOOKUP(logos[[#This Row],[Cell_ID]],'registe maintenance'!A:C,3,FALSE)," non répertoriées")</f>
        <v xml:space="preserve"> non répertoriées</v>
      </c>
      <c r="G236" t="str">
        <f>IFERROR(VLOOKUP(logos[[#This Row],[Cell_ID]],'registe maintenance'!A:D,4,FALSE)," non répertoriées")</f>
        <v xml:space="preserve"> non répertoriées</v>
      </c>
      <c r="H236" t="str">
        <f>IFERROR(VLOOKUP(logos[[#This Row],[Cell_ID]],'registe maintenance'!A:E,5,FALSE)," non répertoriées")</f>
        <v xml:space="preserve"> non répertoriées</v>
      </c>
      <c r="I236" t="str">
        <f>IFERROR(VLOOKUP(logos[[#This Row],[Cell_ID]],'registe maintenance'!A:F,6,FALSE)," non répertoriées")</f>
        <v xml:space="preserve"> non répertoriées</v>
      </c>
      <c r="J236">
        <f>IFERROR(VLOOKUP(B236,'logos transformer '!A:B,2,FALSE),"na")</f>
        <v>3</v>
      </c>
      <c r="K236">
        <f>IFERROR(VLOOKUP(B236,'logos transformer '!A:C,3,FALSE),"na")</f>
        <v>211</v>
      </c>
      <c r="L236" s="1">
        <f>IFERROR(VLOOKUP(B236,'logos transformer '!A:D,4,FALSE),"na")</f>
        <v>45229.801388888889</v>
      </c>
    </row>
    <row r="237" spans="1:12" x14ac:dyDescent="0.3">
      <c r="A237" s="1">
        <v>45216.76458333333</v>
      </c>
      <c r="B237" t="s">
        <v>82</v>
      </c>
      <c r="C237">
        <v>53</v>
      </c>
      <c r="D237" t="s">
        <v>8</v>
      </c>
      <c r="E237" t="str">
        <f>IFERROR(VLOOKUP(logos[[#This Row],[Cell_ID]],'registe maintenance'!A:B,2,FALSE)," non répertoriées")</f>
        <v>Sud-Ubangi</v>
      </c>
      <c r="F237">
        <f>IFERROR(VLOOKUP(logos[[#This Row],[Cell_ID]],'registe maintenance'!A:C,3,FALSE)," non répertoriées")</f>
        <v>-10.914952</v>
      </c>
      <c r="G237">
        <f>IFERROR(VLOOKUP(logos[[#This Row],[Cell_ID]],'registe maintenance'!A:D,4,FALSE)," non répertoriées")</f>
        <v>26.409648000000001</v>
      </c>
      <c r="H237" t="str">
        <f>IFERROR(VLOOKUP(logos[[#This Row],[Cell_ID]],'registe maintenance'!A:E,5,FALSE)," non répertoriées")</f>
        <v>4G</v>
      </c>
      <c r="I237" t="str">
        <f>IFERROR(VLOOKUP(logos[[#This Row],[Cell_ID]],'registe maintenance'!A:F,6,FALSE)," non répertoriées")</f>
        <v>Huawei</v>
      </c>
      <c r="J237">
        <f>IFERROR(VLOOKUP(B237,'logos transformer '!A:B,2,FALSE),"na")</f>
        <v>3</v>
      </c>
      <c r="K237">
        <f>IFERROR(VLOOKUP(B237,'logos transformer '!A:C,3,FALSE),"na")</f>
        <v>289</v>
      </c>
      <c r="L237" s="1">
        <f>IFERROR(VLOOKUP(B237,'logos transformer '!A:D,4,FALSE),"na")</f>
        <v>45227.309027777781</v>
      </c>
    </row>
    <row r="238" spans="1:12" x14ac:dyDescent="0.3">
      <c r="A238" s="1">
        <v>45227.163194444453</v>
      </c>
      <c r="B238" t="s">
        <v>215</v>
      </c>
      <c r="C238">
        <v>78</v>
      </c>
      <c r="D238" t="s">
        <v>8</v>
      </c>
      <c r="E238" t="str">
        <f>IFERROR(VLOOKUP(logos[[#This Row],[Cell_ID]],'registe maintenance'!A:B,2,FALSE)," non répertoriées")</f>
        <v xml:space="preserve"> non répertoriées</v>
      </c>
      <c r="F238" t="str">
        <f>IFERROR(VLOOKUP(logos[[#This Row],[Cell_ID]],'registe maintenance'!A:C,3,FALSE)," non répertoriées")</f>
        <v xml:space="preserve"> non répertoriées</v>
      </c>
      <c r="G238" t="str">
        <f>IFERROR(VLOOKUP(logos[[#This Row],[Cell_ID]],'registe maintenance'!A:D,4,FALSE)," non répertoriées")</f>
        <v xml:space="preserve"> non répertoriées</v>
      </c>
      <c r="H238" t="str">
        <f>IFERROR(VLOOKUP(logos[[#This Row],[Cell_ID]],'registe maintenance'!A:E,5,FALSE)," non répertoriées")</f>
        <v xml:space="preserve"> non répertoriées</v>
      </c>
      <c r="I238" t="str">
        <f>IFERROR(VLOOKUP(logos[[#This Row],[Cell_ID]],'registe maintenance'!A:F,6,FALSE)," non répertoriées")</f>
        <v xml:space="preserve"> non répertoriées</v>
      </c>
      <c r="J238">
        <f>IFERROR(VLOOKUP(B238,'logos transformer '!A:B,2,FALSE),"na")</f>
        <v>1</v>
      </c>
      <c r="K238">
        <f>IFERROR(VLOOKUP(B238,'logos transformer '!A:C,3,FALSE),"na")</f>
        <v>78</v>
      </c>
      <c r="L238" s="1">
        <f>IFERROR(VLOOKUP(B238,'logos transformer '!A:D,4,FALSE),"na")</f>
        <v>45227.163194444445</v>
      </c>
    </row>
    <row r="239" spans="1:12" x14ac:dyDescent="0.3">
      <c r="A239" s="1">
        <v>45227.587500000001</v>
      </c>
      <c r="B239" t="s">
        <v>149</v>
      </c>
      <c r="C239">
        <v>50</v>
      </c>
      <c r="D239" t="s">
        <v>8</v>
      </c>
      <c r="E239" t="str">
        <f>IFERROR(VLOOKUP(logos[[#This Row],[Cell_ID]],'registe maintenance'!A:B,2,FALSE)," non répertoriées")</f>
        <v>Nord-Ubangi</v>
      </c>
      <c r="F239">
        <f>IFERROR(VLOOKUP(logos[[#This Row],[Cell_ID]],'registe maintenance'!A:C,3,FALSE)," non répertoriées")</f>
        <v>-1.342476</v>
      </c>
      <c r="G239">
        <f>IFERROR(VLOOKUP(logos[[#This Row],[Cell_ID]],'registe maintenance'!A:D,4,FALSE)," non répertoriées")</f>
        <v>15.986086</v>
      </c>
      <c r="H239" t="str">
        <f>IFERROR(VLOOKUP(logos[[#This Row],[Cell_ID]],'registe maintenance'!A:E,5,FALSE)," non répertoriées")</f>
        <v>4G</v>
      </c>
      <c r="I239" t="str">
        <f>IFERROR(VLOOKUP(logos[[#This Row],[Cell_ID]],'registe maintenance'!A:F,6,FALSE)," non répertoriées")</f>
        <v>Ericsson</v>
      </c>
      <c r="J239">
        <f>IFERROR(VLOOKUP(B239,'logos transformer '!A:B,2,FALSE),"na")</f>
        <v>4</v>
      </c>
      <c r="K239">
        <f>IFERROR(VLOOKUP(B239,'logos transformer '!A:C,3,FALSE),"na")</f>
        <v>352</v>
      </c>
      <c r="L239" s="1">
        <f>IFERROR(VLOOKUP(B239,'logos transformer '!A:D,4,FALSE),"na")</f>
        <v>45229.722916666666</v>
      </c>
    </row>
    <row r="240" spans="1:12" x14ac:dyDescent="0.3">
      <c r="A240" s="1">
        <v>45216.583333333343</v>
      </c>
      <c r="B240" t="s">
        <v>216</v>
      </c>
      <c r="C240">
        <v>78</v>
      </c>
      <c r="D240" t="s">
        <v>10</v>
      </c>
      <c r="E240" t="str">
        <f>IFERROR(VLOOKUP(logos[[#This Row],[Cell_ID]],'registe maintenance'!A:B,2,FALSE)," non répertoriées")</f>
        <v>Haut-Katanga</v>
      </c>
      <c r="F240">
        <f>IFERROR(VLOOKUP(logos[[#This Row],[Cell_ID]],'registe maintenance'!A:C,3,FALSE)," non répertoriées")</f>
        <v>0.16841400000000001</v>
      </c>
      <c r="G240">
        <f>IFERROR(VLOOKUP(logos[[#This Row],[Cell_ID]],'registe maintenance'!A:D,4,FALSE)," non répertoriées")</f>
        <v>30.029876999999999</v>
      </c>
      <c r="H240" t="str">
        <f>IFERROR(VLOOKUP(logos[[#This Row],[Cell_ID]],'registe maintenance'!A:E,5,FALSE)," non répertoriées")</f>
        <v>5G</v>
      </c>
      <c r="I240" t="str">
        <f>IFERROR(VLOOKUP(logos[[#This Row],[Cell_ID]],'registe maintenance'!A:F,6,FALSE)," non répertoriées")</f>
        <v>Huawei</v>
      </c>
      <c r="J240">
        <f>IFERROR(VLOOKUP(B240,'logos transformer '!A:B,2,FALSE),"na")</f>
        <v>2</v>
      </c>
      <c r="K240">
        <f>IFERROR(VLOOKUP(B240,'logos transformer '!A:C,3,FALSE),"na")</f>
        <v>194</v>
      </c>
      <c r="L240" s="1">
        <f>IFERROR(VLOOKUP(B240,'logos transformer '!A:D,4,FALSE),"na")</f>
        <v>45223.736111111109</v>
      </c>
    </row>
    <row r="241" spans="1:12" x14ac:dyDescent="0.3">
      <c r="A241" s="1">
        <v>45223.18472222222</v>
      </c>
      <c r="B241" t="s">
        <v>217</v>
      </c>
      <c r="C241">
        <v>42</v>
      </c>
      <c r="D241" t="s">
        <v>8</v>
      </c>
      <c r="E241" t="str">
        <f>IFERROR(VLOOKUP(logos[[#This Row],[Cell_ID]],'registe maintenance'!A:B,2,FALSE)," non répertoriées")</f>
        <v xml:space="preserve"> non répertoriées</v>
      </c>
      <c r="F241" t="str">
        <f>IFERROR(VLOOKUP(logos[[#This Row],[Cell_ID]],'registe maintenance'!A:C,3,FALSE)," non répertoriées")</f>
        <v xml:space="preserve"> non répertoriées</v>
      </c>
      <c r="G241" t="str">
        <f>IFERROR(VLOOKUP(logos[[#This Row],[Cell_ID]],'registe maintenance'!A:D,4,FALSE)," non répertoriées")</f>
        <v xml:space="preserve"> non répertoriées</v>
      </c>
      <c r="H241" t="str">
        <f>IFERROR(VLOOKUP(logos[[#This Row],[Cell_ID]],'registe maintenance'!A:E,5,FALSE)," non répertoriées")</f>
        <v xml:space="preserve"> non répertoriées</v>
      </c>
      <c r="I241" t="str">
        <f>IFERROR(VLOOKUP(logos[[#This Row],[Cell_ID]],'registe maintenance'!A:F,6,FALSE)," non répertoriées")</f>
        <v xml:space="preserve"> non répertoriées</v>
      </c>
      <c r="J241">
        <f>IFERROR(VLOOKUP(B241,'logos transformer '!A:B,2,FALSE),"na")</f>
        <v>2</v>
      </c>
      <c r="K241">
        <f>IFERROR(VLOOKUP(B241,'logos transformer '!A:C,3,FALSE),"na")</f>
        <v>54</v>
      </c>
      <c r="L241" s="1">
        <f>IFERROR(VLOOKUP(B241,'logos transformer '!A:D,4,FALSE),"na")</f>
        <v>45223.18472222222</v>
      </c>
    </row>
    <row r="242" spans="1:12" x14ac:dyDescent="0.3">
      <c r="A242" s="1">
        <v>45227.839583333327</v>
      </c>
      <c r="B242" t="s">
        <v>218</v>
      </c>
      <c r="C242">
        <v>94</v>
      </c>
      <c r="D242" t="s">
        <v>10</v>
      </c>
      <c r="E242" t="str">
        <f>IFERROR(VLOOKUP(logos[[#This Row],[Cell_ID]],'registe maintenance'!A:B,2,FALSE)," non répertoriées")</f>
        <v xml:space="preserve"> non répertoriées</v>
      </c>
      <c r="F242" t="str">
        <f>IFERROR(VLOOKUP(logos[[#This Row],[Cell_ID]],'registe maintenance'!A:C,3,FALSE)," non répertoriées")</f>
        <v xml:space="preserve"> non répertoriées</v>
      </c>
      <c r="G242" t="str">
        <f>IFERROR(VLOOKUP(logos[[#This Row],[Cell_ID]],'registe maintenance'!A:D,4,FALSE)," non répertoriées")</f>
        <v xml:space="preserve"> non répertoriées</v>
      </c>
      <c r="H242" t="str">
        <f>IFERROR(VLOOKUP(logos[[#This Row],[Cell_ID]],'registe maintenance'!A:E,5,FALSE)," non répertoriées")</f>
        <v xml:space="preserve"> non répertoriées</v>
      </c>
      <c r="I242" t="str">
        <f>IFERROR(VLOOKUP(logos[[#This Row],[Cell_ID]],'registe maintenance'!A:F,6,FALSE)," non répertoriées")</f>
        <v xml:space="preserve"> non répertoriées</v>
      </c>
      <c r="J242">
        <f>IFERROR(VLOOKUP(B242,'logos transformer '!A:B,2,FALSE),"na")</f>
        <v>1</v>
      </c>
      <c r="K242">
        <f>IFERROR(VLOOKUP(B242,'logos transformer '!A:C,3,FALSE),"na")</f>
        <v>94</v>
      </c>
      <c r="L242" s="1">
        <f>IFERROR(VLOOKUP(B242,'logos transformer '!A:D,4,FALSE),"na")</f>
        <v>45227.839583333334</v>
      </c>
    </row>
    <row r="243" spans="1:12" x14ac:dyDescent="0.3">
      <c r="A243" s="1">
        <v>45202.659722222219</v>
      </c>
      <c r="B243" t="s">
        <v>219</v>
      </c>
      <c r="C243">
        <v>42</v>
      </c>
      <c r="D243" t="s">
        <v>5</v>
      </c>
      <c r="E243" t="str">
        <f>IFERROR(VLOOKUP(logos[[#This Row],[Cell_ID]],'registe maintenance'!A:B,2,FALSE)," non répertoriées")</f>
        <v xml:space="preserve"> non répertoriées</v>
      </c>
      <c r="F243" t="str">
        <f>IFERROR(VLOOKUP(logos[[#This Row],[Cell_ID]],'registe maintenance'!A:C,3,FALSE)," non répertoriées")</f>
        <v xml:space="preserve"> non répertoriées</v>
      </c>
      <c r="G243" t="str">
        <f>IFERROR(VLOOKUP(logos[[#This Row],[Cell_ID]],'registe maintenance'!A:D,4,FALSE)," non répertoriées")</f>
        <v xml:space="preserve"> non répertoriées</v>
      </c>
      <c r="H243" t="str">
        <f>IFERROR(VLOOKUP(logos[[#This Row],[Cell_ID]],'registe maintenance'!A:E,5,FALSE)," non répertoriées")</f>
        <v xml:space="preserve"> non répertoriées</v>
      </c>
      <c r="I243" t="str">
        <f>IFERROR(VLOOKUP(logos[[#This Row],[Cell_ID]],'registe maintenance'!A:F,6,FALSE)," non répertoriées")</f>
        <v xml:space="preserve"> non répertoriées</v>
      </c>
      <c r="J243">
        <f>IFERROR(VLOOKUP(B243,'logos transformer '!A:B,2,FALSE),"na")</f>
        <v>3</v>
      </c>
      <c r="K243">
        <f>IFERROR(VLOOKUP(B243,'logos transformer '!A:C,3,FALSE),"na")</f>
        <v>195</v>
      </c>
      <c r="L243" s="1">
        <f>IFERROR(VLOOKUP(B243,'logos transformer '!A:D,4,FALSE),"na")</f>
        <v>45206.366666666669</v>
      </c>
    </row>
    <row r="244" spans="1:12" x14ac:dyDescent="0.3">
      <c r="A244" s="1">
        <v>45208.443749999999</v>
      </c>
      <c r="B244" t="s">
        <v>220</v>
      </c>
      <c r="C244">
        <v>7</v>
      </c>
      <c r="D244" t="s">
        <v>10</v>
      </c>
      <c r="E244" t="str">
        <f>IFERROR(VLOOKUP(logos[[#This Row],[Cell_ID]],'registe maintenance'!A:B,2,FALSE)," non répertoriées")</f>
        <v>Haut-Lomami</v>
      </c>
      <c r="F244">
        <f>IFERROR(VLOOKUP(logos[[#This Row],[Cell_ID]],'registe maintenance'!A:C,3,FALSE)," non répertoriées")</f>
        <v>-6.3324319999999998</v>
      </c>
      <c r="G244">
        <f>IFERROR(VLOOKUP(logos[[#This Row],[Cell_ID]],'registe maintenance'!A:D,4,FALSE)," non répertoriées")</f>
        <v>24.887858000000001</v>
      </c>
      <c r="H244" t="str">
        <f>IFERROR(VLOOKUP(logos[[#This Row],[Cell_ID]],'registe maintenance'!A:E,5,FALSE)," non répertoriées")</f>
        <v>4G</v>
      </c>
      <c r="I244" t="str">
        <f>IFERROR(VLOOKUP(logos[[#This Row],[Cell_ID]],'registe maintenance'!A:F,6,FALSE)," non répertoriées")</f>
        <v>ZTE</v>
      </c>
      <c r="J244">
        <f>IFERROR(VLOOKUP(B244,'logos transformer '!A:B,2,FALSE),"na")</f>
        <v>1</v>
      </c>
      <c r="K244">
        <f>IFERROR(VLOOKUP(B244,'logos transformer '!A:C,3,FALSE),"na")</f>
        <v>7</v>
      </c>
      <c r="L244" s="1">
        <f>IFERROR(VLOOKUP(B244,'logos transformer '!A:D,4,FALSE),"na")</f>
        <v>45208.443749999999</v>
      </c>
    </row>
    <row r="245" spans="1:12" x14ac:dyDescent="0.3">
      <c r="A245" s="1">
        <v>45222.52847222222</v>
      </c>
      <c r="B245" t="s">
        <v>221</v>
      </c>
      <c r="C245">
        <v>111</v>
      </c>
      <c r="D245" t="s">
        <v>5</v>
      </c>
      <c r="E245" t="str">
        <f>IFERROR(VLOOKUP(logos[[#This Row],[Cell_ID]],'registe maintenance'!A:B,2,FALSE)," non répertoriées")</f>
        <v xml:space="preserve"> non répertoriées</v>
      </c>
      <c r="F245" t="str">
        <f>IFERROR(VLOOKUP(logos[[#This Row],[Cell_ID]],'registe maintenance'!A:C,3,FALSE)," non répertoriées")</f>
        <v xml:space="preserve"> non répertoriées</v>
      </c>
      <c r="G245" t="str">
        <f>IFERROR(VLOOKUP(logos[[#This Row],[Cell_ID]],'registe maintenance'!A:D,4,FALSE)," non répertoriées")</f>
        <v xml:space="preserve"> non répertoriées</v>
      </c>
      <c r="H245" t="str">
        <f>IFERROR(VLOOKUP(logos[[#This Row],[Cell_ID]],'registe maintenance'!A:E,5,FALSE)," non répertoriées")</f>
        <v xml:space="preserve"> non répertoriées</v>
      </c>
      <c r="I245" t="str">
        <f>IFERROR(VLOOKUP(logos[[#This Row],[Cell_ID]],'registe maintenance'!A:F,6,FALSE)," non répertoriées")</f>
        <v xml:space="preserve"> non répertoriées</v>
      </c>
      <c r="J245">
        <f>IFERROR(VLOOKUP(B245,'logos transformer '!A:B,2,FALSE),"na")</f>
        <v>1</v>
      </c>
      <c r="K245">
        <f>IFERROR(VLOOKUP(B245,'logos transformer '!A:C,3,FALSE),"na")</f>
        <v>111</v>
      </c>
      <c r="L245" s="1">
        <f>IFERROR(VLOOKUP(B245,'logos transformer '!A:D,4,FALSE),"na")</f>
        <v>45222.52847222222</v>
      </c>
    </row>
    <row r="246" spans="1:12" x14ac:dyDescent="0.3">
      <c r="A246" s="1">
        <v>45202.45416666667</v>
      </c>
      <c r="B246" t="s">
        <v>222</v>
      </c>
      <c r="C246">
        <v>89</v>
      </c>
      <c r="D246" t="s">
        <v>10</v>
      </c>
      <c r="E246" t="str">
        <f>IFERROR(VLOOKUP(logos[[#This Row],[Cell_ID]],'registe maintenance'!A:B,2,FALSE)," non répertoriées")</f>
        <v xml:space="preserve"> non répertoriées</v>
      </c>
      <c r="F246" t="str">
        <f>IFERROR(VLOOKUP(logos[[#This Row],[Cell_ID]],'registe maintenance'!A:C,3,FALSE)," non répertoriées")</f>
        <v xml:space="preserve"> non répertoriées</v>
      </c>
      <c r="G246" t="str">
        <f>IFERROR(VLOOKUP(logos[[#This Row],[Cell_ID]],'registe maintenance'!A:D,4,FALSE)," non répertoriées")</f>
        <v xml:space="preserve"> non répertoriées</v>
      </c>
      <c r="H246" t="str">
        <f>IFERROR(VLOOKUP(logos[[#This Row],[Cell_ID]],'registe maintenance'!A:E,5,FALSE)," non répertoriées")</f>
        <v xml:space="preserve"> non répertoriées</v>
      </c>
      <c r="I246" t="str">
        <f>IFERROR(VLOOKUP(logos[[#This Row],[Cell_ID]],'registe maintenance'!A:F,6,FALSE)," non répertoriées")</f>
        <v xml:space="preserve"> non répertoriées</v>
      </c>
      <c r="J246">
        <f>IFERROR(VLOOKUP(B246,'logos transformer '!A:B,2,FALSE),"na")</f>
        <v>2</v>
      </c>
      <c r="K246">
        <f>IFERROR(VLOOKUP(B246,'logos transformer '!A:C,3,FALSE),"na")</f>
        <v>94</v>
      </c>
      <c r="L246" s="1">
        <f>IFERROR(VLOOKUP(B246,'logos transformer '!A:D,4,FALSE),"na")</f>
        <v>45224.818055555559</v>
      </c>
    </row>
    <row r="247" spans="1:12" x14ac:dyDescent="0.3">
      <c r="A247" s="1">
        <v>45221.724999999999</v>
      </c>
      <c r="B247" t="s">
        <v>223</v>
      </c>
      <c r="C247">
        <v>55</v>
      </c>
      <c r="D247" t="s">
        <v>8</v>
      </c>
      <c r="E247" t="str">
        <f>IFERROR(VLOOKUP(logos[[#This Row],[Cell_ID]],'registe maintenance'!A:B,2,FALSE)," non répertoriées")</f>
        <v>Kasai-Oriental</v>
      </c>
      <c r="F247">
        <f>IFERROR(VLOOKUP(logos[[#This Row],[Cell_ID]],'registe maintenance'!A:C,3,FALSE)," non répertoriées")</f>
        <v>-1.3976519999999999</v>
      </c>
      <c r="G247">
        <f>IFERROR(VLOOKUP(logos[[#This Row],[Cell_ID]],'registe maintenance'!A:D,4,FALSE)," non répertoriées")</f>
        <v>14.098819000000001</v>
      </c>
      <c r="H247" t="str">
        <f>IFERROR(VLOOKUP(logos[[#This Row],[Cell_ID]],'registe maintenance'!A:E,5,FALSE)," non répertoriées")</f>
        <v>3G</v>
      </c>
      <c r="I247" t="str">
        <f>IFERROR(VLOOKUP(logos[[#This Row],[Cell_ID]],'registe maintenance'!A:F,6,FALSE)," non répertoriées")</f>
        <v>Ericsson</v>
      </c>
      <c r="J247">
        <f>IFERROR(VLOOKUP(B247,'logos transformer '!A:B,2,FALSE),"na")</f>
        <v>1</v>
      </c>
      <c r="K247">
        <f>IFERROR(VLOOKUP(B247,'logos transformer '!A:C,3,FALSE),"na")</f>
        <v>55</v>
      </c>
      <c r="L247" s="1">
        <f>IFERROR(VLOOKUP(B247,'logos transformer '!A:D,4,FALSE),"na")</f>
        <v>45221.724999999999</v>
      </c>
    </row>
    <row r="248" spans="1:12" x14ac:dyDescent="0.3">
      <c r="A248" s="1">
        <v>45230.444444444453</v>
      </c>
      <c r="B248" t="s">
        <v>197</v>
      </c>
      <c r="C248">
        <v>40</v>
      </c>
      <c r="D248" t="s">
        <v>5</v>
      </c>
      <c r="E248" t="str">
        <f>IFERROR(VLOOKUP(logos[[#This Row],[Cell_ID]],'registe maintenance'!A:B,2,FALSE)," non répertoriées")</f>
        <v xml:space="preserve"> non répertoriées</v>
      </c>
      <c r="F248" t="str">
        <f>IFERROR(VLOOKUP(logos[[#This Row],[Cell_ID]],'registe maintenance'!A:C,3,FALSE)," non répertoriées")</f>
        <v xml:space="preserve"> non répertoriées</v>
      </c>
      <c r="G248" t="str">
        <f>IFERROR(VLOOKUP(logos[[#This Row],[Cell_ID]],'registe maintenance'!A:D,4,FALSE)," non répertoriées")</f>
        <v xml:space="preserve"> non répertoriées</v>
      </c>
      <c r="H248" t="str">
        <f>IFERROR(VLOOKUP(logos[[#This Row],[Cell_ID]],'registe maintenance'!A:E,5,FALSE)," non répertoriées")</f>
        <v xml:space="preserve"> non répertoriées</v>
      </c>
      <c r="I248" t="str">
        <f>IFERROR(VLOOKUP(logos[[#This Row],[Cell_ID]],'registe maintenance'!A:F,6,FALSE)," non répertoriées")</f>
        <v xml:space="preserve"> non répertoriées</v>
      </c>
      <c r="J248">
        <f>IFERROR(VLOOKUP(B248,'logos transformer '!A:B,2,FALSE),"na")</f>
        <v>2</v>
      </c>
      <c r="K248">
        <f>IFERROR(VLOOKUP(B248,'logos transformer '!A:C,3,FALSE),"na")</f>
        <v>154</v>
      </c>
      <c r="L248" s="1">
        <f>IFERROR(VLOOKUP(B248,'logos transformer '!A:D,4,FALSE),"na")</f>
        <v>45230.444444444445</v>
      </c>
    </row>
    <row r="249" spans="1:12" x14ac:dyDescent="0.3">
      <c r="A249" s="1">
        <v>45222.663194444453</v>
      </c>
      <c r="B249" t="s">
        <v>224</v>
      </c>
      <c r="C249">
        <v>6</v>
      </c>
      <c r="D249" t="s">
        <v>10</v>
      </c>
      <c r="E249" t="str">
        <f>IFERROR(VLOOKUP(logos[[#This Row],[Cell_ID]],'registe maintenance'!A:B,2,FALSE)," non répertoriées")</f>
        <v>Kongo-Central</v>
      </c>
      <c r="F249">
        <f>IFERROR(VLOOKUP(logos[[#This Row],[Cell_ID]],'registe maintenance'!A:C,3,FALSE)," non répertoriées")</f>
        <v>2.975352</v>
      </c>
      <c r="G249">
        <f>IFERROR(VLOOKUP(logos[[#This Row],[Cell_ID]],'registe maintenance'!A:D,4,FALSE)," non répertoriées")</f>
        <v>22.535886000000001</v>
      </c>
      <c r="H249" t="str">
        <f>IFERROR(VLOOKUP(logos[[#This Row],[Cell_ID]],'registe maintenance'!A:E,5,FALSE)," non répertoriées")</f>
        <v>4G</v>
      </c>
      <c r="I249" t="str">
        <f>IFERROR(VLOOKUP(logos[[#This Row],[Cell_ID]],'registe maintenance'!A:F,6,FALSE)," non répertoriées")</f>
        <v>Huawei</v>
      </c>
      <c r="J249">
        <f>IFERROR(VLOOKUP(B249,'logos transformer '!A:B,2,FALSE),"na")</f>
        <v>3</v>
      </c>
      <c r="K249">
        <f>IFERROR(VLOOKUP(B249,'logos transformer '!A:C,3,FALSE),"na")</f>
        <v>140</v>
      </c>
      <c r="L249" s="1">
        <f>IFERROR(VLOOKUP(B249,'logos transformer '!A:D,4,FALSE),"na")</f>
        <v>45222.663194444445</v>
      </c>
    </row>
    <row r="250" spans="1:12" x14ac:dyDescent="0.3">
      <c r="A250" s="1">
        <v>45217.068749999999</v>
      </c>
      <c r="B250" t="s">
        <v>225</v>
      </c>
      <c r="C250">
        <v>77</v>
      </c>
      <c r="D250" t="s">
        <v>10</v>
      </c>
      <c r="E250" t="str">
        <f>IFERROR(VLOOKUP(logos[[#This Row],[Cell_ID]],'registe maintenance'!A:B,2,FALSE)," non répertoriées")</f>
        <v xml:space="preserve"> non répertoriées</v>
      </c>
      <c r="F250" t="str">
        <f>IFERROR(VLOOKUP(logos[[#This Row],[Cell_ID]],'registe maintenance'!A:C,3,FALSE)," non répertoriées")</f>
        <v xml:space="preserve"> non répertoriées</v>
      </c>
      <c r="G250" t="str">
        <f>IFERROR(VLOOKUP(logos[[#This Row],[Cell_ID]],'registe maintenance'!A:D,4,FALSE)," non répertoriées")</f>
        <v xml:space="preserve"> non répertoriées</v>
      </c>
      <c r="H250" t="str">
        <f>IFERROR(VLOOKUP(logos[[#This Row],[Cell_ID]],'registe maintenance'!A:E,5,FALSE)," non répertoriées")</f>
        <v xml:space="preserve"> non répertoriées</v>
      </c>
      <c r="I250" t="str">
        <f>IFERROR(VLOOKUP(logos[[#This Row],[Cell_ID]],'registe maintenance'!A:F,6,FALSE)," non répertoriées")</f>
        <v xml:space="preserve"> non répertoriées</v>
      </c>
      <c r="J250">
        <f>IFERROR(VLOOKUP(B250,'logos transformer '!A:B,2,FALSE),"na")</f>
        <v>3</v>
      </c>
      <c r="K250">
        <f>IFERROR(VLOOKUP(B250,'logos transformer '!A:C,3,FALSE),"na")</f>
        <v>105</v>
      </c>
      <c r="L250" s="1">
        <f>IFERROR(VLOOKUP(B250,'logos transformer '!A:D,4,FALSE),"na")</f>
        <v>45230.726388888892</v>
      </c>
    </row>
    <row r="251" spans="1:12" x14ac:dyDescent="0.3">
      <c r="A251" s="1">
        <v>45202.319444444453</v>
      </c>
      <c r="B251" t="s">
        <v>226</v>
      </c>
      <c r="C251">
        <v>115</v>
      </c>
      <c r="D251" t="s">
        <v>8</v>
      </c>
      <c r="E251" t="str">
        <f>IFERROR(VLOOKUP(logos[[#This Row],[Cell_ID]],'registe maintenance'!A:B,2,FALSE)," non répertoriées")</f>
        <v xml:space="preserve"> non répertoriées</v>
      </c>
      <c r="F251" t="str">
        <f>IFERROR(VLOOKUP(logos[[#This Row],[Cell_ID]],'registe maintenance'!A:C,3,FALSE)," non répertoriées")</f>
        <v xml:space="preserve"> non répertoriées</v>
      </c>
      <c r="G251" t="str">
        <f>IFERROR(VLOOKUP(logos[[#This Row],[Cell_ID]],'registe maintenance'!A:D,4,FALSE)," non répertoriées")</f>
        <v xml:space="preserve"> non répertoriées</v>
      </c>
      <c r="H251" t="str">
        <f>IFERROR(VLOOKUP(logos[[#This Row],[Cell_ID]],'registe maintenance'!A:E,5,FALSE)," non répertoriées")</f>
        <v xml:space="preserve"> non répertoriées</v>
      </c>
      <c r="I251" t="str">
        <f>IFERROR(VLOOKUP(logos[[#This Row],[Cell_ID]],'registe maintenance'!A:F,6,FALSE)," non répertoriées")</f>
        <v xml:space="preserve"> non répertoriées</v>
      </c>
      <c r="J251">
        <f>IFERROR(VLOOKUP(B251,'logos transformer '!A:B,2,FALSE),"na")</f>
        <v>2</v>
      </c>
      <c r="K251">
        <f>IFERROR(VLOOKUP(B251,'logos transformer '!A:C,3,FALSE),"na")</f>
        <v>176</v>
      </c>
      <c r="L251" s="1">
        <f>IFERROR(VLOOKUP(B251,'logos transformer '!A:D,4,FALSE),"na")</f>
        <v>45203.227777777778</v>
      </c>
    </row>
    <row r="252" spans="1:12" x14ac:dyDescent="0.3">
      <c r="A252" s="1">
        <v>45221.384722222218</v>
      </c>
      <c r="B252" t="s">
        <v>227</v>
      </c>
      <c r="C252">
        <v>92</v>
      </c>
      <c r="D252" t="s">
        <v>8</v>
      </c>
      <c r="E252" t="str">
        <f>IFERROR(VLOOKUP(logos[[#This Row],[Cell_ID]],'registe maintenance'!A:B,2,FALSE)," non répertoriées")</f>
        <v xml:space="preserve"> non répertoriées</v>
      </c>
      <c r="F252" t="str">
        <f>IFERROR(VLOOKUP(logos[[#This Row],[Cell_ID]],'registe maintenance'!A:C,3,FALSE)," non répertoriées")</f>
        <v xml:space="preserve"> non répertoriées</v>
      </c>
      <c r="G252" t="str">
        <f>IFERROR(VLOOKUP(logos[[#This Row],[Cell_ID]],'registe maintenance'!A:D,4,FALSE)," non répertoriées")</f>
        <v xml:space="preserve"> non répertoriées</v>
      </c>
      <c r="H252" t="str">
        <f>IFERROR(VLOOKUP(logos[[#This Row],[Cell_ID]],'registe maintenance'!A:E,5,FALSE)," non répertoriées")</f>
        <v xml:space="preserve"> non répertoriées</v>
      </c>
      <c r="I252" t="str">
        <f>IFERROR(VLOOKUP(logos[[#This Row],[Cell_ID]],'registe maintenance'!A:F,6,FALSE)," non répertoriées")</f>
        <v xml:space="preserve"> non répertoriées</v>
      </c>
      <c r="J252">
        <f>IFERROR(VLOOKUP(B252,'logos transformer '!A:B,2,FALSE),"na")</f>
        <v>1</v>
      </c>
      <c r="K252">
        <f>IFERROR(VLOOKUP(B252,'logos transformer '!A:C,3,FALSE),"na")</f>
        <v>92</v>
      </c>
      <c r="L252" s="1">
        <f>IFERROR(VLOOKUP(B252,'logos transformer '!A:D,4,FALSE),"na")</f>
        <v>45221.384722222225</v>
      </c>
    </row>
    <row r="253" spans="1:12" x14ac:dyDescent="0.3">
      <c r="A253" s="1">
        <v>45223.102083333331</v>
      </c>
      <c r="B253" t="s">
        <v>228</v>
      </c>
      <c r="C253">
        <v>104</v>
      </c>
      <c r="D253" t="s">
        <v>8</v>
      </c>
      <c r="E253" t="str">
        <f>IFERROR(VLOOKUP(logos[[#This Row],[Cell_ID]],'registe maintenance'!A:B,2,FALSE)," non répertoriées")</f>
        <v xml:space="preserve"> non répertoriées</v>
      </c>
      <c r="F253" t="str">
        <f>IFERROR(VLOOKUP(logos[[#This Row],[Cell_ID]],'registe maintenance'!A:C,3,FALSE)," non répertoriées")</f>
        <v xml:space="preserve"> non répertoriées</v>
      </c>
      <c r="G253" t="str">
        <f>IFERROR(VLOOKUP(logos[[#This Row],[Cell_ID]],'registe maintenance'!A:D,4,FALSE)," non répertoriées")</f>
        <v xml:space="preserve"> non répertoriées</v>
      </c>
      <c r="H253" t="str">
        <f>IFERROR(VLOOKUP(logos[[#This Row],[Cell_ID]],'registe maintenance'!A:E,5,FALSE)," non répertoriées")</f>
        <v xml:space="preserve"> non répertoriées</v>
      </c>
      <c r="I253" t="str">
        <f>IFERROR(VLOOKUP(logos[[#This Row],[Cell_ID]],'registe maintenance'!A:F,6,FALSE)," non répertoriées")</f>
        <v xml:space="preserve"> non répertoriées</v>
      </c>
      <c r="J253">
        <f>IFERROR(VLOOKUP(B253,'logos transformer '!A:B,2,FALSE),"na")</f>
        <v>3</v>
      </c>
      <c r="K253">
        <f>IFERROR(VLOOKUP(B253,'logos transformer '!A:C,3,FALSE),"na")</f>
        <v>195</v>
      </c>
      <c r="L253" s="1">
        <f>IFERROR(VLOOKUP(B253,'logos transformer '!A:D,4,FALSE),"na")</f>
        <v>45223.102083333331</v>
      </c>
    </row>
    <row r="254" spans="1:12" x14ac:dyDescent="0.3">
      <c r="A254" s="1">
        <v>45203.864583333343</v>
      </c>
      <c r="B254" t="s">
        <v>229</v>
      </c>
      <c r="C254">
        <v>100</v>
      </c>
      <c r="D254" t="s">
        <v>10</v>
      </c>
      <c r="E254" t="str">
        <f>IFERROR(VLOOKUP(logos[[#This Row],[Cell_ID]],'registe maintenance'!A:B,2,FALSE)," non répertoriées")</f>
        <v xml:space="preserve"> non répertoriées</v>
      </c>
      <c r="F254" t="str">
        <f>IFERROR(VLOOKUP(logos[[#This Row],[Cell_ID]],'registe maintenance'!A:C,3,FALSE)," non répertoriées")</f>
        <v xml:space="preserve"> non répertoriées</v>
      </c>
      <c r="G254" t="str">
        <f>IFERROR(VLOOKUP(logos[[#This Row],[Cell_ID]],'registe maintenance'!A:D,4,FALSE)," non répertoriées")</f>
        <v xml:space="preserve"> non répertoriées</v>
      </c>
      <c r="H254" t="str">
        <f>IFERROR(VLOOKUP(logos[[#This Row],[Cell_ID]],'registe maintenance'!A:E,5,FALSE)," non répertoriées")</f>
        <v xml:space="preserve"> non répertoriées</v>
      </c>
      <c r="I254" t="str">
        <f>IFERROR(VLOOKUP(logos[[#This Row],[Cell_ID]],'registe maintenance'!A:F,6,FALSE)," non répertoriées")</f>
        <v xml:space="preserve"> non répertoriées</v>
      </c>
      <c r="J254">
        <f>IFERROR(VLOOKUP(B254,'logos transformer '!A:B,2,FALSE),"na")</f>
        <v>1</v>
      </c>
      <c r="K254">
        <f>IFERROR(VLOOKUP(B254,'logos transformer '!A:C,3,FALSE),"na")</f>
        <v>100</v>
      </c>
      <c r="L254" s="1">
        <f>IFERROR(VLOOKUP(B254,'logos transformer '!A:D,4,FALSE),"na")</f>
        <v>45203.864583333336</v>
      </c>
    </row>
    <row r="255" spans="1:12" x14ac:dyDescent="0.3">
      <c r="A255" s="1">
        <v>45227.144444444442</v>
      </c>
      <c r="B255" t="s">
        <v>230</v>
      </c>
      <c r="C255">
        <v>11</v>
      </c>
      <c r="D255" t="s">
        <v>8</v>
      </c>
      <c r="E255" t="str">
        <f>IFERROR(VLOOKUP(logos[[#This Row],[Cell_ID]],'registe maintenance'!A:B,2,FALSE)," non répertoriées")</f>
        <v>Tshopo</v>
      </c>
      <c r="F255">
        <f>IFERROR(VLOOKUP(logos[[#This Row],[Cell_ID]],'registe maintenance'!A:C,3,FALSE)," non répertoriées")</f>
        <v>2.4425979999999998</v>
      </c>
      <c r="G255">
        <f>IFERROR(VLOOKUP(logos[[#This Row],[Cell_ID]],'registe maintenance'!A:D,4,FALSE)," non répertoriées")</f>
        <v>24.924308</v>
      </c>
      <c r="H255" t="str">
        <f>IFERROR(VLOOKUP(logos[[#This Row],[Cell_ID]],'registe maintenance'!A:E,5,FALSE)," non répertoriées")</f>
        <v>5G</v>
      </c>
      <c r="I255" t="str">
        <f>IFERROR(VLOOKUP(logos[[#This Row],[Cell_ID]],'registe maintenance'!A:F,6,FALSE)," non répertoriées")</f>
        <v>Ericsson</v>
      </c>
      <c r="J255">
        <f>IFERROR(VLOOKUP(B255,'logos transformer '!A:B,2,FALSE),"na")</f>
        <v>2</v>
      </c>
      <c r="K255">
        <f>IFERROR(VLOOKUP(B255,'logos transformer '!A:C,3,FALSE),"na")</f>
        <v>113</v>
      </c>
      <c r="L255" s="1">
        <f>IFERROR(VLOOKUP(B255,'logos transformer '!A:D,4,FALSE),"na")</f>
        <v>45227.144444444442</v>
      </c>
    </row>
    <row r="256" spans="1:12" x14ac:dyDescent="0.3">
      <c r="A256" s="1">
        <v>45205.929861111108</v>
      </c>
      <c r="B256" t="s">
        <v>231</v>
      </c>
      <c r="C256">
        <v>82</v>
      </c>
      <c r="D256" t="s">
        <v>10</v>
      </c>
      <c r="E256" t="str">
        <f>IFERROR(VLOOKUP(logos[[#This Row],[Cell_ID]],'registe maintenance'!A:B,2,FALSE)," non répertoriées")</f>
        <v>Lualaba</v>
      </c>
      <c r="F256">
        <f>IFERROR(VLOOKUP(logos[[#This Row],[Cell_ID]],'registe maintenance'!A:C,3,FALSE)," non répertoriées")</f>
        <v>4.0157999999999996</v>
      </c>
      <c r="G256">
        <f>IFERROR(VLOOKUP(logos[[#This Row],[Cell_ID]],'registe maintenance'!A:D,4,FALSE)," non répertoriées")</f>
        <v>21.430246</v>
      </c>
      <c r="H256" t="str">
        <f>IFERROR(VLOOKUP(logos[[#This Row],[Cell_ID]],'registe maintenance'!A:E,5,FALSE)," non répertoriées")</f>
        <v>5G</v>
      </c>
      <c r="I256" t="str">
        <f>IFERROR(VLOOKUP(logos[[#This Row],[Cell_ID]],'registe maintenance'!A:F,6,FALSE)," non répertoriées")</f>
        <v>Nokia</v>
      </c>
      <c r="J256">
        <f>IFERROR(VLOOKUP(B256,'logos transformer '!A:B,2,FALSE),"na")</f>
        <v>1</v>
      </c>
      <c r="K256">
        <f>IFERROR(VLOOKUP(B256,'logos transformer '!A:C,3,FALSE),"na")</f>
        <v>82</v>
      </c>
      <c r="L256" s="1">
        <f>IFERROR(VLOOKUP(B256,'logos transformer '!A:D,4,FALSE),"na")</f>
        <v>45205.929861111108</v>
      </c>
    </row>
    <row r="257" spans="1:12" x14ac:dyDescent="0.3">
      <c r="A257" s="1">
        <v>45228.001388888893</v>
      </c>
      <c r="B257" t="s">
        <v>232</v>
      </c>
      <c r="C257">
        <v>100</v>
      </c>
      <c r="D257" t="s">
        <v>8</v>
      </c>
      <c r="E257" t="str">
        <f>IFERROR(VLOOKUP(logos[[#This Row],[Cell_ID]],'registe maintenance'!A:B,2,FALSE)," non répertoriées")</f>
        <v>Sud-Kivu</v>
      </c>
      <c r="F257">
        <f>IFERROR(VLOOKUP(logos[[#This Row],[Cell_ID]],'registe maintenance'!A:C,3,FALSE)," non répertoriées")</f>
        <v>-9.3900009999999998</v>
      </c>
      <c r="G257">
        <f>IFERROR(VLOOKUP(logos[[#This Row],[Cell_ID]],'registe maintenance'!A:D,4,FALSE)," non répertoriées")</f>
        <v>30.001517</v>
      </c>
      <c r="H257" t="str">
        <f>IFERROR(VLOOKUP(logos[[#This Row],[Cell_ID]],'registe maintenance'!A:E,5,FALSE)," non répertoriées")</f>
        <v>3G</v>
      </c>
      <c r="I257" t="str">
        <f>IFERROR(VLOOKUP(logos[[#This Row],[Cell_ID]],'registe maintenance'!A:F,6,FALSE)," non répertoriées")</f>
        <v>Nokia</v>
      </c>
      <c r="J257">
        <f>IFERROR(VLOOKUP(B257,'logos transformer '!A:B,2,FALSE),"na")</f>
        <v>2</v>
      </c>
      <c r="K257">
        <f>IFERROR(VLOOKUP(B257,'logos transformer '!A:C,3,FALSE),"na")</f>
        <v>175</v>
      </c>
      <c r="L257" s="1">
        <f>IFERROR(VLOOKUP(B257,'logos transformer '!A:D,4,FALSE),"na")</f>
        <v>45228.001388888886</v>
      </c>
    </row>
    <row r="258" spans="1:12" x14ac:dyDescent="0.3">
      <c r="A258" s="1">
        <v>45210.054166666669</v>
      </c>
      <c r="B258" t="s">
        <v>233</v>
      </c>
      <c r="C258">
        <v>68</v>
      </c>
      <c r="D258" t="s">
        <v>10</v>
      </c>
      <c r="E258" t="str">
        <f>IFERROR(VLOOKUP(logos[[#This Row],[Cell_ID]],'registe maintenance'!A:B,2,FALSE)," non répertoriées")</f>
        <v xml:space="preserve"> non répertoriées</v>
      </c>
      <c r="F258" t="str">
        <f>IFERROR(VLOOKUP(logos[[#This Row],[Cell_ID]],'registe maintenance'!A:C,3,FALSE)," non répertoriées")</f>
        <v xml:space="preserve"> non répertoriées</v>
      </c>
      <c r="G258" t="str">
        <f>IFERROR(VLOOKUP(logos[[#This Row],[Cell_ID]],'registe maintenance'!A:D,4,FALSE)," non répertoriées")</f>
        <v xml:space="preserve"> non répertoriées</v>
      </c>
      <c r="H258" t="str">
        <f>IFERROR(VLOOKUP(logos[[#This Row],[Cell_ID]],'registe maintenance'!A:E,5,FALSE)," non répertoriées")</f>
        <v xml:space="preserve"> non répertoriées</v>
      </c>
      <c r="I258" t="str">
        <f>IFERROR(VLOOKUP(logos[[#This Row],[Cell_ID]],'registe maintenance'!A:F,6,FALSE)," non répertoriées")</f>
        <v xml:space="preserve"> non répertoriées</v>
      </c>
      <c r="J258">
        <f>IFERROR(VLOOKUP(B258,'logos transformer '!A:B,2,FALSE),"na")</f>
        <v>1</v>
      </c>
      <c r="K258">
        <f>IFERROR(VLOOKUP(B258,'logos transformer '!A:C,3,FALSE),"na")</f>
        <v>68</v>
      </c>
      <c r="L258" s="1">
        <f>IFERROR(VLOOKUP(B258,'logos transformer '!A:D,4,FALSE),"na")</f>
        <v>45210.054166666669</v>
      </c>
    </row>
    <row r="259" spans="1:12" x14ac:dyDescent="0.3">
      <c r="A259" s="1">
        <v>45211.477083333331</v>
      </c>
      <c r="B259" t="s">
        <v>31</v>
      </c>
      <c r="C259">
        <v>111</v>
      </c>
      <c r="D259" t="s">
        <v>5</v>
      </c>
      <c r="E259" t="str">
        <f>IFERROR(VLOOKUP(logos[[#This Row],[Cell_ID]],'registe maintenance'!A:B,2,FALSE)," non répertoriées")</f>
        <v>Nord-Kivu</v>
      </c>
      <c r="F259">
        <f>IFERROR(VLOOKUP(logos[[#This Row],[Cell_ID]],'registe maintenance'!A:C,3,FALSE)," non répertoriées")</f>
        <v>4.6287159999999998</v>
      </c>
      <c r="G259">
        <f>IFERROR(VLOOKUP(logos[[#This Row],[Cell_ID]],'registe maintenance'!A:D,4,FALSE)," non répertoriées")</f>
        <v>19.407077999999998</v>
      </c>
      <c r="H259" t="str">
        <f>IFERROR(VLOOKUP(logos[[#This Row],[Cell_ID]],'registe maintenance'!A:E,5,FALSE)," non répertoriées")</f>
        <v>4G</v>
      </c>
      <c r="I259" t="str">
        <f>IFERROR(VLOOKUP(logos[[#This Row],[Cell_ID]],'registe maintenance'!A:F,6,FALSE)," non répertoriées")</f>
        <v>Ericsson</v>
      </c>
      <c r="J259">
        <f>IFERROR(VLOOKUP(B259,'logos transformer '!A:B,2,FALSE),"na")</f>
        <v>2</v>
      </c>
      <c r="K259">
        <f>IFERROR(VLOOKUP(B259,'logos transformer '!A:C,3,FALSE),"na")</f>
        <v>165</v>
      </c>
      <c r="L259" s="1">
        <f>IFERROR(VLOOKUP(B259,'logos transformer '!A:D,4,FALSE),"na")</f>
        <v>45211.477083333331</v>
      </c>
    </row>
    <row r="260" spans="1:12" x14ac:dyDescent="0.3">
      <c r="A260" s="1">
        <v>45204.314583333333</v>
      </c>
      <c r="B260" t="s">
        <v>234</v>
      </c>
      <c r="C260">
        <v>120</v>
      </c>
      <c r="D260" t="s">
        <v>8</v>
      </c>
      <c r="E260" t="str">
        <f>IFERROR(VLOOKUP(logos[[#This Row],[Cell_ID]],'registe maintenance'!A:B,2,FALSE)," non répertoriées")</f>
        <v xml:space="preserve"> non répertoriées</v>
      </c>
      <c r="F260" t="str">
        <f>IFERROR(VLOOKUP(logos[[#This Row],[Cell_ID]],'registe maintenance'!A:C,3,FALSE)," non répertoriées")</f>
        <v xml:space="preserve"> non répertoriées</v>
      </c>
      <c r="G260" t="str">
        <f>IFERROR(VLOOKUP(logos[[#This Row],[Cell_ID]],'registe maintenance'!A:D,4,FALSE)," non répertoriées")</f>
        <v xml:space="preserve"> non répertoriées</v>
      </c>
      <c r="H260" t="str">
        <f>IFERROR(VLOOKUP(logos[[#This Row],[Cell_ID]],'registe maintenance'!A:E,5,FALSE)," non répertoriées")</f>
        <v xml:space="preserve"> non répertoriées</v>
      </c>
      <c r="I260" t="str">
        <f>IFERROR(VLOOKUP(logos[[#This Row],[Cell_ID]],'registe maintenance'!A:F,6,FALSE)," non répertoriées")</f>
        <v xml:space="preserve"> non répertoriées</v>
      </c>
      <c r="J260">
        <f>IFERROR(VLOOKUP(B260,'logos transformer '!A:B,2,FALSE),"na")</f>
        <v>1</v>
      </c>
      <c r="K260">
        <f>IFERROR(VLOOKUP(B260,'logos transformer '!A:C,3,FALSE),"na")</f>
        <v>120</v>
      </c>
      <c r="L260" s="1">
        <f>IFERROR(VLOOKUP(B260,'logos transformer '!A:D,4,FALSE),"na")</f>
        <v>45204.314583333333</v>
      </c>
    </row>
    <row r="261" spans="1:12" x14ac:dyDescent="0.3">
      <c r="A261" s="1">
        <v>45213.779861111107</v>
      </c>
      <c r="B261" t="s">
        <v>235</v>
      </c>
      <c r="C261">
        <v>120</v>
      </c>
      <c r="D261" t="s">
        <v>5</v>
      </c>
      <c r="E261" t="str">
        <f>IFERROR(VLOOKUP(logos[[#This Row],[Cell_ID]],'registe maintenance'!A:B,2,FALSE)," non répertoriées")</f>
        <v>Sankuru</v>
      </c>
      <c r="F261">
        <f>IFERROR(VLOOKUP(logos[[#This Row],[Cell_ID]],'registe maintenance'!A:C,3,FALSE)," non répertoriées")</f>
        <v>-7.5969509999999998</v>
      </c>
      <c r="G261">
        <f>IFERROR(VLOOKUP(logos[[#This Row],[Cell_ID]],'registe maintenance'!A:D,4,FALSE)," non répertoriées")</f>
        <v>22.153986</v>
      </c>
      <c r="H261" t="str">
        <f>IFERROR(VLOOKUP(logos[[#This Row],[Cell_ID]],'registe maintenance'!A:E,5,FALSE)," non répertoriées")</f>
        <v>3G</v>
      </c>
      <c r="I261" t="str">
        <f>IFERROR(VLOOKUP(logos[[#This Row],[Cell_ID]],'registe maintenance'!A:F,6,FALSE)," non répertoriées")</f>
        <v>Ericsson</v>
      </c>
      <c r="J261">
        <f>IFERROR(VLOOKUP(B261,'logos transformer '!A:B,2,FALSE),"na")</f>
        <v>2</v>
      </c>
      <c r="K261">
        <f>IFERROR(VLOOKUP(B261,'logos transformer '!A:C,3,FALSE),"na")</f>
        <v>151</v>
      </c>
      <c r="L261" s="1">
        <f>IFERROR(VLOOKUP(B261,'logos transformer '!A:D,4,FALSE),"na")</f>
        <v>45222.902777777781</v>
      </c>
    </row>
    <row r="262" spans="1:12" x14ac:dyDescent="0.3">
      <c r="A262" s="1">
        <v>45225.215277777781</v>
      </c>
      <c r="B262" t="s">
        <v>236</v>
      </c>
      <c r="C262">
        <v>41</v>
      </c>
      <c r="D262" t="s">
        <v>10</v>
      </c>
      <c r="E262" t="str">
        <f>IFERROR(VLOOKUP(logos[[#This Row],[Cell_ID]],'registe maintenance'!A:B,2,FALSE)," non répertoriées")</f>
        <v>Mai-Ndombe</v>
      </c>
      <c r="F262">
        <f>IFERROR(VLOOKUP(logos[[#This Row],[Cell_ID]],'registe maintenance'!A:C,3,FALSE)," non répertoriées")</f>
        <v>-4.9552579999999997</v>
      </c>
      <c r="G262">
        <f>IFERROR(VLOOKUP(logos[[#This Row],[Cell_ID]],'registe maintenance'!A:D,4,FALSE)," non répertoriées")</f>
        <v>22.008103999999999</v>
      </c>
      <c r="H262" t="str">
        <f>IFERROR(VLOOKUP(logos[[#This Row],[Cell_ID]],'registe maintenance'!A:E,5,FALSE)," non répertoriées")</f>
        <v>4G</v>
      </c>
      <c r="I262" t="str">
        <f>IFERROR(VLOOKUP(logos[[#This Row],[Cell_ID]],'registe maintenance'!A:F,6,FALSE)," non répertoriées")</f>
        <v>Huawei</v>
      </c>
      <c r="J262">
        <f>IFERROR(VLOOKUP(B262,'logos transformer '!A:B,2,FALSE),"na")</f>
        <v>1</v>
      </c>
      <c r="K262">
        <f>IFERROR(VLOOKUP(B262,'logos transformer '!A:C,3,FALSE),"na")</f>
        <v>41</v>
      </c>
      <c r="L262" s="1">
        <f>IFERROR(VLOOKUP(B262,'logos transformer '!A:D,4,FALSE),"na")</f>
        <v>45225.215277777781</v>
      </c>
    </row>
    <row r="263" spans="1:12" x14ac:dyDescent="0.3">
      <c r="A263" s="1">
        <v>45205.11041666667</v>
      </c>
      <c r="B263" t="s">
        <v>34</v>
      </c>
      <c r="C263">
        <v>104</v>
      </c>
      <c r="D263" t="s">
        <v>5</v>
      </c>
      <c r="E263" t="str">
        <f>IFERROR(VLOOKUP(logos[[#This Row],[Cell_ID]],'registe maintenance'!A:B,2,FALSE)," non répertoriées")</f>
        <v xml:space="preserve"> non répertoriées</v>
      </c>
      <c r="F263" t="str">
        <f>IFERROR(VLOOKUP(logos[[#This Row],[Cell_ID]],'registe maintenance'!A:C,3,FALSE)," non répertoriées")</f>
        <v xml:space="preserve"> non répertoriées</v>
      </c>
      <c r="G263" t="str">
        <f>IFERROR(VLOOKUP(logos[[#This Row],[Cell_ID]],'registe maintenance'!A:D,4,FALSE)," non répertoriées")</f>
        <v xml:space="preserve"> non répertoriées</v>
      </c>
      <c r="H263" t="str">
        <f>IFERROR(VLOOKUP(logos[[#This Row],[Cell_ID]],'registe maintenance'!A:E,5,FALSE)," non répertoriées")</f>
        <v xml:space="preserve"> non répertoriées</v>
      </c>
      <c r="I263" t="str">
        <f>IFERROR(VLOOKUP(logos[[#This Row],[Cell_ID]],'registe maintenance'!A:F,6,FALSE)," non répertoriées")</f>
        <v xml:space="preserve"> non répertoriées</v>
      </c>
      <c r="J263">
        <f>IFERROR(VLOOKUP(B263,'logos transformer '!A:B,2,FALSE),"na")</f>
        <v>5</v>
      </c>
      <c r="K263">
        <f>IFERROR(VLOOKUP(B263,'logos transformer '!A:C,3,FALSE),"na")</f>
        <v>390</v>
      </c>
      <c r="L263" s="1">
        <f>IFERROR(VLOOKUP(B263,'logos transformer '!A:D,4,FALSE),"na")</f>
        <v>45227.306250000001</v>
      </c>
    </row>
    <row r="264" spans="1:12" x14ac:dyDescent="0.3">
      <c r="A264" s="1">
        <v>45227.527083333327</v>
      </c>
      <c r="B264" t="s">
        <v>237</v>
      </c>
      <c r="C264">
        <v>107</v>
      </c>
      <c r="D264" t="s">
        <v>8</v>
      </c>
      <c r="E264" t="str">
        <f>IFERROR(VLOOKUP(logos[[#This Row],[Cell_ID]],'registe maintenance'!A:B,2,FALSE)," non répertoriées")</f>
        <v>Tanganyika</v>
      </c>
      <c r="F264">
        <f>IFERROR(VLOOKUP(logos[[#This Row],[Cell_ID]],'registe maintenance'!A:C,3,FALSE)," non répertoriées")</f>
        <v>-1.50664</v>
      </c>
      <c r="G264">
        <f>IFERROR(VLOOKUP(logos[[#This Row],[Cell_ID]],'registe maintenance'!A:D,4,FALSE)," non répertoriées")</f>
        <v>27.795642000000001</v>
      </c>
      <c r="H264" t="str">
        <f>IFERROR(VLOOKUP(logos[[#This Row],[Cell_ID]],'registe maintenance'!A:E,5,FALSE)," non répertoriées")</f>
        <v>5G</v>
      </c>
      <c r="I264" t="str">
        <f>IFERROR(VLOOKUP(logos[[#This Row],[Cell_ID]],'registe maintenance'!A:F,6,FALSE)," non répertoriées")</f>
        <v>ZTE</v>
      </c>
      <c r="J264">
        <f>IFERROR(VLOOKUP(B264,'logos transformer '!A:B,2,FALSE),"na")</f>
        <v>1</v>
      </c>
      <c r="K264">
        <f>IFERROR(VLOOKUP(B264,'logos transformer '!A:C,3,FALSE),"na")</f>
        <v>107</v>
      </c>
      <c r="L264" s="1">
        <f>IFERROR(VLOOKUP(B264,'logos transformer '!A:D,4,FALSE),"na")</f>
        <v>45227.527083333334</v>
      </c>
    </row>
    <row r="265" spans="1:12" x14ac:dyDescent="0.3">
      <c r="A265" s="1">
        <v>45221.313194444447</v>
      </c>
      <c r="B265" t="s">
        <v>238</v>
      </c>
      <c r="C265">
        <v>34</v>
      </c>
      <c r="D265" t="s">
        <v>8</v>
      </c>
      <c r="E265" t="str">
        <f>IFERROR(VLOOKUP(logos[[#This Row],[Cell_ID]],'registe maintenance'!A:B,2,FALSE)," non répertoriées")</f>
        <v>Kasai</v>
      </c>
      <c r="F265">
        <f>IFERROR(VLOOKUP(logos[[#This Row],[Cell_ID]],'registe maintenance'!A:C,3,FALSE)," non répertoriées")</f>
        <v>-10.165072</v>
      </c>
      <c r="G265">
        <f>IFERROR(VLOOKUP(logos[[#This Row],[Cell_ID]],'registe maintenance'!A:D,4,FALSE)," non répertoriées")</f>
        <v>29.428024000000001</v>
      </c>
      <c r="H265" t="str">
        <f>IFERROR(VLOOKUP(logos[[#This Row],[Cell_ID]],'registe maintenance'!A:E,5,FALSE)," non répertoriées")</f>
        <v>5G</v>
      </c>
      <c r="I265" t="str">
        <f>IFERROR(VLOOKUP(logos[[#This Row],[Cell_ID]],'registe maintenance'!A:F,6,FALSE)," non répertoriées")</f>
        <v>Huawei</v>
      </c>
      <c r="J265">
        <f>IFERROR(VLOOKUP(B265,'logos transformer '!A:B,2,FALSE),"na")</f>
        <v>3</v>
      </c>
      <c r="K265">
        <f>IFERROR(VLOOKUP(B265,'logos transformer '!A:C,3,FALSE),"na")</f>
        <v>160</v>
      </c>
      <c r="L265" s="1">
        <f>IFERROR(VLOOKUP(B265,'logos transformer '!A:D,4,FALSE),"na")</f>
        <v>45225.622916666667</v>
      </c>
    </row>
    <row r="266" spans="1:12" x14ac:dyDescent="0.3">
      <c r="A266" s="1">
        <v>45229.756249999999</v>
      </c>
      <c r="B266" t="s">
        <v>239</v>
      </c>
      <c r="C266">
        <v>82</v>
      </c>
      <c r="D266" t="s">
        <v>10</v>
      </c>
      <c r="E266" t="str">
        <f>IFERROR(VLOOKUP(logos[[#This Row],[Cell_ID]],'registe maintenance'!A:B,2,FALSE)," non répertoriées")</f>
        <v xml:space="preserve"> non répertoriées</v>
      </c>
      <c r="F266" t="str">
        <f>IFERROR(VLOOKUP(logos[[#This Row],[Cell_ID]],'registe maintenance'!A:C,3,FALSE)," non répertoriées")</f>
        <v xml:space="preserve"> non répertoriées</v>
      </c>
      <c r="G266" t="str">
        <f>IFERROR(VLOOKUP(logos[[#This Row],[Cell_ID]],'registe maintenance'!A:D,4,FALSE)," non répertoriées")</f>
        <v xml:space="preserve"> non répertoriées</v>
      </c>
      <c r="H266" t="str">
        <f>IFERROR(VLOOKUP(logos[[#This Row],[Cell_ID]],'registe maintenance'!A:E,5,FALSE)," non répertoriées")</f>
        <v xml:space="preserve"> non répertoriées</v>
      </c>
      <c r="I266" t="str">
        <f>IFERROR(VLOOKUP(logos[[#This Row],[Cell_ID]],'registe maintenance'!A:F,6,FALSE)," non répertoriées")</f>
        <v xml:space="preserve"> non répertoriées</v>
      </c>
      <c r="J266">
        <f>IFERROR(VLOOKUP(B266,'logos transformer '!A:B,2,FALSE),"na")</f>
        <v>1</v>
      </c>
      <c r="K266">
        <f>IFERROR(VLOOKUP(B266,'logos transformer '!A:C,3,FALSE),"na")</f>
        <v>82</v>
      </c>
      <c r="L266" s="1">
        <f>IFERROR(VLOOKUP(B266,'logos transformer '!A:D,4,FALSE),"na")</f>
        <v>45229.756249999999</v>
      </c>
    </row>
    <row r="267" spans="1:12" x14ac:dyDescent="0.3">
      <c r="A267" s="1">
        <v>45207.611111111109</v>
      </c>
      <c r="B267" t="s">
        <v>107</v>
      </c>
      <c r="C267">
        <v>107</v>
      </c>
      <c r="D267" t="s">
        <v>8</v>
      </c>
      <c r="E267" t="str">
        <f>IFERROR(VLOOKUP(logos[[#This Row],[Cell_ID]],'registe maintenance'!A:B,2,FALSE)," non répertoriées")</f>
        <v xml:space="preserve"> non répertoriées</v>
      </c>
      <c r="F267" t="str">
        <f>IFERROR(VLOOKUP(logos[[#This Row],[Cell_ID]],'registe maintenance'!A:C,3,FALSE)," non répertoriées")</f>
        <v xml:space="preserve"> non répertoriées</v>
      </c>
      <c r="G267" t="str">
        <f>IFERROR(VLOOKUP(logos[[#This Row],[Cell_ID]],'registe maintenance'!A:D,4,FALSE)," non répertoriées")</f>
        <v xml:space="preserve"> non répertoriées</v>
      </c>
      <c r="H267" t="str">
        <f>IFERROR(VLOOKUP(logos[[#This Row],[Cell_ID]],'registe maintenance'!A:E,5,FALSE)," non répertoriées")</f>
        <v xml:space="preserve"> non répertoriées</v>
      </c>
      <c r="I267" t="str">
        <f>IFERROR(VLOOKUP(logos[[#This Row],[Cell_ID]],'registe maintenance'!A:F,6,FALSE)," non répertoriées")</f>
        <v xml:space="preserve"> non répertoriées</v>
      </c>
      <c r="J267">
        <f>IFERROR(VLOOKUP(B267,'logos transformer '!A:B,2,FALSE),"na")</f>
        <v>3</v>
      </c>
      <c r="K267">
        <f>IFERROR(VLOOKUP(B267,'logos transformer '!A:C,3,FALSE),"na")</f>
        <v>303</v>
      </c>
      <c r="L267" s="1">
        <f>IFERROR(VLOOKUP(B267,'logos transformer '!A:D,4,FALSE),"na")</f>
        <v>45220.96875</v>
      </c>
    </row>
    <row r="268" spans="1:12" x14ac:dyDescent="0.3">
      <c r="A268" s="1">
        <v>45208.594444444447</v>
      </c>
      <c r="B268" t="s">
        <v>240</v>
      </c>
      <c r="C268">
        <v>50</v>
      </c>
      <c r="D268" t="s">
        <v>5</v>
      </c>
      <c r="E268" t="str">
        <f>IFERROR(VLOOKUP(logos[[#This Row],[Cell_ID]],'registe maintenance'!A:B,2,FALSE)," non répertoriées")</f>
        <v xml:space="preserve"> non répertoriées</v>
      </c>
      <c r="F268" t="str">
        <f>IFERROR(VLOOKUP(logos[[#This Row],[Cell_ID]],'registe maintenance'!A:C,3,FALSE)," non répertoriées")</f>
        <v xml:space="preserve"> non répertoriées</v>
      </c>
      <c r="G268" t="str">
        <f>IFERROR(VLOOKUP(logos[[#This Row],[Cell_ID]],'registe maintenance'!A:D,4,FALSE)," non répertoriées")</f>
        <v xml:space="preserve"> non répertoriées</v>
      </c>
      <c r="H268" t="str">
        <f>IFERROR(VLOOKUP(logos[[#This Row],[Cell_ID]],'registe maintenance'!A:E,5,FALSE)," non répertoriées")</f>
        <v xml:space="preserve"> non répertoriées</v>
      </c>
      <c r="I268" t="str">
        <f>IFERROR(VLOOKUP(logos[[#This Row],[Cell_ID]],'registe maintenance'!A:F,6,FALSE)," non répertoriées")</f>
        <v xml:space="preserve"> non répertoriées</v>
      </c>
      <c r="J268">
        <f>IFERROR(VLOOKUP(B268,'logos transformer '!A:B,2,FALSE),"na")</f>
        <v>1</v>
      </c>
      <c r="K268">
        <f>IFERROR(VLOOKUP(B268,'logos transformer '!A:C,3,FALSE),"na")</f>
        <v>50</v>
      </c>
      <c r="L268" s="1">
        <f>IFERROR(VLOOKUP(B268,'logos transformer '!A:D,4,FALSE),"na")</f>
        <v>45208.594444444447</v>
      </c>
    </row>
    <row r="269" spans="1:12" x14ac:dyDescent="0.3">
      <c r="A269" s="1">
        <v>45221.039583333331</v>
      </c>
      <c r="B269" t="s">
        <v>241</v>
      </c>
      <c r="C269">
        <v>33</v>
      </c>
      <c r="D269" t="s">
        <v>8</v>
      </c>
      <c r="E269" t="str">
        <f>IFERROR(VLOOKUP(logos[[#This Row],[Cell_ID]],'registe maintenance'!A:B,2,FALSE)," non répertoriées")</f>
        <v>Kinshasa</v>
      </c>
      <c r="F269">
        <f>IFERROR(VLOOKUP(logos[[#This Row],[Cell_ID]],'registe maintenance'!A:C,3,FALSE)," non répertoriées")</f>
        <v>0.48965500000000001</v>
      </c>
      <c r="G269">
        <f>IFERROR(VLOOKUP(logos[[#This Row],[Cell_ID]],'registe maintenance'!A:D,4,FALSE)," non répertoriées")</f>
        <v>26.176860000000001</v>
      </c>
      <c r="H269" t="str">
        <f>IFERROR(VLOOKUP(logos[[#This Row],[Cell_ID]],'registe maintenance'!A:E,5,FALSE)," non répertoriées")</f>
        <v>4G</v>
      </c>
      <c r="I269" t="str">
        <f>IFERROR(VLOOKUP(logos[[#This Row],[Cell_ID]],'registe maintenance'!A:F,6,FALSE)," non répertoriées")</f>
        <v>Huawei</v>
      </c>
      <c r="J269">
        <f>IFERROR(VLOOKUP(B269,'logos transformer '!A:B,2,FALSE),"na")</f>
        <v>1</v>
      </c>
      <c r="K269">
        <f>IFERROR(VLOOKUP(B269,'logos transformer '!A:C,3,FALSE),"na")</f>
        <v>33</v>
      </c>
      <c r="L269" s="1">
        <f>IFERROR(VLOOKUP(B269,'logos transformer '!A:D,4,FALSE),"na")</f>
        <v>45221.039583333331</v>
      </c>
    </row>
    <row r="270" spans="1:12" x14ac:dyDescent="0.3">
      <c r="A270" s="1">
        <v>45225.622916666667</v>
      </c>
      <c r="B270" t="s">
        <v>238</v>
      </c>
      <c r="C270">
        <v>86</v>
      </c>
      <c r="D270" t="s">
        <v>5</v>
      </c>
      <c r="E270" t="str">
        <f>IFERROR(VLOOKUP(logos[[#This Row],[Cell_ID]],'registe maintenance'!A:B,2,FALSE)," non répertoriées")</f>
        <v>Kasai</v>
      </c>
      <c r="F270">
        <f>IFERROR(VLOOKUP(logos[[#This Row],[Cell_ID]],'registe maintenance'!A:C,3,FALSE)," non répertoriées")</f>
        <v>-10.165072</v>
      </c>
      <c r="G270">
        <f>IFERROR(VLOOKUP(logos[[#This Row],[Cell_ID]],'registe maintenance'!A:D,4,FALSE)," non répertoriées")</f>
        <v>29.428024000000001</v>
      </c>
      <c r="H270" t="str">
        <f>IFERROR(VLOOKUP(logos[[#This Row],[Cell_ID]],'registe maintenance'!A:E,5,FALSE)," non répertoriées")</f>
        <v>5G</v>
      </c>
      <c r="I270" t="str">
        <f>IFERROR(VLOOKUP(logos[[#This Row],[Cell_ID]],'registe maintenance'!A:F,6,FALSE)," non répertoriées")</f>
        <v>Huawei</v>
      </c>
      <c r="J270">
        <f>IFERROR(VLOOKUP(B270,'logos transformer '!A:B,2,FALSE),"na")</f>
        <v>3</v>
      </c>
      <c r="K270">
        <f>IFERROR(VLOOKUP(B270,'logos transformer '!A:C,3,FALSE),"na")</f>
        <v>160</v>
      </c>
      <c r="L270" s="1">
        <f>IFERROR(VLOOKUP(B270,'logos transformer '!A:D,4,FALSE),"na")</f>
        <v>45225.622916666667</v>
      </c>
    </row>
    <row r="271" spans="1:12" x14ac:dyDescent="0.3">
      <c r="A271" s="1">
        <v>45209.898611111108</v>
      </c>
      <c r="B271" t="s">
        <v>179</v>
      </c>
      <c r="C271">
        <v>29</v>
      </c>
      <c r="D271" t="s">
        <v>8</v>
      </c>
      <c r="E271" t="str">
        <f>IFERROR(VLOOKUP(logos[[#This Row],[Cell_ID]],'registe maintenance'!A:B,2,FALSE)," non répertoriées")</f>
        <v>Lualaba</v>
      </c>
      <c r="F271">
        <f>IFERROR(VLOOKUP(logos[[#This Row],[Cell_ID]],'registe maintenance'!A:C,3,FALSE)," non répertoriées")</f>
        <v>-10.872631999999999</v>
      </c>
      <c r="G271">
        <f>IFERROR(VLOOKUP(logos[[#This Row],[Cell_ID]],'registe maintenance'!A:D,4,FALSE)," non répertoriées")</f>
        <v>12.773279</v>
      </c>
      <c r="H271" t="str">
        <f>IFERROR(VLOOKUP(logos[[#This Row],[Cell_ID]],'registe maintenance'!A:E,5,FALSE)," non répertoriées")</f>
        <v>3G</v>
      </c>
      <c r="I271" t="str">
        <f>IFERROR(VLOOKUP(logos[[#This Row],[Cell_ID]],'registe maintenance'!A:F,6,FALSE)," non répertoriées")</f>
        <v>ZTE</v>
      </c>
      <c r="J271">
        <f>IFERROR(VLOOKUP(B271,'logos transformer '!A:B,2,FALSE),"na")</f>
        <v>3</v>
      </c>
      <c r="K271">
        <f>IFERROR(VLOOKUP(B271,'logos transformer '!A:C,3,FALSE),"na")</f>
        <v>163</v>
      </c>
      <c r="L271" s="1">
        <f>IFERROR(VLOOKUP(B271,'logos transformer '!A:D,4,FALSE),"na")</f>
        <v>45209.898611111108</v>
      </c>
    </row>
    <row r="272" spans="1:12" x14ac:dyDescent="0.3">
      <c r="A272" s="1">
        <v>45205.102777777778</v>
      </c>
      <c r="B272" t="s">
        <v>242</v>
      </c>
      <c r="C272">
        <v>84</v>
      </c>
      <c r="D272" t="s">
        <v>10</v>
      </c>
      <c r="E272" t="str">
        <f>IFERROR(VLOOKUP(logos[[#This Row],[Cell_ID]],'registe maintenance'!A:B,2,FALSE)," non répertoriées")</f>
        <v xml:space="preserve"> non répertoriées</v>
      </c>
      <c r="F272" t="str">
        <f>IFERROR(VLOOKUP(logos[[#This Row],[Cell_ID]],'registe maintenance'!A:C,3,FALSE)," non répertoriées")</f>
        <v xml:space="preserve"> non répertoriées</v>
      </c>
      <c r="G272" t="str">
        <f>IFERROR(VLOOKUP(logos[[#This Row],[Cell_ID]],'registe maintenance'!A:D,4,FALSE)," non répertoriées")</f>
        <v xml:space="preserve"> non répertoriées</v>
      </c>
      <c r="H272" t="str">
        <f>IFERROR(VLOOKUP(logos[[#This Row],[Cell_ID]],'registe maintenance'!A:E,5,FALSE)," non répertoriées")</f>
        <v xml:space="preserve"> non répertoriées</v>
      </c>
      <c r="I272" t="str">
        <f>IFERROR(VLOOKUP(logos[[#This Row],[Cell_ID]],'registe maintenance'!A:F,6,FALSE)," non répertoriées")</f>
        <v xml:space="preserve"> non répertoriées</v>
      </c>
      <c r="J272">
        <f>IFERROR(VLOOKUP(B272,'logos transformer '!A:B,2,FALSE),"na")</f>
        <v>1</v>
      </c>
      <c r="K272">
        <f>IFERROR(VLOOKUP(B272,'logos transformer '!A:C,3,FALSE),"na")</f>
        <v>84</v>
      </c>
      <c r="L272" s="1">
        <f>IFERROR(VLOOKUP(B272,'logos transformer '!A:D,4,FALSE),"na")</f>
        <v>45205.102777777778</v>
      </c>
    </row>
    <row r="273" spans="1:12" x14ac:dyDescent="0.3">
      <c r="A273" s="1">
        <v>45230.484027777777</v>
      </c>
      <c r="B273" t="s">
        <v>243</v>
      </c>
      <c r="C273">
        <v>37</v>
      </c>
      <c r="D273" t="s">
        <v>8</v>
      </c>
      <c r="E273" t="str">
        <f>IFERROR(VLOOKUP(logos[[#This Row],[Cell_ID]],'registe maintenance'!A:B,2,FALSE)," non répertoriées")</f>
        <v>Kongo-Central</v>
      </c>
      <c r="F273">
        <f>IFERROR(VLOOKUP(logos[[#This Row],[Cell_ID]],'registe maintenance'!A:C,3,FALSE)," non répertoriées")</f>
        <v>-12.564277000000001</v>
      </c>
      <c r="G273">
        <f>IFERROR(VLOOKUP(logos[[#This Row],[Cell_ID]],'registe maintenance'!A:D,4,FALSE)," non répertoriées")</f>
        <v>28.480798</v>
      </c>
      <c r="H273" t="str">
        <f>IFERROR(VLOOKUP(logos[[#This Row],[Cell_ID]],'registe maintenance'!A:E,5,FALSE)," non répertoriées")</f>
        <v>5G</v>
      </c>
      <c r="I273" t="str">
        <f>IFERROR(VLOOKUP(logos[[#This Row],[Cell_ID]],'registe maintenance'!A:F,6,FALSE)," non répertoriées")</f>
        <v>ZTE</v>
      </c>
      <c r="J273">
        <f>IFERROR(VLOOKUP(B273,'logos transformer '!A:B,2,FALSE),"na")</f>
        <v>2</v>
      </c>
      <c r="K273">
        <f>IFERROR(VLOOKUP(B273,'logos transformer '!A:C,3,FALSE),"na")</f>
        <v>144</v>
      </c>
      <c r="L273" s="1">
        <f>IFERROR(VLOOKUP(B273,'logos transformer '!A:D,4,FALSE),"na")</f>
        <v>45230.484027777777</v>
      </c>
    </row>
    <row r="274" spans="1:12" x14ac:dyDescent="0.3">
      <c r="A274" s="1">
        <v>45209.852083333331</v>
      </c>
      <c r="B274" t="s">
        <v>244</v>
      </c>
      <c r="C274">
        <v>91</v>
      </c>
      <c r="D274" t="s">
        <v>10</v>
      </c>
      <c r="E274" t="str">
        <f>IFERROR(VLOOKUP(logos[[#This Row],[Cell_ID]],'registe maintenance'!A:B,2,FALSE)," non répertoriées")</f>
        <v>Kwango</v>
      </c>
      <c r="F274">
        <f>IFERROR(VLOOKUP(logos[[#This Row],[Cell_ID]],'registe maintenance'!A:C,3,FALSE)," non répertoriées")</f>
        <v>-12.431227</v>
      </c>
      <c r="G274">
        <f>IFERROR(VLOOKUP(logos[[#This Row],[Cell_ID]],'registe maintenance'!A:D,4,FALSE)," non répertoriées")</f>
        <v>18.414290999999999</v>
      </c>
      <c r="H274" t="str">
        <f>IFERROR(VLOOKUP(logos[[#This Row],[Cell_ID]],'registe maintenance'!A:E,5,FALSE)," non répertoriées")</f>
        <v>5G</v>
      </c>
      <c r="I274" t="str">
        <f>IFERROR(VLOOKUP(logos[[#This Row],[Cell_ID]],'registe maintenance'!A:F,6,FALSE)," non répertoriées")</f>
        <v>Huawei</v>
      </c>
      <c r="J274">
        <f>IFERROR(VLOOKUP(B274,'logos transformer '!A:B,2,FALSE),"na")</f>
        <v>1</v>
      </c>
      <c r="K274">
        <f>IFERROR(VLOOKUP(B274,'logos transformer '!A:C,3,FALSE),"na")</f>
        <v>91</v>
      </c>
      <c r="L274" s="1">
        <f>IFERROR(VLOOKUP(B274,'logos transformer '!A:D,4,FALSE),"na")</f>
        <v>45209.852083333331</v>
      </c>
    </row>
    <row r="275" spans="1:12" x14ac:dyDescent="0.3">
      <c r="A275" s="1">
        <v>45222.353472222218</v>
      </c>
      <c r="B275" t="s">
        <v>245</v>
      </c>
      <c r="C275">
        <v>101</v>
      </c>
      <c r="D275" t="s">
        <v>8</v>
      </c>
      <c r="E275" t="str">
        <f>IFERROR(VLOOKUP(logos[[#This Row],[Cell_ID]],'registe maintenance'!A:B,2,FALSE)," non répertoriées")</f>
        <v>Nord-Kivu</v>
      </c>
      <c r="F275">
        <f>IFERROR(VLOOKUP(logos[[#This Row],[Cell_ID]],'registe maintenance'!A:C,3,FALSE)," non répertoriées")</f>
        <v>-10.846306999999999</v>
      </c>
      <c r="G275">
        <f>IFERROR(VLOOKUP(logos[[#This Row],[Cell_ID]],'registe maintenance'!A:D,4,FALSE)," non répertoriées")</f>
        <v>19.201827999999999</v>
      </c>
      <c r="H275" t="str">
        <f>IFERROR(VLOOKUP(logos[[#This Row],[Cell_ID]],'registe maintenance'!A:E,5,FALSE)," non répertoriées")</f>
        <v>4G</v>
      </c>
      <c r="I275" t="str">
        <f>IFERROR(VLOOKUP(logos[[#This Row],[Cell_ID]],'registe maintenance'!A:F,6,FALSE)," non répertoriées")</f>
        <v>Ericsson</v>
      </c>
      <c r="J275">
        <f>IFERROR(VLOOKUP(B275,'logos transformer '!A:B,2,FALSE),"na")</f>
        <v>3</v>
      </c>
      <c r="K275">
        <f>IFERROR(VLOOKUP(B275,'logos transformer '!A:C,3,FALSE),"na")</f>
        <v>121</v>
      </c>
      <c r="L275" s="1">
        <f>IFERROR(VLOOKUP(B275,'logos transformer '!A:D,4,FALSE),"na")</f>
        <v>45223.252083333333</v>
      </c>
    </row>
    <row r="276" spans="1:12" x14ac:dyDescent="0.3">
      <c r="A276" s="1">
        <v>45207.713888888888</v>
      </c>
      <c r="B276" t="s">
        <v>246</v>
      </c>
      <c r="C276">
        <v>99</v>
      </c>
      <c r="D276" t="s">
        <v>8</v>
      </c>
      <c r="E276" t="str">
        <f>IFERROR(VLOOKUP(logos[[#This Row],[Cell_ID]],'registe maintenance'!A:B,2,FALSE)," non répertoriées")</f>
        <v xml:space="preserve"> non répertoriées</v>
      </c>
      <c r="F276" t="str">
        <f>IFERROR(VLOOKUP(logos[[#This Row],[Cell_ID]],'registe maintenance'!A:C,3,FALSE)," non répertoriées")</f>
        <v xml:space="preserve"> non répertoriées</v>
      </c>
      <c r="G276" t="str">
        <f>IFERROR(VLOOKUP(logos[[#This Row],[Cell_ID]],'registe maintenance'!A:D,4,FALSE)," non répertoriées")</f>
        <v xml:space="preserve"> non répertoriées</v>
      </c>
      <c r="H276" t="str">
        <f>IFERROR(VLOOKUP(logos[[#This Row],[Cell_ID]],'registe maintenance'!A:E,5,FALSE)," non répertoriées")</f>
        <v xml:space="preserve"> non répertoriées</v>
      </c>
      <c r="I276" t="str">
        <f>IFERROR(VLOOKUP(logos[[#This Row],[Cell_ID]],'registe maintenance'!A:F,6,FALSE)," non répertoriées")</f>
        <v xml:space="preserve"> non répertoriées</v>
      </c>
      <c r="J276">
        <f>IFERROR(VLOOKUP(B276,'logos transformer '!A:B,2,FALSE),"na")</f>
        <v>2</v>
      </c>
      <c r="K276">
        <f>IFERROR(VLOOKUP(B276,'logos transformer '!A:C,3,FALSE),"na")</f>
        <v>180</v>
      </c>
      <c r="L276" s="1">
        <f>IFERROR(VLOOKUP(B276,'logos transformer '!A:D,4,FALSE),"na")</f>
        <v>45226.574305555558</v>
      </c>
    </row>
    <row r="277" spans="1:12" x14ac:dyDescent="0.3">
      <c r="A277" s="1">
        <v>45212.599305555559</v>
      </c>
      <c r="B277" t="s">
        <v>151</v>
      </c>
      <c r="C277">
        <v>58</v>
      </c>
      <c r="D277" t="s">
        <v>8</v>
      </c>
      <c r="E277" t="str">
        <f>IFERROR(VLOOKUP(logos[[#This Row],[Cell_ID]],'registe maintenance'!A:B,2,FALSE)," non répertoriées")</f>
        <v>Haut-Uele</v>
      </c>
      <c r="F277">
        <f>IFERROR(VLOOKUP(logos[[#This Row],[Cell_ID]],'registe maintenance'!A:C,3,FALSE)," non répertoriées")</f>
        <v>-1.8045979999999999</v>
      </c>
      <c r="G277">
        <f>IFERROR(VLOOKUP(logos[[#This Row],[Cell_ID]],'registe maintenance'!A:D,4,FALSE)," non répertoriées")</f>
        <v>12.511096999999999</v>
      </c>
      <c r="H277" t="str">
        <f>IFERROR(VLOOKUP(logos[[#This Row],[Cell_ID]],'registe maintenance'!A:E,5,FALSE)," non répertoriées")</f>
        <v>3G</v>
      </c>
      <c r="I277" t="str">
        <f>IFERROR(VLOOKUP(logos[[#This Row],[Cell_ID]],'registe maintenance'!A:F,6,FALSE)," non répertoriées")</f>
        <v>Huawei</v>
      </c>
      <c r="J277">
        <f>IFERROR(VLOOKUP(B277,'logos transformer '!A:B,2,FALSE),"na")</f>
        <v>4</v>
      </c>
      <c r="K277">
        <f>IFERROR(VLOOKUP(B277,'logos transformer '!A:C,3,FALSE),"na")</f>
        <v>211</v>
      </c>
      <c r="L277" s="1">
        <f>IFERROR(VLOOKUP(B277,'logos transformer '!A:D,4,FALSE),"na")</f>
        <v>45228.57708333333</v>
      </c>
    </row>
    <row r="278" spans="1:12" x14ac:dyDescent="0.3">
      <c r="A278" s="1">
        <v>45221.988888888889</v>
      </c>
      <c r="B278" t="s">
        <v>247</v>
      </c>
      <c r="C278">
        <v>72</v>
      </c>
      <c r="D278" t="s">
        <v>8</v>
      </c>
      <c r="E278" t="str">
        <f>IFERROR(VLOOKUP(logos[[#This Row],[Cell_ID]],'registe maintenance'!A:B,2,FALSE)," non répertoriées")</f>
        <v xml:space="preserve"> non répertoriées</v>
      </c>
      <c r="F278" t="str">
        <f>IFERROR(VLOOKUP(logos[[#This Row],[Cell_ID]],'registe maintenance'!A:C,3,FALSE)," non répertoriées")</f>
        <v xml:space="preserve"> non répertoriées</v>
      </c>
      <c r="G278" t="str">
        <f>IFERROR(VLOOKUP(logos[[#This Row],[Cell_ID]],'registe maintenance'!A:D,4,FALSE)," non répertoriées")</f>
        <v xml:space="preserve"> non répertoriées</v>
      </c>
      <c r="H278" t="str">
        <f>IFERROR(VLOOKUP(logos[[#This Row],[Cell_ID]],'registe maintenance'!A:E,5,FALSE)," non répertoriées")</f>
        <v xml:space="preserve"> non répertoriées</v>
      </c>
      <c r="I278" t="str">
        <f>IFERROR(VLOOKUP(logos[[#This Row],[Cell_ID]],'registe maintenance'!A:F,6,FALSE)," non répertoriées")</f>
        <v xml:space="preserve"> non répertoriées</v>
      </c>
      <c r="J278">
        <f>IFERROR(VLOOKUP(B278,'logos transformer '!A:B,2,FALSE),"na")</f>
        <v>2</v>
      </c>
      <c r="K278">
        <f>IFERROR(VLOOKUP(B278,'logos transformer '!A:C,3,FALSE),"na")</f>
        <v>170</v>
      </c>
      <c r="L278" s="1">
        <f>IFERROR(VLOOKUP(B278,'logos transformer '!A:D,4,FALSE),"na")</f>
        <v>45221.988888888889</v>
      </c>
    </row>
    <row r="279" spans="1:12" x14ac:dyDescent="0.3">
      <c r="A279" s="1">
        <v>45230.726388888892</v>
      </c>
      <c r="B279" t="s">
        <v>225</v>
      </c>
      <c r="C279">
        <v>19</v>
      </c>
      <c r="D279" t="s">
        <v>8</v>
      </c>
      <c r="E279" t="str">
        <f>IFERROR(VLOOKUP(logos[[#This Row],[Cell_ID]],'registe maintenance'!A:B,2,FALSE)," non répertoriées")</f>
        <v xml:space="preserve"> non répertoriées</v>
      </c>
      <c r="F279" t="str">
        <f>IFERROR(VLOOKUP(logos[[#This Row],[Cell_ID]],'registe maintenance'!A:C,3,FALSE)," non répertoriées")</f>
        <v xml:space="preserve"> non répertoriées</v>
      </c>
      <c r="G279" t="str">
        <f>IFERROR(VLOOKUP(logos[[#This Row],[Cell_ID]],'registe maintenance'!A:D,4,FALSE)," non répertoriées")</f>
        <v xml:space="preserve"> non répertoriées</v>
      </c>
      <c r="H279" t="str">
        <f>IFERROR(VLOOKUP(logos[[#This Row],[Cell_ID]],'registe maintenance'!A:E,5,FALSE)," non répertoriées")</f>
        <v xml:space="preserve"> non répertoriées</v>
      </c>
      <c r="I279" t="str">
        <f>IFERROR(VLOOKUP(logos[[#This Row],[Cell_ID]],'registe maintenance'!A:F,6,FALSE)," non répertoriées")</f>
        <v xml:space="preserve"> non répertoriées</v>
      </c>
      <c r="J279">
        <f>IFERROR(VLOOKUP(B279,'logos transformer '!A:B,2,FALSE),"na")</f>
        <v>3</v>
      </c>
      <c r="K279">
        <f>IFERROR(VLOOKUP(B279,'logos transformer '!A:C,3,FALSE),"na")</f>
        <v>105</v>
      </c>
      <c r="L279" s="1">
        <f>IFERROR(VLOOKUP(B279,'logos transformer '!A:D,4,FALSE),"na")</f>
        <v>45230.726388888892</v>
      </c>
    </row>
    <row r="280" spans="1:12" x14ac:dyDescent="0.3">
      <c r="A280" s="1">
        <v>45218.990277777782</v>
      </c>
      <c r="B280" t="s">
        <v>248</v>
      </c>
      <c r="C280">
        <v>100</v>
      </c>
      <c r="D280" t="s">
        <v>5</v>
      </c>
      <c r="E280" t="str">
        <f>IFERROR(VLOOKUP(logos[[#This Row],[Cell_ID]],'registe maintenance'!A:B,2,FALSE)," non répertoriées")</f>
        <v xml:space="preserve"> non répertoriées</v>
      </c>
      <c r="F280" t="str">
        <f>IFERROR(VLOOKUP(logos[[#This Row],[Cell_ID]],'registe maintenance'!A:C,3,FALSE)," non répertoriées")</f>
        <v xml:space="preserve"> non répertoriées</v>
      </c>
      <c r="G280" t="str">
        <f>IFERROR(VLOOKUP(logos[[#This Row],[Cell_ID]],'registe maintenance'!A:D,4,FALSE)," non répertoriées")</f>
        <v xml:space="preserve"> non répertoriées</v>
      </c>
      <c r="H280" t="str">
        <f>IFERROR(VLOOKUP(logos[[#This Row],[Cell_ID]],'registe maintenance'!A:E,5,FALSE)," non répertoriées")</f>
        <v xml:space="preserve"> non répertoriées</v>
      </c>
      <c r="I280" t="str">
        <f>IFERROR(VLOOKUP(logos[[#This Row],[Cell_ID]],'registe maintenance'!A:F,6,FALSE)," non répertoriées")</f>
        <v xml:space="preserve"> non répertoriées</v>
      </c>
      <c r="J280">
        <f>IFERROR(VLOOKUP(B280,'logos transformer '!A:B,2,FALSE),"na")</f>
        <v>3</v>
      </c>
      <c r="K280">
        <f>IFERROR(VLOOKUP(B280,'logos transformer '!A:C,3,FALSE),"na")</f>
        <v>247</v>
      </c>
      <c r="L280" s="1">
        <f>IFERROR(VLOOKUP(B280,'logos transformer '!A:D,4,FALSE),"na")</f>
        <v>45218.990277777775</v>
      </c>
    </row>
    <row r="281" spans="1:12" x14ac:dyDescent="0.3">
      <c r="A281" s="1">
        <v>45204.570138888892</v>
      </c>
      <c r="B281" t="s">
        <v>249</v>
      </c>
      <c r="C281">
        <v>13</v>
      </c>
      <c r="D281" t="s">
        <v>10</v>
      </c>
      <c r="E281" t="str">
        <f>IFERROR(VLOOKUP(logos[[#This Row],[Cell_ID]],'registe maintenance'!A:B,2,FALSE)," non répertoriées")</f>
        <v xml:space="preserve"> non répertoriées</v>
      </c>
      <c r="F281" t="str">
        <f>IFERROR(VLOOKUP(logos[[#This Row],[Cell_ID]],'registe maintenance'!A:C,3,FALSE)," non répertoriées")</f>
        <v xml:space="preserve"> non répertoriées</v>
      </c>
      <c r="G281" t="str">
        <f>IFERROR(VLOOKUP(logos[[#This Row],[Cell_ID]],'registe maintenance'!A:D,4,FALSE)," non répertoriées")</f>
        <v xml:space="preserve"> non répertoriées</v>
      </c>
      <c r="H281" t="str">
        <f>IFERROR(VLOOKUP(logos[[#This Row],[Cell_ID]],'registe maintenance'!A:E,5,FALSE)," non répertoriées")</f>
        <v xml:space="preserve"> non répertoriées</v>
      </c>
      <c r="I281" t="str">
        <f>IFERROR(VLOOKUP(logos[[#This Row],[Cell_ID]],'registe maintenance'!A:F,6,FALSE)," non répertoriées")</f>
        <v xml:space="preserve"> non répertoriées</v>
      </c>
      <c r="J281">
        <f>IFERROR(VLOOKUP(B281,'logos transformer '!A:B,2,FALSE),"na")</f>
        <v>1</v>
      </c>
      <c r="K281">
        <f>IFERROR(VLOOKUP(B281,'logos transformer '!A:C,3,FALSE),"na")</f>
        <v>13</v>
      </c>
      <c r="L281" s="1">
        <f>IFERROR(VLOOKUP(B281,'logos transformer '!A:D,4,FALSE),"na")</f>
        <v>45204.570138888892</v>
      </c>
    </row>
    <row r="282" spans="1:12" x14ac:dyDescent="0.3">
      <c r="A282" s="1">
        <v>45203.652083333327</v>
      </c>
      <c r="B282" t="s">
        <v>250</v>
      </c>
      <c r="C282">
        <v>65</v>
      </c>
      <c r="D282" t="s">
        <v>10</v>
      </c>
      <c r="E282" t="str">
        <f>IFERROR(VLOOKUP(logos[[#This Row],[Cell_ID]],'registe maintenance'!A:B,2,FALSE)," non répertoriées")</f>
        <v>Haut-Katanga</v>
      </c>
      <c r="F282">
        <f>IFERROR(VLOOKUP(logos[[#This Row],[Cell_ID]],'registe maintenance'!A:C,3,FALSE)," non répertoriées")</f>
        <v>2.016505</v>
      </c>
      <c r="G282">
        <f>IFERROR(VLOOKUP(logos[[#This Row],[Cell_ID]],'registe maintenance'!A:D,4,FALSE)," non répertoriées")</f>
        <v>14.294164</v>
      </c>
      <c r="H282" t="str">
        <f>IFERROR(VLOOKUP(logos[[#This Row],[Cell_ID]],'registe maintenance'!A:E,5,FALSE)," non répertoriées")</f>
        <v>5G</v>
      </c>
      <c r="I282" t="str">
        <f>IFERROR(VLOOKUP(logos[[#This Row],[Cell_ID]],'registe maintenance'!A:F,6,FALSE)," non répertoriées")</f>
        <v>Huawei</v>
      </c>
      <c r="J282">
        <f>IFERROR(VLOOKUP(B282,'logos transformer '!A:B,2,FALSE),"na")</f>
        <v>2</v>
      </c>
      <c r="K282">
        <f>IFERROR(VLOOKUP(B282,'logos transformer '!A:C,3,FALSE),"na")</f>
        <v>138</v>
      </c>
      <c r="L282" s="1">
        <f>IFERROR(VLOOKUP(B282,'logos transformer '!A:D,4,FALSE),"na")</f>
        <v>45207.955555555556</v>
      </c>
    </row>
    <row r="283" spans="1:12" x14ac:dyDescent="0.3">
      <c r="A283" s="1">
        <v>45213.334722222222</v>
      </c>
      <c r="B283" t="s">
        <v>251</v>
      </c>
      <c r="C283">
        <v>62</v>
      </c>
      <c r="D283" t="s">
        <v>5</v>
      </c>
      <c r="E283" t="str">
        <f>IFERROR(VLOOKUP(logos[[#This Row],[Cell_ID]],'registe maintenance'!A:B,2,FALSE)," non répertoriées")</f>
        <v xml:space="preserve"> non répertoriées</v>
      </c>
      <c r="F283" t="str">
        <f>IFERROR(VLOOKUP(logos[[#This Row],[Cell_ID]],'registe maintenance'!A:C,3,FALSE)," non répertoriées")</f>
        <v xml:space="preserve"> non répertoriées</v>
      </c>
      <c r="G283" t="str">
        <f>IFERROR(VLOOKUP(logos[[#This Row],[Cell_ID]],'registe maintenance'!A:D,4,FALSE)," non répertoriées")</f>
        <v xml:space="preserve"> non répertoriées</v>
      </c>
      <c r="H283" t="str">
        <f>IFERROR(VLOOKUP(logos[[#This Row],[Cell_ID]],'registe maintenance'!A:E,5,FALSE)," non répertoriées")</f>
        <v xml:space="preserve"> non répertoriées</v>
      </c>
      <c r="I283" t="str">
        <f>IFERROR(VLOOKUP(logos[[#This Row],[Cell_ID]],'registe maintenance'!A:F,6,FALSE)," non répertoriées")</f>
        <v xml:space="preserve"> non répertoriées</v>
      </c>
      <c r="J283">
        <f>IFERROR(VLOOKUP(B283,'logos transformer '!A:B,2,FALSE),"na")</f>
        <v>2</v>
      </c>
      <c r="K283">
        <f>IFERROR(VLOOKUP(B283,'logos transformer '!A:C,3,FALSE),"na")</f>
        <v>69</v>
      </c>
      <c r="L283" s="1">
        <f>IFERROR(VLOOKUP(B283,'logos transformer '!A:D,4,FALSE),"na")</f>
        <v>45226.656944444447</v>
      </c>
    </row>
    <row r="284" spans="1:12" x14ac:dyDescent="0.3">
      <c r="A284" s="1">
        <v>45222.467361111107</v>
      </c>
      <c r="B284" t="s">
        <v>252</v>
      </c>
      <c r="C284">
        <v>104</v>
      </c>
      <c r="D284" t="s">
        <v>10</v>
      </c>
      <c r="E284" t="str">
        <f>IFERROR(VLOOKUP(logos[[#This Row],[Cell_ID]],'registe maintenance'!A:B,2,FALSE)," non répertoriées")</f>
        <v xml:space="preserve"> non répertoriées</v>
      </c>
      <c r="F284" t="str">
        <f>IFERROR(VLOOKUP(logos[[#This Row],[Cell_ID]],'registe maintenance'!A:C,3,FALSE)," non répertoriées")</f>
        <v xml:space="preserve"> non répertoriées</v>
      </c>
      <c r="G284" t="str">
        <f>IFERROR(VLOOKUP(logos[[#This Row],[Cell_ID]],'registe maintenance'!A:D,4,FALSE)," non répertoriées")</f>
        <v xml:space="preserve"> non répertoriées</v>
      </c>
      <c r="H284" t="str">
        <f>IFERROR(VLOOKUP(logos[[#This Row],[Cell_ID]],'registe maintenance'!A:E,5,FALSE)," non répertoriées")</f>
        <v xml:space="preserve"> non répertoriées</v>
      </c>
      <c r="I284" t="str">
        <f>IFERROR(VLOOKUP(logos[[#This Row],[Cell_ID]],'registe maintenance'!A:F,6,FALSE)," non répertoriées")</f>
        <v xml:space="preserve"> non répertoriées</v>
      </c>
      <c r="J284">
        <f>IFERROR(VLOOKUP(B284,'logos transformer '!A:B,2,FALSE),"na")</f>
        <v>1</v>
      </c>
      <c r="K284">
        <f>IFERROR(VLOOKUP(B284,'logos transformer '!A:C,3,FALSE),"na")</f>
        <v>104</v>
      </c>
      <c r="L284" s="1">
        <f>IFERROR(VLOOKUP(B284,'logos transformer '!A:D,4,FALSE),"na")</f>
        <v>45222.467361111114</v>
      </c>
    </row>
    <row r="285" spans="1:12" x14ac:dyDescent="0.3">
      <c r="A285" s="1">
        <v>45214.59375</v>
      </c>
      <c r="B285" t="s">
        <v>253</v>
      </c>
      <c r="C285">
        <v>51</v>
      </c>
      <c r="D285" t="s">
        <v>10</v>
      </c>
      <c r="E285" t="str">
        <f>IFERROR(VLOOKUP(logos[[#This Row],[Cell_ID]],'registe maintenance'!A:B,2,FALSE)," non répertoriées")</f>
        <v xml:space="preserve"> non répertoriées</v>
      </c>
      <c r="F285" t="str">
        <f>IFERROR(VLOOKUP(logos[[#This Row],[Cell_ID]],'registe maintenance'!A:C,3,FALSE)," non répertoriées")</f>
        <v xml:space="preserve"> non répertoriées</v>
      </c>
      <c r="G285" t="str">
        <f>IFERROR(VLOOKUP(logos[[#This Row],[Cell_ID]],'registe maintenance'!A:D,4,FALSE)," non répertoriées")</f>
        <v xml:space="preserve"> non répertoriées</v>
      </c>
      <c r="H285" t="str">
        <f>IFERROR(VLOOKUP(logos[[#This Row],[Cell_ID]],'registe maintenance'!A:E,5,FALSE)," non répertoriées")</f>
        <v xml:space="preserve"> non répertoriées</v>
      </c>
      <c r="I285" t="str">
        <f>IFERROR(VLOOKUP(logos[[#This Row],[Cell_ID]],'registe maintenance'!A:F,6,FALSE)," non répertoriées")</f>
        <v xml:space="preserve"> non répertoriées</v>
      </c>
      <c r="J285">
        <f>IFERROR(VLOOKUP(B285,'logos transformer '!A:B,2,FALSE),"na")</f>
        <v>3</v>
      </c>
      <c r="K285">
        <f>IFERROR(VLOOKUP(B285,'logos transformer '!A:C,3,FALSE),"na")</f>
        <v>120</v>
      </c>
      <c r="L285" s="1">
        <f>IFERROR(VLOOKUP(B285,'logos transformer '!A:D,4,FALSE),"na")</f>
        <v>45228.100694444445</v>
      </c>
    </row>
    <row r="286" spans="1:12" x14ac:dyDescent="0.3">
      <c r="A286" s="1">
        <v>45227.462500000001</v>
      </c>
      <c r="B286" t="s">
        <v>90</v>
      </c>
      <c r="C286">
        <v>70</v>
      </c>
      <c r="D286" t="s">
        <v>10</v>
      </c>
      <c r="E286" t="str">
        <f>IFERROR(VLOOKUP(logos[[#This Row],[Cell_ID]],'registe maintenance'!A:B,2,FALSE)," non répertoriées")</f>
        <v xml:space="preserve"> non répertoriées</v>
      </c>
      <c r="F286" t="str">
        <f>IFERROR(VLOOKUP(logos[[#This Row],[Cell_ID]],'registe maintenance'!A:C,3,FALSE)," non répertoriées")</f>
        <v xml:space="preserve"> non répertoriées</v>
      </c>
      <c r="G286" t="str">
        <f>IFERROR(VLOOKUP(logos[[#This Row],[Cell_ID]],'registe maintenance'!A:D,4,FALSE)," non répertoriées")</f>
        <v xml:space="preserve"> non répertoriées</v>
      </c>
      <c r="H286" t="str">
        <f>IFERROR(VLOOKUP(logos[[#This Row],[Cell_ID]],'registe maintenance'!A:E,5,FALSE)," non répertoriées")</f>
        <v xml:space="preserve"> non répertoriées</v>
      </c>
      <c r="I286" t="str">
        <f>IFERROR(VLOOKUP(logos[[#This Row],[Cell_ID]],'registe maintenance'!A:F,6,FALSE)," non répertoriées")</f>
        <v xml:space="preserve"> non répertoriées</v>
      </c>
      <c r="J286">
        <f>IFERROR(VLOOKUP(B286,'logos transformer '!A:B,2,FALSE),"na")</f>
        <v>2</v>
      </c>
      <c r="K286">
        <f>IFERROR(VLOOKUP(B286,'logos transformer '!A:C,3,FALSE),"na")</f>
        <v>101</v>
      </c>
      <c r="L286" s="1">
        <f>IFERROR(VLOOKUP(B286,'logos transformer '!A:D,4,FALSE),"na")</f>
        <v>45227.462500000001</v>
      </c>
    </row>
    <row r="287" spans="1:12" x14ac:dyDescent="0.3">
      <c r="A287" s="1">
        <v>45221.481944444437</v>
      </c>
      <c r="B287" t="s">
        <v>254</v>
      </c>
      <c r="C287">
        <v>80</v>
      </c>
      <c r="D287" t="s">
        <v>10</v>
      </c>
      <c r="E287" t="str">
        <f>IFERROR(VLOOKUP(logos[[#This Row],[Cell_ID]],'registe maintenance'!A:B,2,FALSE)," non répertoriées")</f>
        <v xml:space="preserve"> non répertoriées</v>
      </c>
      <c r="F287" t="str">
        <f>IFERROR(VLOOKUP(logos[[#This Row],[Cell_ID]],'registe maintenance'!A:C,3,FALSE)," non répertoriées")</f>
        <v xml:space="preserve"> non répertoriées</v>
      </c>
      <c r="G287" t="str">
        <f>IFERROR(VLOOKUP(logos[[#This Row],[Cell_ID]],'registe maintenance'!A:D,4,FALSE)," non répertoriées")</f>
        <v xml:space="preserve"> non répertoriées</v>
      </c>
      <c r="H287" t="str">
        <f>IFERROR(VLOOKUP(logos[[#This Row],[Cell_ID]],'registe maintenance'!A:E,5,FALSE)," non répertoriées")</f>
        <v xml:space="preserve"> non répertoriées</v>
      </c>
      <c r="I287" t="str">
        <f>IFERROR(VLOOKUP(logos[[#This Row],[Cell_ID]],'registe maintenance'!A:F,6,FALSE)," non répertoriées")</f>
        <v xml:space="preserve"> non répertoriées</v>
      </c>
      <c r="J287">
        <f>IFERROR(VLOOKUP(B287,'logos transformer '!A:B,2,FALSE),"na")</f>
        <v>1</v>
      </c>
      <c r="K287">
        <f>IFERROR(VLOOKUP(B287,'logos transformer '!A:C,3,FALSE),"na")</f>
        <v>80</v>
      </c>
      <c r="L287" s="1">
        <f>IFERROR(VLOOKUP(B287,'logos transformer '!A:D,4,FALSE),"na")</f>
        <v>45221.481944444444</v>
      </c>
    </row>
    <row r="288" spans="1:12" x14ac:dyDescent="0.3">
      <c r="A288" s="1">
        <v>45228.848611111112</v>
      </c>
      <c r="B288" t="s">
        <v>255</v>
      </c>
      <c r="C288">
        <v>18</v>
      </c>
      <c r="D288" t="s">
        <v>10</v>
      </c>
      <c r="E288" t="str">
        <f>IFERROR(VLOOKUP(logos[[#This Row],[Cell_ID]],'registe maintenance'!A:B,2,FALSE)," non répertoriées")</f>
        <v xml:space="preserve"> non répertoriées</v>
      </c>
      <c r="F288" t="str">
        <f>IFERROR(VLOOKUP(logos[[#This Row],[Cell_ID]],'registe maintenance'!A:C,3,FALSE)," non répertoriées")</f>
        <v xml:space="preserve"> non répertoriées</v>
      </c>
      <c r="G288" t="str">
        <f>IFERROR(VLOOKUP(logos[[#This Row],[Cell_ID]],'registe maintenance'!A:D,4,FALSE)," non répertoriées")</f>
        <v xml:space="preserve"> non répertoriées</v>
      </c>
      <c r="H288" t="str">
        <f>IFERROR(VLOOKUP(logos[[#This Row],[Cell_ID]],'registe maintenance'!A:E,5,FALSE)," non répertoriées")</f>
        <v xml:space="preserve"> non répertoriées</v>
      </c>
      <c r="I288" t="str">
        <f>IFERROR(VLOOKUP(logos[[#This Row],[Cell_ID]],'registe maintenance'!A:F,6,FALSE)," non répertoriées")</f>
        <v xml:space="preserve"> non répertoriées</v>
      </c>
      <c r="J288">
        <f>IFERROR(VLOOKUP(B288,'logos transformer '!A:B,2,FALSE),"na")</f>
        <v>2</v>
      </c>
      <c r="K288">
        <f>IFERROR(VLOOKUP(B288,'logos transformer '!A:C,3,FALSE),"na")</f>
        <v>100</v>
      </c>
      <c r="L288" s="1">
        <f>IFERROR(VLOOKUP(B288,'logos transformer '!A:D,4,FALSE),"na")</f>
        <v>45228.848611111112</v>
      </c>
    </row>
    <row r="289" spans="1:12" x14ac:dyDescent="0.3">
      <c r="A289" s="1">
        <v>45201.511805555558</v>
      </c>
      <c r="B289" t="s">
        <v>127</v>
      </c>
      <c r="C289">
        <v>62</v>
      </c>
      <c r="D289" t="s">
        <v>8</v>
      </c>
      <c r="E289" t="str">
        <f>IFERROR(VLOOKUP(logos[[#This Row],[Cell_ID]],'registe maintenance'!A:B,2,FALSE)," non répertoriées")</f>
        <v>Nord-Kivu</v>
      </c>
      <c r="F289">
        <f>IFERROR(VLOOKUP(logos[[#This Row],[Cell_ID]],'registe maintenance'!A:C,3,FALSE)," non répertoriées")</f>
        <v>-10.25074</v>
      </c>
      <c r="G289">
        <f>IFERROR(VLOOKUP(logos[[#This Row],[Cell_ID]],'registe maintenance'!A:D,4,FALSE)," non répertoriées")</f>
        <v>26.099086</v>
      </c>
      <c r="H289" t="str">
        <f>IFERROR(VLOOKUP(logos[[#This Row],[Cell_ID]],'registe maintenance'!A:E,5,FALSE)," non répertoriées")</f>
        <v>4G</v>
      </c>
      <c r="I289" t="str">
        <f>IFERROR(VLOOKUP(logos[[#This Row],[Cell_ID]],'registe maintenance'!A:F,6,FALSE)," non répertoriées")</f>
        <v>Huawei</v>
      </c>
      <c r="J289">
        <f>IFERROR(VLOOKUP(B289,'logos transformer '!A:B,2,FALSE),"na")</f>
        <v>5</v>
      </c>
      <c r="K289">
        <f>IFERROR(VLOOKUP(B289,'logos transformer '!A:C,3,FALSE),"na")</f>
        <v>237</v>
      </c>
      <c r="L289" s="1">
        <f>IFERROR(VLOOKUP(B289,'logos transformer '!A:D,4,FALSE),"na")</f>
        <v>45227.92291666667</v>
      </c>
    </row>
    <row r="290" spans="1:12" x14ac:dyDescent="0.3">
      <c r="A290" s="1">
        <v>45206.162499999999</v>
      </c>
      <c r="B290" t="s">
        <v>256</v>
      </c>
      <c r="C290">
        <v>69</v>
      </c>
      <c r="D290" t="s">
        <v>5</v>
      </c>
      <c r="E290" t="str">
        <f>IFERROR(VLOOKUP(logos[[#This Row],[Cell_ID]],'registe maintenance'!A:B,2,FALSE)," non répertoriées")</f>
        <v xml:space="preserve"> non répertoriées</v>
      </c>
      <c r="F290" t="str">
        <f>IFERROR(VLOOKUP(logos[[#This Row],[Cell_ID]],'registe maintenance'!A:C,3,FALSE)," non répertoriées")</f>
        <v xml:space="preserve"> non répertoriées</v>
      </c>
      <c r="G290" t="str">
        <f>IFERROR(VLOOKUP(logos[[#This Row],[Cell_ID]],'registe maintenance'!A:D,4,FALSE)," non répertoriées")</f>
        <v xml:space="preserve"> non répertoriées</v>
      </c>
      <c r="H290" t="str">
        <f>IFERROR(VLOOKUP(logos[[#This Row],[Cell_ID]],'registe maintenance'!A:E,5,FALSE)," non répertoriées")</f>
        <v xml:space="preserve"> non répertoriées</v>
      </c>
      <c r="I290" t="str">
        <f>IFERROR(VLOOKUP(logos[[#This Row],[Cell_ID]],'registe maintenance'!A:F,6,FALSE)," non répertoriées")</f>
        <v xml:space="preserve"> non répertoriées</v>
      </c>
      <c r="J290">
        <f>IFERROR(VLOOKUP(B290,'logos transformer '!A:B,2,FALSE),"na")</f>
        <v>1</v>
      </c>
      <c r="K290">
        <f>IFERROR(VLOOKUP(B290,'logos transformer '!A:C,3,FALSE),"na")</f>
        <v>69</v>
      </c>
      <c r="L290" s="1">
        <f>IFERROR(VLOOKUP(B290,'logos transformer '!A:D,4,FALSE),"na")</f>
        <v>45206.162499999999</v>
      </c>
    </row>
    <row r="291" spans="1:12" x14ac:dyDescent="0.3">
      <c r="A291" s="1">
        <v>45226.586805555547</v>
      </c>
      <c r="B291" t="s">
        <v>257</v>
      </c>
      <c r="C291">
        <v>33</v>
      </c>
      <c r="D291" t="s">
        <v>10</v>
      </c>
      <c r="E291" t="str">
        <f>IFERROR(VLOOKUP(logos[[#This Row],[Cell_ID]],'registe maintenance'!A:B,2,FALSE)," non répertoriées")</f>
        <v>Nord-Ubangi</v>
      </c>
      <c r="F291">
        <f>IFERROR(VLOOKUP(logos[[#This Row],[Cell_ID]],'registe maintenance'!A:C,3,FALSE)," non répertoriées")</f>
        <v>-7.7839049999999999</v>
      </c>
      <c r="G291">
        <f>IFERROR(VLOOKUP(logos[[#This Row],[Cell_ID]],'registe maintenance'!A:D,4,FALSE)," non répertoriées")</f>
        <v>14.114281999999999</v>
      </c>
      <c r="H291" t="str">
        <f>IFERROR(VLOOKUP(logos[[#This Row],[Cell_ID]],'registe maintenance'!A:E,5,FALSE)," non répertoriées")</f>
        <v>3G</v>
      </c>
      <c r="I291" t="str">
        <f>IFERROR(VLOOKUP(logos[[#This Row],[Cell_ID]],'registe maintenance'!A:F,6,FALSE)," non répertoriées")</f>
        <v>ZTE</v>
      </c>
      <c r="J291">
        <f>IFERROR(VLOOKUP(B291,'logos transformer '!A:B,2,FALSE),"na")</f>
        <v>3</v>
      </c>
      <c r="K291">
        <f>IFERROR(VLOOKUP(B291,'logos transformer '!A:C,3,FALSE),"na")</f>
        <v>156</v>
      </c>
      <c r="L291" s="1">
        <f>IFERROR(VLOOKUP(B291,'logos transformer '!A:D,4,FALSE),"na")</f>
        <v>45226.586805555555</v>
      </c>
    </row>
    <row r="292" spans="1:12" x14ac:dyDescent="0.3">
      <c r="A292" s="1">
        <v>45221.27847222222</v>
      </c>
      <c r="B292" t="s">
        <v>258</v>
      </c>
      <c r="C292">
        <v>83</v>
      </c>
      <c r="D292" t="s">
        <v>10</v>
      </c>
      <c r="E292" t="str">
        <f>IFERROR(VLOOKUP(logos[[#This Row],[Cell_ID]],'registe maintenance'!A:B,2,FALSE)," non répertoriées")</f>
        <v>Tshuapa</v>
      </c>
      <c r="F292">
        <f>IFERROR(VLOOKUP(logos[[#This Row],[Cell_ID]],'registe maintenance'!A:C,3,FALSE)," non répertoriées")</f>
        <v>-12.292039000000001</v>
      </c>
      <c r="G292">
        <f>IFERROR(VLOOKUP(logos[[#This Row],[Cell_ID]],'registe maintenance'!A:D,4,FALSE)," non répertoriées")</f>
        <v>27.538202999999999</v>
      </c>
      <c r="H292" t="str">
        <f>IFERROR(VLOOKUP(logos[[#This Row],[Cell_ID]],'registe maintenance'!A:E,5,FALSE)," non répertoriées")</f>
        <v>3G</v>
      </c>
      <c r="I292" t="str">
        <f>IFERROR(VLOOKUP(logos[[#This Row],[Cell_ID]],'registe maintenance'!A:F,6,FALSE)," non répertoriées")</f>
        <v>Huawei</v>
      </c>
      <c r="J292">
        <f>IFERROR(VLOOKUP(B292,'logos transformer '!A:B,2,FALSE),"na")</f>
        <v>1</v>
      </c>
      <c r="K292">
        <f>IFERROR(VLOOKUP(B292,'logos transformer '!A:C,3,FALSE),"na")</f>
        <v>83</v>
      </c>
      <c r="L292" s="1">
        <f>IFERROR(VLOOKUP(B292,'logos transformer '!A:D,4,FALSE),"na")</f>
        <v>45221.27847222222</v>
      </c>
    </row>
    <row r="293" spans="1:12" x14ac:dyDescent="0.3">
      <c r="A293" s="1">
        <v>45220.792361111111</v>
      </c>
      <c r="B293" t="s">
        <v>109</v>
      </c>
      <c r="C293">
        <v>10</v>
      </c>
      <c r="D293" t="s">
        <v>10</v>
      </c>
      <c r="E293" t="str">
        <f>IFERROR(VLOOKUP(logos[[#This Row],[Cell_ID]],'registe maintenance'!A:B,2,FALSE)," non répertoriées")</f>
        <v xml:space="preserve"> non répertoriées</v>
      </c>
      <c r="F293" t="str">
        <f>IFERROR(VLOOKUP(logos[[#This Row],[Cell_ID]],'registe maintenance'!A:C,3,FALSE)," non répertoriées")</f>
        <v xml:space="preserve"> non répertoriées</v>
      </c>
      <c r="G293" t="str">
        <f>IFERROR(VLOOKUP(logos[[#This Row],[Cell_ID]],'registe maintenance'!A:D,4,FALSE)," non répertoriées")</f>
        <v xml:space="preserve"> non répertoriées</v>
      </c>
      <c r="H293" t="str">
        <f>IFERROR(VLOOKUP(logos[[#This Row],[Cell_ID]],'registe maintenance'!A:E,5,FALSE)," non répertoriées")</f>
        <v xml:space="preserve"> non répertoriées</v>
      </c>
      <c r="I293" t="str">
        <f>IFERROR(VLOOKUP(logos[[#This Row],[Cell_ID]],'registe maintenance'!A:F,6,FALSE)," non répertoriées")</f>
        <v xml:space="preserve"> non répertoriées</v>
      </c>
      <c r="J293">
        <f>IFERROR(VLOOKUP(B293,'logos transformer '!A:B,2,FALSE),"na")</f>
        <v>2</v>
      </c>
      <c r="K293">
        <f>IFERROR(VLOOKUP(B293,'logos transformer '!A:C,3,FALSE),"na")</f>
        <v>129</v>
      </c>
      <c r="L293" s="1">
        <f>IFERROR(VLOOKUP(B293,'logos transformer '!A:D,4,FALSE),"na")</f>
        <v>45220.792361111111</v>
      </c>
    </row>
    <row r="294" spans="1:12" x14ac:dyDescent="0.3">
      <c r="A294" s="1">
        <v>45201.427083333343</v>
      </c>
      <c r="B294" t="s">
        <v>247</v>
      </c>
      <c r="C294">
        <v>98</v>
      </c>
      <c r="D294" t="s">
        <v>8</v>
      </c>
      <c r="E294" t="str">
        <f>IFERROR(VLOOKUP(logos[[#This Row],[Cell_ID]],'registe maintenance'!A:B,2,FALSE)," non répertoriées")</f>
        <v xml:space="preserve"> non répertoriées</v>
      </c>
      <c r="F294" t="str">
        <f>IFERROR(VLOOKUP(logos[[#This Row],[Cell_ID]],'registe maintenance'!A:C,3,FALSE)," non répertoriées")</f>
        <v xml:space="preserve"> non répertoriées</v>
      </c>
      <c r="G294" t="str">
        <f>IFERROR(VLOOKUP(logos[[#This Row],[Cell_ID]],'registe maintenance'!A:D,4,FALSE)," non répertoriées")</f>
        <v xml:space="preserve"> non répertoriées</v>
      </c>
      <c r="H294" t="str">
        <f>IFERROR(VLOOKUP(logos[[#This Row],[Cell_ID]],'registe maintenance'!A:E,5,FALSE)," non répertoriées")</f>
        <v xml:space="preserve"> non répertoriées</v>
      </c>
      <c r="I294" t="str">
        <f>IFERROR(VLOOKUP(logos[[#This Row],[Cell_ID]],'registe maintenance'!A:F,6,FALSE)," non répertoriées")</f>
        <v xml:space="preserve"> non répertoriées</v>
      </c>
      <c r="J294">
        <f>IFERROR(VLOOKUP(B294,'logos transformer '!A:B,2,FALSE),"na")</f>
        <v>2</v>
      </c>
      <c r="K294">
        <f>IFERROR(VLOOKUP(B294,'logos transformer '!A:C,3,FALSE),"na")</f>
        <v>170</v>
      </c>
      <c r="L294" s="1">
        <f>IFERROR(VLOOKUP(B294,'logos transformer '!A:D,4,FALSE),"na")</f>
        <v>45221.988888888889</v>
      </c>
    </row>
    <row r="295" spans="1:12" x14ac:dyDescent="0.3">
      <c r="A295" s="1">
        <v>45204.759027777778</v>
      </c>
      <c r="B295" t="s">
        <v>259</v>
      </c>
      <c r="C295">
        <v>105</v>
      </c>
      <c r="D295" t="s">
        <v>10</v>
      </c>
      <c r="E295" t="str">
        <f>IFERROR(VLOOKUP(logos[[#This Row],[Cell_ID]],'registe maintenance'!A:B,2,FALSE)," non répertoriées")</f>
        <v xml:space="preserve"> non répertoriées</v>
      </c>
      <c r="F295" t="str">
        <f>IFERROR(VLOOKUP(logos[[#This Row],[Cell_ID]],'registe maintenance'!A:C,3,FALSE)," non répertoriées")</f>
        <v xml:space="preserve"> non répertoriées</v>
      </c>
      <c r="G295" t="str">
        <f>IFERROR(VLOOKUP(logos[[#This Row],[Cell_ID]],'registe maintenance'!A:D,4,FALSE)," non répertoriées")</f>
        <v xml:space="preserve"> non répertoriées</v>
      </c>
      <c r="H295" t="str">
        <f>IFERROR(VLOOKUP(logos[[#This Row],[Cell_ID]],'registe maintenance'!A:E,5,FALSE)," non répertoriées")</f>
        <v xml:space="preserve"> non répertoriées</v>
      </c>
      <c r="I295" t="str">
        <f>IFERROR(VLOOKUP(logos[[#This Row],[Cell_ID]],'registe maintenance'!A:F,6,FALSE)," non répertoriées")</f>
        <v xml:space="preserve"> non répertoriées</v>
      </c>
      <c r="J295">
        <f>IFERROR(VLOOKUP(B295,'logos transformer '!A:B,2,FALSE),"na")</f>
        <v>3</v>
      </c>
      <c r="K295">
        <f>IFERROR(VLOOKUP(B295,'logos transformer '!A:C,3,FALSE),"na")</f>
        <v>233</v>
      </c>
      <c r="L295" s="1">
        <f>IFERROR(VLOOKUP(B295,'logos transformer '!A:D,4,FALSE),"na")</f>
        <v>45227.724305555559</v>
      </c>
    </row>
    <row r="296" spans="1:12" x14ac:dyDescent="0.3">
      <c r="A296" s="1">
        <v>45202.717361111107</v>
      </c>
      <c r="B296" t="s">
        <v>260</v>
      </c>
      <c r="C296">
        <v>115</v>
      </c>
      <c r="D296" t="s">
        <v>10</v>
      </c>
      <c r="E296" t="str">
        <f>IFERROR(VLOOKUP(logos[[#This Row],[Cell_ID]],'registe maintenance'!A:B,2,FALSE)," non répertoriées")</f>
        <v>Tanganyika</v>
      </c>
      <c r="F296">
        <f>IFERROR(VLOOKUP(logos[[#This Row],[Cell_ID]],'registe maintenance'!A:C,3,FALSE)," non répertoriées")</f>
        <v>-1.5936220000000001</v>
      </c>
      <c r="G296">
        <f>IFERROR(VLOOKUP(logos[[#This Row],[Cell_ID]],'registe maintenance'!A:D,4,FALSE)," non répertoriées")</f>
        <v>14.928856</v>
      </c>
      <c r="H296" t="str">
        <f>IFERROR(VLOOKUP(logos[[#This Row],[Cell_ID]],'registe maintenance'!A:E,5,FALSE)," non répertoriées")</f>
        <v>5G</v>
      </c>
      <c r="I296" t="str">
        <f>IFERROR(VLOOKUP(logos[[#This Row],[Cell_ID]],'registe maintenance'!A:F,6,FALSE)," non répertoriées")</f>
        <v>Ericsson</v>
      </c>
      <c r="J296">
        <f>IFERROR(VLOOKUP(B296,'logos transformer '!A:B,2,FALSE),"na")</f>
        <v>1</v>
      </c>
      <c r="K296">
        <f>IFERROR(VLOOKUP(B296,'logos transformer '!A:C,3,FALSE),"na")</f>
        <v>115</v>
      </c>
      <c r="L296" s="1">
        <f>IFERROR(VLOOKUP(B296,'logos transformer '!A:D,4,FALSE),"na")</f>
        <v>45202.717361111114</v>
      </c>
    </row>
    <row r="297" spans="1:12" x14ac:dyDescent="0.3">
      <c r="A297" s="1">
        <v>45218.286111111112</v>
      </c>
      <c r="B297" t="s">
        <v>261</v>
      </c>
      <c r="C297">
        <v>89</v>
      </c>
      <c r="D297" t="s">
        <v>5</v>
      </c>
      <c r="E297" t="str">
        <f>IFERROR(VLOOKUP(logos[[#This Row],[Cell_ID]],'registe maintenance'!A:B,2,FALSE)," non répertoriées")</f>
        <v>Kwango</v>
      </c>
      <c r="F297">
        <f>IFERROR(VLOOKUP(logos[[#This Row],[Cell_ID]],'registe maintenance'!A:C,3,FALSE)," non répertoriées")</f>
        <v>-7.5129409999999996</v>
      </c>
      <c r="G297">
        <f>IFERROR(VLOOKUP(logos[[#This Row],[Cell_ID]],'registe maintenance'!A:D,4,FALSE)," non répertoriées")</f>
        <v>18.701522000000001</v>
      </c>
      <c r="H297" t="str">
        <f>IFERROR(VLOOKUP(logos[[#This Row],[Cell_ID]],'registe maintenance'!A:E,5,FALSE)," non répertoriées")</f>
        <v>4G</v>
      </c>
      <c r="I297" t="str">
        <f>IFERROR(VLOOKUP(logos[[#This Row],[Cell_ID]],'registe maintenance'!A:F,6,FALSE)," non répertoriées")</f>
        <v>Nokia</v>
      </c>
      <c r="J297">
        <f>IFERROR(VLOOKUP(B297,'logos transformer '!A:B,2,FALSE),"na")</f>
        <v>2</v>
      </c>
      <c r="K297">
        <f>IFERROR(VLOOKUP(B297,'logos transformer '!A:C,3,FALSE),"na")</f>
        <v>150</v>
      </c>
      <c r="L297" s="1">
        <f>IFERROR(VLOOKUP(B297,'logos transformer '!A:D,4,FALSE),"na")</f>
        <v>45221.197916666664</v>
      </c>
    </row>
    <row r="298" spans="1:12" x14ac:dyDescent="0.3">
      <c r="A298" s="1">
        <v>45227.306250000001</v>
      </c>
      <c r="B298" t="s">
        <v>34</v>
      </c>
      <c r="C298">
        <v>71</v>
      </c>
      <c r="D298" t="s">
        <v>8</v>
      </c>
      <c r="E298" t="str">
        <f>IFERROR(VLOOKUP(logos[[#This Row],[Cell_ID]],'registe maintenance'!A:B,2,FALSE)," non répertoriées")</f>
        <v xml:space="preserve"> non répertoriées</v>
      </c>
      <c r="F298" t="str">
        <f>IFERROR(VLOOKUP(logos[[#This Row],[Cell_ID]],'registe maintenance'!A:C,3,FALSE)," non répertoriées")</f>
        <v xml:space="preserve"> non répertoriées</v>
      </c>
      <c r="G298" t="str">
        <f>IFERROR(VLOOKUP(logos[[#This Row],[Cell_ID]],'registe maintenance'!A:D,4,FALSE)," non répertoriées")</f>
        <v xml:space="preserve"> non répertoriées</v>
      </c>
      <c r="H298" t="str">
        <f>IFERROR(VLOOKUP(logos[[#This Row],[Cell_ID]],'registe maintenance'!A:E,5,FALSE)," non répertoriées")</f>
        <v xml:space="preserve"> non répertoriées</v>
      </c>
      <c r="I298" t="str">
        <f>IFERROR(VLOOKUP(logos[[#This Row],[Cell_ID]],'registe maintenance'!A:F,6,FALSE)," non répertoriées")</f>
        <v xml:space="preserve"> non répertoriées</v>
      </c>
      <c r="J298">
        <f>IFERROR(VLOOKUP(B298,'logos transformer '!A:B,2,FALSE),"na")</f>
        <v>5</v>
      </c>
      <c r="K298">
        <f>IFERROR(VLOOKUP(B298,'logos transformer '!A:C,3,FALSE),"na")</f>
        <v>390</v>
      </c>
      <c r="L298" s="1">
        <f>IFERROR(VLOOKUP(B298,'logos transformer '!A:D,4,FALSE),"na")</f>
        <v>45227.306250000001</v>
      </c>
    </row>
    <row r="299" spans="1:12" x14ac:dyDescent="0.3">
      <c r="A299" s="1">
        <v>45224.201388888891</v>
      </c>
      <c r="B299" t="s">
        <v>156</v>
      </c>
      <c r="C299">
        <v>43</v>
      </c>
      <c r="D299" t="s">
        <v>10</v>
      </c>
      <c r="E299" t="str">
        <f>IFERROR(VLOOKUP(logos[[#This Row],[Cell_ID]],'registe maintenance'!A:B,2,FALSE)," non répertoriées")</f>
        <v>Maniema</v>
      </c>
      <c r="F299">
        <f>IFERROR(VLOOKUP(logos[[#This Row],[Cell_ID]],'registe maintenance'!A:C,3,FALSE)," non répertoriées")</f>
        <v>-4.6818410000000004</v>
      </c>
      <c r="G299">
        <f>IFERROR(VLOOKUP(logos[[#This Row],[Cell_ID]],'registe maintenance'!A:D,4,FALSE)," non répertoriées")</f>
        <v>17.541618</v>
      </c>
      <c r="H299" t="str">
        <f>IFERROR(VLOOKUP(logos[[#This Row],[Cell_ID]],'registe maintenance'!A:E,5,FALSE)," non répertoriées")</f>
        <v>4G</v>
      </c>
      <c r="I299" t="str">
        <f>IFERROR(VLOOKUP(logos[[#This Row],[Cell_ID]],'registe maintenance'!A:F,6,FALSE)," non répertoriées")</f>
        <v>Ericsson</v>
      </c>
      <c r="J299">
        <f>IFERROR(VLOOKUP(B299,'logos transformer '!A:B,2,FALSE),"na")</f>
        <v>2</v>
      </c>
      <c r="K299">
        <f>IFERROR(VLOOKUP(B299,'logos transformer '!A:C,3,FALSE),"na")</f>
        <v>107</v>
      </c>
      <c r="L299" s="1">
        <f>IFERROR(VLOOKUP(B299,'logos transformer '!A:D,4,FALSE),"na")</f>
        <v>45224.201388888891</v>
      </c>
    </row>
    <row r="300" spans="1:12" x14ac:dyDescent="0.3">
      <c r="A300" s="1">
        <v>45228.791666666657</v>
      </c>
      <c r="B300" t="s">
        <v>4</v>
      </c>
      <c r="C300">
        <v>63</v>
      </c>
      <c r="D300" t="s">
        <v>5</v>
      </c>
      <c r="E300" t="str">
        <f>IFERROR(VLOOKUP(logos[[#This Row],[Cell_ID]],'registe maintenance'!A:B,2,FALSE)," non répertoriées")</f>
        <v>Tanganyika</v>
      </c>
      <c r="F300">
        <f>IFERROR(VLOOKUP(logos[[#This Row],[Cell_ID]],'registe maintenance'!A:C,3,FALSE)," non répertoriées")</f>
        <v>-11.144149000000001</v>
      </c>
      <c r="G300">
        <f>IFERROR(VLOOKUP(logos[[#This Row],[Cell_ID]],'registe maintenance'!A:D,4,FALSE)," non répertoriées")</f>
        <v>27.244658999999999</v>
      </c>
      <c r="H300" t="str">
        <f>IFERROR(VLOOKUP(logos[[#This Row],[Cell_ID]],'registe maintenance'!A:E,5,FALSE)," non répertoriées")</f>
        <v>4G</v>
      </c>
      <c r="I300" t="str">
        <f>IFERROR(VLOOKUP(logos[[#This Row],[Cell_ID]],'registe maintenance'!A:F,6,FALSE)," non répertoriées")</f>
        <v>Nokia</v>
      </c>
      <c r="J300">
        <f>IFERROR(VLOOKUP(B300,'logos transformer '!A:B,2,FALSE),"na")</f>
        <v>2</v>
      </c>
      <c r="K300">
        <f>IFERROR(VLOOKUP(B300,'logos transformer '!A:C,3,FALSE),"na")</f>
        <v>136</v>
      </c>
      <c r="L300" s="1">
        <f>IFERROR(VLOOKUP(B300,'logos transformer '!A:D,4,FALSE),"na")</f>
        <v>45228.791666666664</v>
      </c>
    </row>
    <row r="301" spans="1:12" x14ac:dyDescent="0.3">
      <c r="A301" s="1">
        <v>45208.172222222223</v>
      </c>
      <c r="B301" t="s">
        <v>55</v>
      </c>
      <c r="C301">
        <v>87</v>
      </c>
      <c r="D301" t="s">
        <v>5</v>
      </c>
      <c r="E301" t="str">
        <f>IFERROR(VLOOKUP(logos[[#This Row],[Cell_ID]],'registe maintenance'!A:B,2,FALSE)," non répertoriées")</f>
        <v xml:space="preserve"> non répertoriées</v>
      </c>
      <c r="F301" t="str">
        <f>IFERROR(VLOOKUP(logos[[#This Row],[Cell_ID]],'registe maintenance'!A:C,3,FALSE)," non répertoriées")</f>
        <v xml:space="preserve"> non répertoriées</v>
      </c>
      <c r="G301" t="str">
        <f>IFERROR(VLOOKUP(logos[[#This Row],[Cell_ID]],'registe maintenance'!A:D,4,FALSE)," non répertoriées")</f>
        <v xml:space="preserve"> non répertoriées</v>
      </c>
      <c r="H301" t="str">
        <f>IFERROR(VLOOKUP(logos[[#This Row],[Cell_ID]],'registe maintenance'!A:E,5,FALSE)," non répertoriées")</f>
        <v xml:space="preserve"> non répertoriées</v>
      </c>
      <c r="I301" t="str">
        <f>IFERROR(VLOOKUP(logos[[#This Row],[Cell_ID]],'registe maintenance'!A:F,6,FALSE)," non répertoriées")</f>
        <v xml:space="preserve"> non répertoriées</v>
      </c>
      <c r="J301">
        <f>IFERROR(VLOOKUP(B301,'logos transformer '!A:B,2,FALSE),"na")</f>
        <v>3</v>
      </c>
      <c r="K301">
        <f>IFERROR(VLOOKUP(B301,'logos transformer '!A:C,3,FALSE),"na")</f>
        <v>205</v>
      </c>
      <c r="L301" s="1">
        <f>IFERROR(VLOOKUP(B301,'logos transformer '!A:D,4,FALSE),"na")</f>
        <v>45208.172222222223</v>
      </c>
    </row>
    <row r="302" spans="1:12" x14ac:dyDescent="0.3">
      <c r="A302" s="1">
        <v>45217.368750000001</v>
      </c>
      <c r="B302" t="s">
        <v>262</v>
      </c>
      <c r="C302">
        <v>8</v>
      </c>
      <c r="D302" t="s">
        <v>5</v>
      </c>
      <c r="E302" t="str">
        <f>IFERROR(VLOOKUP(logos[[#This Row],[Cell_ID]],'registe maintenance'!A:B,2,FALSE)," non répertoriées")</f>
        <v>Nord-Kivu</v>
      </c>
      <c r="F302">
        <f>IFERROR(VLOOKUP(logos[[#This Row],[Cell_ID]],'registe maintenance'!A:C,3,FALSE)," non répertoriées")</f>
        <v>-4.1754939999999996</v>
      </c>
      <c r="G302">
        <f>IFERROR(VLOOKUP(logos[[#This Row],[Cell_ID]],'registe maintenance'!A:D,4,FALSE)," non répertoriées")</f>
        <v>16.704664999999999</v>
      </c>
      <c r="H302" t="str">
        <f>IFERROR(VLOOKUP(logos[[#This Row],[Cell_ID]],'registe maintenance'!A:E,5,FALSE)," non répertoriées")</f>
        <v>3G</v>
      </c>
      <c r="I302" t="str">
        <f>IFERROR(VLOOKUP(logos[[#This Row],[Cell_ID]],'registe maintenance'!A:F,6,FALSE)," non répertoriées")</f>
        <v>Ericsson</v>
      </c>
      <c r="J302">
        <f>IFERROR(VLOOKUP(B302,'logos transformer '!A:B,2,FALSE),"na")</f>
        <v>2</v>
      </c>
      <c r="K302">
        <f>IFERROR(VLOOKUP(B302,'logos transformer '!A:C,3,FALSE),"na")</f>
        <v>105</v>
      </c>
      <c r="L302" s="1">
        <f>IFERROR(VLOOKUP(B302,'logos transformer '!A:D,4,FALSE),"na")</f>
        <v>45219.181250000001</v>
      </c>
    </row>
    <row r="303" spans="1:12" x14ac:dyDescent="0.3">
      <c r="A303" s="1">
        <v>45205.154166666667</v>
      </c>
      <c r="B303" t="s">
        <v>91</v>
      </c>
      <c r="C303">
        <v>12</v>
      </c>
      <c r="D303" t="s">
        <v>5</v>
      </c>
      <c r="E303" t="str">
        <f>IFERROR(VLOOKUP(logos[[#This Row],[Cell_ID]],'registe maintenance'!A:B,2,FALSE)," non répertoriées")</f>
        <v>Sud-Kivu</v>
      </c>
      <c r="F303">
        <f>IFERROR(VLOOKUP(logos[[#This Row],[Cell_ID]],'registe maintenance'!A:C,3,FALSE)," non répertoriées")</f>
        <v>-5.2526849999999996</v>
      </c>
      <c r="G303">
        <f>IFERROR(VLOOKUP(logos[[#This Row],[Cell_ID]],'registe maintenance'!A:D,4,FALSE)," non répertoriées")</f>
        <v>12.374528</v>
      </c>
      <c r="H303" t="str">
        <f>IFERROR(VLOOKUP(logos[[#This Row],[Cell_ID]],'registe maintenance'!A:E,5,FALSE)," non répertoriées")</f>
        <v>3G</v>
      </c>
      <c r="I303" t="str">
        <f>IFERROR(VLOOKUP(logos[[#This Row],[Cell_ID]],'registe maintenance'!A:F,6,FALSE)," non répertoriées")</f>
        <v>Nokia</v>
      </c>
      <c r="J303">
        <f>IFERROR(VLOOKUP(B303,'logos transformer '!A:B,2,FALSE),"na")</f>
        <v>3</v>
      </c>
      <c r="K303">
        <f>IFERROR(VLOOKUP(B303,'logos transformer '!A:C,3,FALSE),"na")</f>
        <v>195</v>
      </c>
      <c r="L303" s="1">
        <f>IFERROR(VLOOKUP(B303,'logos transformer '!A:D,4,FALSE),"na")</f>
        <v>45221.84652777778</v>
      </c>
    </row>
    <row r="304" spans="1:12" x14ac:dyDescent="0.3">
      <c r="A304" s="1">
        <v>45227.005555555559</v>
      </c>
      <c r="B304" t="s">
        <v>263</v>
      </c>
      <c r="C304">
        <v>66</v>
      </c>
      <c r="D304" t="s">
        <v>10</v>
      </c>
      <c r="E304" t="str">
        <f>IFERROR(VLOOKUP(logos[[#This Row],[Cell_ID]],'registe maintenance'!A:B,2,FALSE)," non répertoriées")</f>
        <v xml:space="preserve"> non répertoriées</v>
      </c>
      <c r="F304" t="str">
        <f>IFERROR(VLOOKUP(logos[[#This Row],[Cell_ID]],'registe maintenance'!A:C,3,FALSE)," non répertoriées")</f>
        <v xml:space="preserve"> non répertoriées</v>
      </c>
      <c r="G304" t="str">
        <f>IFERROR(VLOOKUP(logos[[#This Row],[Cell_ID]],'registe maintenance'!A:D,4,FALSE)," non répertoriées")</f>
        <v xml:space="preserve"> non répertoriées</v>
      </c>
      <c r="H304" t="str">
        <f>IFERROR(VLOOKUP(logos[[#This Row],[Cell_ID]],'registe maintenance'!A:E,5,FALSE)," non répertoriées")</f>
        <v xml:space="preserve"> non répertoriées</v>
      </c>
      <c r="I304" t="str">
        <f>IFERROR(VLOOKUP(logos[[#This Row],[Cell_ID]],'registe maintenance'!A:F,6,FALSE)," non répertoriées")</f>
        <v xml:space="preserve"> non répertoriées</v>
      </c>
      <c r="J304">
        <f>IFERROR(VLOOKUP(B304,'logos transformer '!A:B,2,FALSE),"na")</f>
        <v>1</v>
      </c>
      <c r="K304">
        <f>IFERROR(VLOOKUP(B304,'logos transformer '!A:C,3,FALSE),"na")</f>
        <v>66</v>
      </c>
      <c r="L304" s="1">
        <f>IFERROR(VLOOKUP(B304,'logos transformer '!A:D,4,FALSE),"na")</f>
        <v>45227.005555555559</v>
      </c>
    </row>
    <row r="305" spans="1:12" x14ac:dyDescent="0.3">
      <c r="A305" s="1">
        <v>45200.493055555547</v>
      </c>
      <c r="B305" t="s">
        <v>264</v>
      </c>
      <c r="C305">
        <v>113</v>
      </c>
      <c r="D305" t="s">
        <v>5</v>
      </c>
      <c r="E305" t="str">
        <f>IFERROR(VLOOKUP(logos[[#This Row],[Cell_ID]],'registe maintenance'!A:B,2,FALSE)," non répertoriées")</f>
        <v>Sud-Kivu</v>
      </c>
      <c r="F305">
        <f>IFERROR(VLOOKUP(logos[[#This Row],[Cell_ID]],'registe maintenance'!A:C,3,FALSE)," non répertoriées")</f>
        <v>-1.5419050000000001</v>
      </c>
      <c r="G305">
        <f>IFERROR(VLOOKUP(logos[[#This Row],[Cell_ID]],'registe maintenance'!A:D,4,FALSE)," non répertoriées")</f>
        <v>14.730632999999999</v>
      </c>
      <c r="H305" t="str">
        <f>IFERROR(VLOOKUP(logos[[#This Row],[Cell_ID]],'registe maintenance'!A:E,5,FALSE)," non répertoriées")</f>
        <v>3G</v>
      </c>
      <c r="I305" t="str">
        <f>IFERROR(VLOOKUP(logos[[#This Row],[Cell_ID]],'registe maintenance'!A:F,6,FALSE)," non répertoriées")</f>
        <v>ZTE</v>
      </c>
      <c r="J305">
        <f>IFERROR(VLOOKUP(B305,'logos transformer '!A:B,2,FALSE),"na")</f>
        <v>2</v>
      </c>
      <c r="K305">
        <f>IFERROR(VLOOKUP(B305,'logos transformer '!A:C,3,FALSE),"na")</f>
        <v>130</v>
      </c>
      <c r="L305" s="1">
        <f>IFERROR(VLOOKUP(B305,'logos transformer '!A:D,4,FALSE),"na")</f>
        <v>45220.469444444447</v>
      </c>
    </row>
    <row r="306" spans="1:12" x14ac:dyDescent="0.3">
      <c r="A306" s="1">
        <v>45225.317361111112</v>
      </c>
      <c r="B306" t="s">
        <v>135</v>
      </c>
      <c r="C306">
        <v>56</v>
      </c>
      <c r="D306" t="s">
        <v>8</v>
      </c>
      <c r="E306" t="str">
        <f>IFERROR(VLOOKUP(logos[[#This Row],[Cell_ID]],'registe maintenance'!A:B,2,FALSE)," non répertoriées")</f>
        <v>Nord-Ubangi</v>
      </c>
      <c r="F306">
        <f>IFERROR(VLOOKUP(logos[[#This Row],[Cell_ID]],'registe maintenance'!A:C,3,FALSE)," non répertoriées")</f>
        <v>-7.9987219999999999</v>
      </c>
      <c r="G306">
        <f>IFERROR(VLOOKUP(logos[[#This Row],[Cell_ID]],'registe maintenance'!A:D,4,FALSE)," non répertoriées")</f>
        <v>12.779335</v>
      </c>
      <c r="H306" t="str">
        <f>IFERROR(VLOOKUP(logos[[#This Row],[Cell_ID]],'registe maintenance'!A:E,5,FALSE)," non répertoriées")</f>
        <v>5G</v>
      </c>
      <c r="I306" t="str">
        <f>IFERROR(VLOOKUP(logos[[#This Row],[Cell_ID]],'registe maintenance'!A:F,6,FALSE)," non répertoriées")</f>
        <v>Nokia</v>
      </c>
      <c r="J306">
        <f>IFERROR(VLOOKUP(B306,'logos transformer '!A:B,2,FALSE),"na")</f>
        <v>2</v>
      </c>
      <c r="K306">
        <f>IFERROR(VLOOKUP(B306,'logos transformer '!A:C,3,FALSE),"na")</f>
        <v>154</v>
      </c>
      <c r="L306" s="1">
        <f>IFERROR(VLOOKUP(B306,'logos transformer '!A:D,4,FALSE),"na")</f>
        <v>45226.623611111114</v>
      </c>
    </row>
    <row r="307" spans="1:12" x14ac:dyDescent="0.3">
      <c r="A307" s="1">
        <v>45210.007638888892</v>
      </c>
      <c r="B307" t="s">
        <v>265</v>
      </c>
      <c r="C307">
        <v>59</v>
      </c>
      <c r="D307" t="s">
        <v>8</v>
      </c>
      <c r="E307" t="str">
        <f>IFERROR(VLOOKUP(logos[[#This Row],[Cell_ID]],'registe maintenance'!A:B,2,FALSE)," non répertoriées")</f>
        <v xml:space="preserve"> non répertoriées</v>
      </c>
      <c r="F307" t="str">
        <f>IFERROR(VLOOKUP(logos[[#This Row],[Cell_ID]],'registe maintenance'!A:C,3,FALSE)," non répertoriées")</f>
        <v xml:space="preserve"> non répertoriées</v>
      </c>
      <c r="G307" t="str">
        <f>IFERROR(VLOOKUP(logos[[#This Row],[Cell_ID]],'registe maintenance'!A:D,4,FALSE)," non répertoriées")</f>
        <v xml:space="preserve"> non répertoriées</v>
      </c>
      <c r="H307" t="str">
        <f>IFERROR(VLOOKUP(logos[[#This Row],[Cell_ID]],'registe maintenance'!A:E,5,FALSE)," non répertoriées")</f>
        <v xml:space="preserve"> non répertoriées</v>
      </c>
      <c r="I307" t="str">
        <f>IFERROR(VLOOKUP(logos[[#This Row],[Cell_ID]],'registe maintenance'!A:F,6,FALSE)," non répertoriées")</f>
        <v xml:space="preserve"> non répertoriées</v>
      </c>
      <c r="J307">
        <f>IFERROR(VLOOKUP(B307,'logos transformer '!A:B,2,FALSE),"na")</f>
        <v>3</v>
      </c>
      <c r="K307">
        <f>IFERROR(VLOOKUP(B307,'logos transformer '!A:C,3,FALSE),"na")</f>
        <v>167</v>
      </c>
      <c r="L307" s="1">
        <f>IFERROR(VLOOKUP(B307,'logos transformer '!A:D,4,FALSE),"na")</f>
        <v>45210.007638888892</v>
      </c>
    </row>
    <row r="308" spans="1:12" x14ac:dyDescent="0.3">
      <c r="A308" s="1">
        <v>45208.047222222223</v>
      </c>
      <c r="B308" t="s">
        <v>53</v>
      </c>
      <c r="C308">
        <v>92</v>
      </c>
      <c r="D308" t="s">
        <v>10</v>
      </c>
      <c r="E308" t="str">
        <f>IFERROR(VLOOKUP(logos[[#This Row],[Cell_ID]],'registe maintenance'!A:B,2,FALSE)," non répertoriées")</f>
        <v xml:space="preserve"> non répertoriées</v>
      </c>
      <c r="F308" t="str">
        <f>IFERROR(VLOOKUP(logos[[#This Row],[Cell_ID]],'registe maintenance'!A:C,3,FALSE)," non répertoriées")</f>
        <v xml:space="preserve"> non répertoriées</v>
      </c>
      <c r="G308" t="str">
        <f>IFERROR(VLOOKUP(logos[[#This Row],[Cell_ID]],'registe maintenance'!A:D,4,FALSE)," non répertoriées")</f>
        <v xml:space="preserve"> non répertoriées</v>
      </c>
      <c r="H308" t="str">
        <f>IFERROR(VLOOKUP(logos[[#This Row],[Cell_ID]],'registe maintenance'!A:E,5,FALSE)," non répertoriées")</f>
        <v xml:space="preserve"> non répertoriées</v>
      </c>
      <c r="I308" t="str">
        <f>IFERROR(VLOOKUP(logos[[#This Row],[Cell_ID]],'registe maintenance'!A:F,6,FALSE)," non répertoriées")</f>
        <v xml:space="preserve"> non répertoriées</v>
      </c>
      <c r="J308">
        <f>IFERROR(VLOOKUP(B308,'logos transformer '!A:B,2,FALSE),"na")</f>
        <v>2</v>
      </c>
      <c r="K308">
        <f>IFERROR(VLOOKUP(B308,'logos transformer '!A:C,3,FALSE),"na")</f>
        <v>106</v>
      </c>
      <c r="L308" s="1">
        <f>IFERROR(VLOOKUP(B308,'logos transformer '!A:D,4,FALSE),"na")</f>
        <v>45225.660416666666</v>
      </c>
    </row>
    <row r="309" spans="1:12" x14ac:dyDescent="0.3">
      <c r="A309" s="1">
        <v>45221.143055555563</v>
      </c>
      <c r="B309" t="s">
        <v>207</v>
      </c>
      <c r="C309">
        <v>43</v>
      </c>
      <c r="D309" t="s">
        <v>5</v>
      </c>
      <c r="E309" t="str">
        <f>IFERROR(VLOOKUP(logos[[#This Row],[Cell_ID]],'registe maintenance'!A:B,2,FALSE)," non répertoriées")</f>
        <v xml:space="preserve"> non répertoriées</v>
      </c>
      <c r="F309" t="str">
        <f>IFERROR(VLOOKUP(logos[[#This Row],[Cell_ID]],'registe maintenance'!A:C,3,FALSE)," non répertoriées")</f>
        <v xml:space="preserve"> non répertoriées</v>
      </c>
      <c r="G309" t="str">
        <f>IFERROR(VLOOKUP(logos[[#This Row],[Cell_ID]],'registe maintenance'!A:D,4,FALSE)," non répertoriées")</f>
        <v xml:space="preserve"> non répertoriées</v>
      </c>
      <c r="H309" t="str">
        <f>IFERROR(VLOOKUP(logos[[#This Row],[Cell_ID]],'registe maintenance'!A:E,5,FALSE)," non répertoriées")</f>
        <v xml:space="preserve"> non répertoriées</v>
      </c>
      <c r="I309" t="str">
        <f>IFERROR(VLOOKUP(logos[[#This Row],[Cell_ID]],'registe maintenance'!A:F,6,FALSE)," non répertoriées")</f>
        <v xml:space="preserve"> non répertoriées</v>
      </c>
      <c r="J309">
        <f>IFERROR(VLOOKUP(B309,'logos transformer '!A:B,2,FALSE),"na")</f>
        <v>3</v>
      </c>
      <c r="K309">
        <f>IFERROR(VLOOKUP(B309,'logos transformer '!A:C,3,FALSE),"na")</f>
        <v>96</v>
      </c>
      <c r="L309" s="1">
        <f>IFERROR(VLOOKUP(B309,'logos transformer '!A:D,4,FALSE),"na")</f>
        <v>45230.911805555559</v>
      </c>
    </row>
    <row r="310" spans="1:12" x14ac:dyDescent="0.3">
      <c r="A310" s="1">
        <v>45211.908333333333</v>
      </c>
      <c r="B310" t="s">
        <v>266</v>
      </c>
      <c r="C310">
        <v>32</v>
      </c>
      <c r="D310" t="s">
        <v>8</v>
      </c>
      <c r="E310" t="str">
        <f>IFERROR(VLOOKUP(logos[[#This Row],[Cell_ID]],'registe maintenance'!A:B,2,FALSE)," non répertoriées")</f>
        <v xml:space="preserve"> non répertoriées</v>
      </c>
      <c r="F310" t="str">
        <f>IFERROR(VLOOKUP(logos[[#This Row],[Cell_ID]],'registe maintenance'!A:C,3,FALSE)," non répertoriées")</f>
        <v xml:space="preserve"> non répertoriées</v>
      </c>
      <c r="G310" t="str">
        <f>IFERROR(VLOOKUP(logos[[#This Row],[Cell_ID]],'registe maintenance'!A:D,4,FALSE)," non répertoriées")</f>
        <v xml:space="preserve"> non répertoriées</v>
      </c>
      <c r="H310" t="str">
        <f>IFERROR(VLOOKUP(logos[[#This Row],[Cell_ID]],'registe maintenance'!A:E,5,FALSE)," non répertoriées")</f>
        <v xml:space="preserve"> non répertoriées</v>
      </c>
      <c r="I310" t="str">
        <f>IFERROR(VLOOKUP(logos[[#This Row],[Cell_ID]],'registe maintenance'!A:F,6,FALSE)," non répertoriées")</f>
        <v xml:space="preserve"> non répertoriées</v>
      </c>
      <c r="J310">
        <f>IFERROR(VLOOKUP(B310,'logos transformer '!A:B,2,FALSE),"na")</f>
        <v>2</v>
      </c>
      <c r="K310">
        <f>IFERROR(VLOOKUP(B310,'logos transformer '!A:C,3,FALSE),"na")</f>
        <v>114</v>
      </c>
      <c r="L310" s="1">
        <f>IFERROR(VLOOKUP(B310,'logos transformer '!A:D,4,FALSE),"na")</f>
        <v>45212.200694444444</v>
      </c>
    </row>
    <row r="311" spans="1:12" x14ac:dyDescent="0.3">
      <c r="A311" s="1">
        <v>45213.960416666669</v>
      </c>
      <c r="B311" t="s">
        <v>267</v>
      </c>
      <c r="C311">
        <v>103</v>
      </c>
      <c r="D311" t="s">
        <v>8</v>
      </c>
      <c r="E311" t="str">
        <f>IFERROR(VLOOKUP(logos[[#This Row],[Cell_ID]],'registe maintenance'!A:B,2,FALSE)," non répertoriées")</f>
        <v xml:space="preserve"> non répertoriées</v>
      </c>
      <c r="F311" t="str">
        <f>IFERROR(VLOOKUP(logos[[#This Row],[Cell_ID]],'registe maintenance'!A:C,3,FALSE)," non répertoriées")</f>
        <v xml:space="preserve"> non répertoriées</v>
      </c>
      <c r="G311" t="str">
        <f>IFERROR(VLOOKUP(logos[[#This Row],[Cell_ID]],'registe maintenance'!A:D,4,FALSE)," non répertoriées")</f>
        <v xml:space="preserve"> non répertoriées</v>
      </c>
      <c r="H311" t="str">
        <f>IFERROR(VLOOKUP(logos[[#This Row],[Cell_ID]],'registe maintenance'!A:E,5,FALSE)," non répertoriées")</f>
        <v xml:space="preserve"> non répertoriées</v>
      </c>
      <c r="I311" t="str">
        <f>IFERROR(VLOOKUP(logos[[#This Row],[Cell_ID]],'registe maintenance'!A:F,6,FALSE)," non répertoriées")</f>
        <v xml:space="preserve"> non répertoriées</v>
      </c>
      <c r="J311">
        <f>IFERROR(VLOOKUP(B311,'logos transformer '!A:B,2,FALSE),"na")</f>
        <v>1</v>
      </c>
      <c r="K311">
        <f>IFERROR(VLOOKUP(B311,'logos transformer '!A:C,3,FALSE),"na")</f>
        <v>103</v>
      </c>
      <c r="L311" s="1">
        <f>IFERROR(VLOOKUP(B311,'logos transformer '!A:D,4,FALSE),"na")</f>
        <v>45213.960416666669</v>
      </c>
    </row>
    <row r="312" spans="1:12" x14ac:dyDescent="0.3">
      <c r="A312" s="1">
        <v>45209.462500000001</v>
      </c>
      <c r="B312" t="s">
        <v>265</v>
      </c>
      <c r="C312">
        <v>102</v>
      </c>
      <c r="D312" t="s">
        <v>10</v>
      </c>
      <c r="E312" t="str">
        <f>IFERROR(VLOOKUP(logos[[#This Row],[Cell_ID]],'registe maintenance'!A:B,2,FALSE)," non répertoriées")</f>
        <v xml:space="preserve"> non répertoriées</v>
      </c>
      <c r="F312" t="str">
        <f>IFERROR(VLOOKUP(logos[[#This Row],[Cell_ID]],'registe maintenance'!A:C,3,FALSE)," non répertoriées")</f>
        <v xml:space="preserve"> non répertoriées</v>
      </c>
      <c r="G312" t="str">
        <f>IFERROR(VLOOKUP(logos[[#This Row],[Cell_ID]],'registe maintenance'!A:D,4,FALSE)," non répertoriées")</f>
        <v xml:space="preserve"> non répertoriées</v>
      </c>
      <c r="H312" t="str">
        <f>IFERROR(VLOOKUP(logos[[#This Row],[Cell_ID]],'registe maintenance'!A:E,5,FALSE)," non répertoriées")</f>
        <v xml:space="preserve"> non répertoriées</v>
      </c>
      <c r="I312" t="str">
        <f>IFERROR(VLOOKUP(logos[[#This Row],[Cell_ID]],'registe maintenance'!A:F,6,FALSE)," non répertoriées")</f>
        <v xml:space="preserve"> non répertoriées</v>
      </c>
      <c r="J312">
        <f>IFERROR(VLOOKUP(B312,'logos transformer '!A:B,2,FALSE),"na")</f>
        <v>3</v>
      </c>
      <c r="K312">
        <f>IFERROR(VLOOKUP(B312,'logos transformer '!A:C,3,FALSE),"na")</f>
        <v>167</v>
      </c>
      <c r="L312" s="1">
        <f>IFERROR(VLOOKUP(B312,'logos transformer '!A:D,4,FALSE),"na")</f>
        <v>45210.007638888892</v>
      </c>
    </row>
    <row r="313" spans="1:12" x14ac:dyDescent="0.3">
      <c r="A313" s="1">
        <v>45218.675694444442</v>
      </c>
      <c r="B313" t="s">
        <v>158</v>
      </c>
      <c r="C313">
        <v>37</v>
      </c>
      <c r="D313" t="s">
        <v>10</v>
      </c>
      <c r="E313" t="str">
        <f>IFERROR(VLOOKUP(logos[[#This Row],[Cell_ID]],'registe maintenance'!A:B,2,FALSE)," non répertoriées")</f>
        <v>Sud-Kivu</v>
      </c>
      <c r="F313">
        <f>IFERROR(VLOOKUP(logos[[#This Row],[Cell_ID]],'registe maintenance'!A:C,3,FALSE)," non répertoriées")</f>
        <v>-2.9651529999999999</v>
      </c>
      <c r="G313">
        <f>IFERROR(VLOOKUP(logos[[#This Row],[Cell_ID]],'registe maintenance'!A:D,4,FALSE)," non répertoriées")</f>
        <v>29.79908</v>
      </c>
      <c r="H313" t="str">
        <f>IFERROR(VLOOKUP(logos[[#This Row],[Cell_ID]],'registe maintenance'!A:E,5,FALSE)," non répertoriées")</f>
        <v>4G</v>
      </c>
      <c r="I313" t="str">
        <f>IFERROR(VLOOKUP(logos[[#This Row],[Cell_ID]],'registe maintenance'!A:F,6,FALSE)," non répertoriées")</f>
        <v>Ericsson</v>
      </c>
      <c r="J313">
        <f>IFERROR(VLOOKUP(B313,'logos transformer '!A:B,2,FALSE),"na")</f>
        <v>2</v>
      </c>
      <c r="K313">
        <f>IFERROR(VLOOKUP(B313,'logos transformer '!A:C,3,FALSE),"na")</f>
        <v>120</v>
      </c>
      <c r="L313" s="1">
        <f>IFERROR(VLOOKUP(B313,'logos transformer '!A:D,4,FALSE),"na")</f>
        <v>45221.517361111109</v>
      </c>
    </row>
    <row r="314" spans="1:12" x14ac:dyDescent="0.3">
      <c r="A314" s="1">
        <v>45204.895833333343</v>
      </c>
      <c r="B314" t="s">
        <v>268</v>
      </c>
      <c r="C314">
        <v>42</v>
      </c>
      <c r="D314" t="s">
        <v>8</v>
      </c>
      <c r="E314" t="str">
        <f>IFERROR(VLOOKUP(logos[[#This Row],[Cell_ID]],'registe maintenance'!A:B,2,FALSE)," non répertoriées")</f>
        <v xml:space="preserve"> non répertoriées</v>
      </c>
      <c r="F314" t="str">
        <f>IFERROR(VLOOKUP(logos[[#This Row],[Cell_ID]],'registe maintenance'!A:C,3,FALSE)," non répertoriées")</f>
        <v xml:space="preserve"> non répertoriées</v>
      </c>
      <c r="G314" t="str">
        <f>IFERROR(VLOOKUP(logos[[#This Row],[Cell_ID]],'registe maintenance'!A:D,4,FALSE)," non répertoriées")</f>
        <v xml:space="preserve"> non répertoriées</v>
      </c>
      <c r="H314" t="str">
        <f>IFERROR(VLOOKUP(logos[[#This Row],[Cell_ID]],'registe maintenance'!A:E,5,FALSE)," non répertoriées")</f>
        <v xml:space="preserve"> non répertoriées</v>
      </c>
      <c r="I314" t="str">
        <f>IFERROR(VLOOKUP(logos[[#This Row],[Cell_ID]],'registe maintenance'!A:F,6,FALSE)," non répertoriées")</f>
        <v xml:space="preserve"> non répertoriées</v>
      </c>
      <c r="J314">
        <f>IFERROR(VLOOKUP(B314,'logos transformer '!A:B,2,FALSE),"na")</f>
        <v>1</v>
      </c>
      <c r="K314">
        <f>IFERROR(VLOOKUP(B314,'logos transformer '!A:C,3,FALSE),"na")</f>
        <v>42</v>
      </c>
      <c r="L314" s="1">
        <f>IFERROR(VLOOKUP(B314,'logos transformer '!A:D,4,FALSE),"na")</f>
        <v>45204.895833333336</v>
      </c>
    </row>
    <row r="315" spans="1:12" x14ac:dyDescent="0.3">
      <c r="A315" s="1">
        <v>45207.140277777777</v>
      </c>
      <c r="B315" t="s">
        <v>269</v>
      </c>
      <c r="C315">
        <v>46</v>
      </c>
      <c r="D315" t="s">
        <v>8</v>
      </c>
      <c r="E315" t="str">
        <f>IFERROR(VLOOKUP(logos[[#This Row],[Cell_ID]],'registe maintenance'!A:B,2,FALSE)," non répertoriées")</f>
        <v>Kongo-Central</v>
      </c>
      <c r="F315">
        <f>IFERROR(VLOOKUP(logos[[#This Row],[Cell_ID]],'registe maintenance'!A:C,3,FALSE)," non répertoriées")</f>
        <v>-12.112399999999999</v>
      </c>
      <c r="G315">
        <f>IFERROR(VLOOKUP(logos[[#This Row],[Cell_ID]],'registe maintenance'!A:D,4,FALSE)," non répertoriées")</f>
        <v>15.872226</v>
      </c>
      <c r="H315" t="str">
        <f>IFERROR(VLOOKUP(logos[[#This Row],[Cell_ID]],'registe maintenance'!A:E,5,FALSE)," non répertoriées")</f>
        <v>4G</v>
      </c>
      <c r="I315" t="str">
        <f>IFERROR(VLOOKUP(logos[[#This Row],[Cell_ID]],'registe maintenance'!A:F,6,FALSE)," non répertoriées")</f>
        <v>Nokia</v>
      </c>
      <c r="J315">
        <f>IFERROR(VLOOKUP(B315,'logos transformer '!A:B,2,FALSE),"na")</f>
        <v>4</v>
      </c>
      <c r="K315">
        <f>IFERROR(VLOOKUP(B315,'logos transformer '!A:C,3,FALSE),"na")</f>
        <v>237</v>
      </c>
      <c r="L315" s="1">
        <f>IFERROR(VLOOKUP(B315,'logos transformer '!A:D,4,FALSE),"na")</f>
        <v>45220.847916666666</v>
      </c>
    </row>
    <row r="316" spans="1:12" x14ac:dyDescent="0.3">
      <c r="A316" s="1">
        <v>45227.724305555559</v>
      </c>
      <c r="B316" t="s">
        <v>259</v>
      </c>
      <c r="C316">
        <v>20</v>
      </c>
      <c r="D316" t="s">
        <v>5</v>
      </c>
      <c r="E316" t="str">
        <f>IFERROR(VLOOKUP(logos[[#This Row],[Cell_ID]],'registe maintenance'!A:B,2,FALSE)," non répertoriées")</f>
        <v xml:space="preserve"> non répertoriées</v>
      </c>
      <c r="F316" t="str">
        <f>IFERROR(VLOOKUP(logos[[#This Row],[Cell_ID]],'registe maintenance'!A:C,3,FALSE)," non répertoriées")</f>
        <v xml:space="preserve"> non répertoriées</v>
      </c>
      <c r="G316" t="str">
        <f>IFERROR(VLOOKUP(logos[[#This Row],[Cell_ID]],'registe maintenance'!A:D,4,FALSE)," non répertoriées")</f>
        <v xml:space="preserve"> non répertoriées</v>
      </c>
      <c r="H316" t="str">
        <f>IFERROR(VLOOKUP(logos[[#This Row],[Cell_ID]],'registe maintenance'!A:E,5,FALSE)," non répertoriées")</f>
        <v xml:space="preserve"> non répertoriées</v>
      </c>
      <c r="I316" t="str">
        <f>IFERROR(VLOOKUP(logos[[#This Row],[Cell_ID]],'registe maintenance'!A:F,6,FALSE)," non répertoriées")</f>
        <v xml:space="preserve"> non répertoriées</v>
      </c>
      <c r="J316">
        <f>IFERROR(VLOOKUP(B316,'logos transformer '!A:B,2,FALSE),"na")</f>
        <v>3</v>
      </c>
      <c r="K316">
        <f>IFERROR(VLOOKUP(B316,'logos transformer '!A:C,3,FALSE),"na")</f>
        <v>233</v>
      </c>
      <c r="L316" s="1">
        <f>IFERROR(VLOOKUP(B316,'logos transformer '!A:D,4,FALSE),"na")</f>
        <v>45227.724305555559</v>
      </c>
    </row>
    <row r="317" spans="1:12" x14ac:dyDescent="0.3">
      <c r="A317" s="1">
        <v>45203.35833333333</v>
      </c>
      <c r="B317" t="s">
        <v>270</v>
      </c>
      <c r="C317">
        <v>5</v>
      </c>
      <c r="D317" t="s">
        <v>5</v>
      </c>
      <c r="E317" t="str">
        <f>IFERROR(VLOOKUP(logos[[#This Row],[Cell_ID]],'registe maintenance'!A:B,2,FALSE)," non répertoriées")</f>
        <v xml:space="preserve"> non répertoriées</v>
      </c>
      <c r="F317" t="str">
        <f>IFERROR(VLOOKUP(logos[[#This Row],[Cell_ID]],'registe maintenance'!A:C,3,FALSE)," non répertoriées")</f>
        <v xml:space="preserve"> non répertoriées</v>
      </c>
      <c r="G317" t="str">
        <f>IFERROR(VLOOKUP(logos[[#This Row],[Cell_ID]],'registe maintenance'!A:D,4,FALSE)," non répertoriées")</f>
        <v xml:space="preserve"> non répertoriées</v>
      </c>
      <c r="H317" t="str">
        <f>IFERROR(VLOOKUP(logos[[#This Row],[Cell_ID]],'registe maintenance'!A:E,5,FALSE)," non répertoriées")</f>
        <v xml:space="preserve"> non répertoriées</v>
      </c>
      <c r="I317" t="str">
        <f>IFERROR(VLOOKUP(logos[[#This Row],[Cell_ID]],'registe maintenance'!A:F,6,FALSE)," non répertoriées")</f>
        <v xml:space="preserve"> non répertoriées</v>
      </c>
      <c r="J317">
        <f>IFERROR(VLOOKUP(B317,'logos transformer '!A:B,2,FALSE),"na")</f>
        <v>1</v>
      </c>
      <c r="K317">
        <f>IFERROR(VLOOKUP(B317,'logos transformer '!A:C,3,FALSE),"na")</f>
        <v>5</v>
      </c>
      <c r="L317" s="1">
        <f>IFERROR(VLOOKUP(B317,'logos transformer '!A:D,4,FALSE),"na")</f>
        <v>45203.35833333333</v>
      </c>
    </row>
    <row r="318" spans="1:12" x14ac:dyDescent="0.3">
      <c r="A318" s="1">
        <v>45207.57916666667</v>
      </c>
      <c r="B318" t="s">
        <v>271</v>
      </c>
      <c r="C318">
        <v>68</v>
      </c>
      <c r="D318" t="s">
        <v>5</v>
      </c>
      <c r="E318" t="str">
        <f>IFERROR(VLOOKUP(logos[[#This Row],[Cell_ID]],'registe maintenance'!A:B,2,FALSE)," non répertoriées")</f>
        <v>Ituri</v>
      </c>
      <c r="F318">
        <f>IFERROR(VLOOKUP(logos[[#This Row],[Cell_ID]],'registe maintenance'!A:C,3,FALSE)," non répertoriées")</f>
        <v>-3.7720639999999999</v>
      </c>
      <c r="G318">
        <f>IFERROR(VLOOKUP(logos[[#This Row],[Cell_ID]],'registe maintenance'!A:D,4,FALSE)," non répertoriées")</f>
        <v>16.006277999999998</v>
      </c>
      <c r="H318" t="str">
        <f>IFERROR(VLOOKUP(logos[[#This Row],[Cell_ID]],'registe maintenance'!A:E,5,FALSE)," non répertoriées")</f>
        <v>5G</v>
      </c>
      <c r="I318" t="str">
        <f>IFERROR(VLOOKUP(logos[[#This Row],[Cell_ID]],'registe maintenance'!A:F,6,FALSE)," non répertoriées")</f>
        <v>ZTE</v>
      </c>
      <c r="J318">
        <f>IFERROR(VLOOKUP(B318,'logos transformer '!A:B,2,FALSE),"na")</f>
        <v>3</v>
      </c>
      <c r="K318">
        <f>IFERROR(VLOOKUP(B318,'logos transformer '!A:C,3,FALSE),"na")</f>
        <v>176</v>
      </c>
      <c r="L318" s="1">
        <f>IFERROR(VLOOKUP(B318,'logos transformer '!A:D,4,FALSE),"na")</f>
        <v>45227.915277777778</v>
      </c>
    </row>
    <row r="319" spans="1:12" x14ac:dyDescent="0.3">
      <c r="A319" s="1">
        <v>45217.818749999999</v>
      </c>
      <c r="B319" t="s">
        <v>140</v>
      </c>
      <c r="C319">
        <v>100</v>
      </c>
      <c r="D319" t="s">
        <v>5</v>
      </c>
      <c r="E319" t="str">
        <f>IFERROR(VLOOKUP(logos[[#This Row],[Cell_ID]],'registe maintenance'!A:B,2,FALSE)," non répertoriées")</f>
        <v xml:space="preserve"> non répertoriées</v>
      </c>
      <c r="F319" t="str">
        <f>IFERROR(VLOOKUP(logos[[#This Row],[Cell_ID]],'registe maintenance'!A:C,3,FALSE)," non répertoriées")</f>
        <v xml:space="preserve"> non répertoriées</v>
      </c>
      <c r="G319" t="str">
        <f>IFERROR(VLOOKUP(logos[[#This Row],[Cell_ID]],'registe maintenance'!A:D,4,FALSE)," non répertoriées")</f>
        <v xml:space="preserve"> non répertoriées</v>
      </c>
      <c r="H319" t="str">
        <f>IFERROR(VLOOKUP(logos[[#This Row],[Cell_ID]],'registe maintenance'!A:E,5,FALSE)," non répertoriées")</f>
        <v xml:space="preserve"> non répertoriées</v>
      </c>
      <c r="I319" t="str">
        <f>IFERROR(VLOOKUP(logos[[#This Row],[Cell_ID]],'registe maintenance'!A:F,6,FALSE)," non répertoriées")</f>
        <v xml:space="preserve"> non répertoriées</v>
      </c>
      <c r="J319">
        <f>IFERROR(VLOOKUP(B319,'logos transformer '!A:B,2,FALSE),"na")</f>
        <v>4</v>
      </c>
      <c r="K319">
        <f>IFERROR(VLOOKUP(B319,'logos transformer '!A:C,3,FALSE),"na")</f>
        <v>347</v>
      </c>
      <c r="L319" s="1">
        <f>IFERROR(VLOOKUP(B319,'logos transformer '!A:D,4,FALSE),"na")</f>
        <v>45217.818749999999</v>
      </c>
    </row>
    <row r="320" spans="1:12" x14ac:dyDescent="0.3">
      <c r="A320" s="1">
        <v>45221.857638888891</v>
      </c>
      <c r="B320" t="s">
        <v>272</v>
      </c>
      <c r="C320">
        <v>60</v>
      </c>
      <c r="D320" t="s">
        <v>10</v>
      </c>
      <c r="E320" t="str">
        <f>IFERROR(VLOOKUP(logos[[#This Row],[Cell_ID]],'registe maintenance'!A:B,2,FALSE)," non répertoriées")</f>
        <v xml:space="preserve"> non répertoriées</v>
      </c>
      <c r="F320" t="str">
        <f>IFERROR(VLOOKUP(logos[[#This Row],[Cell_ID]],'registe maintenance'!A:C,3,FALSE)," non répertoriées")</f>
        <v xml:space="preserve"> non répertoriées</v>
      </c>
      <c r="G320" t="str">
        <f>IFERROR(VLOOKUP(logos[[#This Row],[Cell_ID]],'registe maintenance'!A:D,4,FALSE)," non répertoriées")</f>
        <v xml:space="preserve"> non répertoriées</v>
      </c>
      <c r="H320" t="str">
        <f>IFERROR(VLOOKUP(logos[[#This Row],[Cell_ID]],'registe maintenance'!A:E,5,FALSE)," non répertoriées")</f>
        <v xml:space="preserve"> non répertoriées</v>
      </c>
      <c r="I320" t="str">
        <f>IFERROR(VLOOKUP(logos[[#This Row],[Cell_ID]],'registe maintenance'!A:F,6,FALSE)," non répertoriées")</f>
        <v xml:space="preserve"> non répertoriées</v>
      </c>
      <c r="J320">
        <f>IFERROR(VLOOKUP(B320,'logos transformer '!A:B,2,FALSE),"na")</f>
        <v>2</v>
      </c>
      <c r="K320">
        <f>IFERROR(VLOOKUP(B320,'logos transformer '!A:C,3,FALSE),"na")</f>
        <v>71</v>
      </c>
      <c r="L320" s="1">
        <f>IFERROR(VLOOKUP(B320,'logos transformer '!A:D,4,FALSE),"na")</f>
        <v>45221.857638888891</v>
      </c>
    </row>
    <row r="321" spans="1:12" x14ac:dyDescent="0.3">
      <c r="A321" s="1">
        <v>45200.832638888889</v>
      </c>
      <c r="B321" t="s">
        <v>273</v>
      </c>
      <c r="C321">
        <v>27</v>
      </c>
      <c r="D321" t="s">
        <v>5</v>
      </c>
      <c r="E321" t="str">
        <f>IFERROR(VLOOKUP(logos[[#This Row],[Cell_ID]],'registe maintenance'!A:B,2,FALSE)," non répertoriées")</f>
        <v>Sud-Kivu</v>
      </c>
      <c r="F321">
        <f>IFERROR(VLOOKUP(logos[[#This Row],[Cell_ID]],'registe maintenance'!A:C,3,FALSE)," non répertoriées")</f>
        <v>1.2419519999999999</v>
      </c>
      <c r="G321">
        <f>IFERROR(VLOOKUP(logos[[#This Row],[Cell_ID]],'registe maintenance'!A:D,4,FALSE)," non répertoriées")</f>
        <v>25.261382999999999</v>
      </c>
      <c r="H321" t="str">
        <f>IFERROR(VLOOKUP(logos[[#This Row],[Cell_ID]],'registe maintenance'!A:E,5,FALSE)," non répertoriées")</f>
        <v>4G</v>
      </c>
      <c r="I321" t="str">
        <f>IFERROR(VLOOKUP(logos[[#This Row],[Cell_ID]],'registe maintenance'!A:F,6,FALSE)," non répertoriées")</f>
        <v>Huawei</v>
      </c>
      <c r="J321">
        <f>IFERROR(VLOOKUP(B321,'logos transformer '!A:B,2,FALSE),"na")</f>
        <v>2</v>
      </c>
      <c r="K321">
        <f>IFERROR(VLOOKUP(B321,'logos transformer '!A:C,3,FALSE),"na")</f>
        <v>85</v>
      </c>
      <c r="L321" s="1">
        <f>IFERROR(VLOOKUP(B321,'logos transformer '!A:D,4,FALSE),"na")</f>
        <v>45218.127083333333</v>
      </c>
    </row>
    <row r="322" spans="1:12" x14ac:dyDescent="0.3">
      <c r="A322" s="1">
        <v>45221.928472222222</v>
      </c>
      <c r="B322" t="s">
        <v>45</v>
      </c>
      <c r="C322">
        <v>21</v>
      </c>
      <c r="D322" t="s">
        <v>5</v>
      </c>
      <c r="E322" t="str">
        <f>IFERROR(VLOOKUP(logos[[#This Row],[Cell_ID]],'registe maintenance'!A:B,2,FALSE)," non répertoriées")</f>
        <v>Sud-Kivu</v>
      </c>
      <c r="F322">
        <f>IFERROR(VLOOKUP(logos[[#This Row],[Cell_ID]],'registe maintenance'!A:C,3,FALSE)," non répertoriées")</f>
        <v>4.2493650000000001</v>
      </c>
      <c r="G322">
        <f>IFERROR(VLOOKUP(logos[[#This Row],[Cell_ID]],'registe maintenance'!A:D,4,FALSE)," non répertoriées")</f>
        <v>28.355039999999999</v>
      </c>
      <c r="H322" t="str">
        <f>IFERROR(VLOOKUP(logos[[#This Row],[Cell_ID]],'registe maintenance'!A:E,5,FALSE)," non répertoriées")</f>
        <v>3G</v>
      </c>
      <c r="I322" t="str">
        <f>IFERROR(VLOOKUP(logos[[#This Row],[Cell_ID]],'registe maintenance'!A:F,6,FALSE)," non répertoriées")</f>
        <v>ZTE</v>
      </c>
      <c r="J322">
        <f>IFERROR(VLOOKUP(B322,'logos transformer '!A:B,2,FALSE),"na")</f>
        <v>3</v>
      </c>
      <c r="K322">
        <f>IFERROR(VLOOKUP(B322,'logos transformer '!A:C,3,FALSE),"na")</f>
        <v>215</v>
      </c>
      <c r="L322" s="1">
        <f>IFERROR(VLOOKUP(B322,'logos transformer '!A:D,4,FALSE),"na")</f>
        <v>45226.07708333333</v>
      </c>
    </row>
    <row r="323" spans="1:12" x14ac:dyDescent="0.3">
      <c r="A323" s="1">
        <v>45200.220138888893</v>
      </c>
      <c r="B323" t="s">
        <v>274</v>
      </c>
      <c r="C323">
        <v>53</v>
      </c>
      <c r="D323" t="s">
        <v>8</v>
      </c>
      <c r="E323" t="str">
        <f>IFERROR(VLOOKUP(logos[[#This Row],[Cell_ID]],'registe maintenance'!A:B,2,FALSE)," non répertoriées")</f>
        <v xml:space="preserve"> non répertoriées</v>
      </c>
      <c r="F323" t="str">
        <f>IFERROR(VLOOKUP(logos[[#This Row],[Cell_ID]],'registe maintenance'!A:C,3,FALSE)," non répertoriées")</f>
        <v xml:space="preserve"> non répertoriées</v>
      </c>
      <c r="G323" t="str">
        <f>IFERROR(VLOOKUP(logos[[#This Row],[Cell_ID]],'registe maintenance'!A:D,4,FALSE)," non répertoriées")</f>
        <v xml:space="preserve"> non répertoriées</v>
      </c>
      <c r="H323" t="str">
        <f>IFERROR(VLOOKUP(logos[[#This Row],[Cell_ID]],'registe maintenance'!A:E,5,FALSE)," non répertoriées")</f>
        <v xml:space="preserve"> non répertoriées</v>
      </c>
      <c r="I323" t="str">
        <f>IFERROR(VLOOKUP(logos[[#This Row],[Cell_ID]],'registe maintenance'!A:F,6,FALSE)," non répertoriées")</f>
        <v xml:space="preserve"> non répertoriées</v>
      </c>
      <c r="J323">
        <f>IFERROR(VLOOKUP(B323,'logos transformer '!A:B,2,FALSE),"na")</f>
        <v>2</v>
      </c>
      <c r="K323">
        <f>IFERROR(VLOOKUP(B323,'logos transformer '!A:C,3,FALSE),"na")</f>
        <v>120</v>
      </c>
      <c r="L323" s="1">
        <f>IFERROR(VLOOKUP(B323,'logos transformer '!A:D,4,FALSE),"na")</f>
        <v>45227.393055555556</v>
      </c>
    </row>
    <row r="324" spans="1:12" x14ac:dyDescent="0.3">
      <c r="A324" s="1">
        <v>45222.415277777778</v>
      </c>
      <c r="B324" t="s">
        <v>275</v>
      </c>
      <c r="C324">
        <v>73</v>
      </c>
      <c r="D324" t="s">
        <v>5</v>
      </c>
      <c r="E324" t="str">
        <f>IFERROR(VLOOKUP(logos[[#This Row],[Cell_ID]],'registe maintenance'!A:B,2,FALSE)," non répertoriées")</f>
        <v>Nord-Ubangi</v>
      </c>
      <c r="F324">
        <f>IFERROR(VLOOKUP(logos[[#This Row],[Cell_ID]],'registe maintenance'!A:C,3,FALSE)," non répertoriées")</f>
        <v>-4.8128659999999996</v>
      </c>
      <c r="G324">
        <f>IFERROR(VLOOKUP(logos[[#This Row],[Cell_ID]],'registe maintenance'!A:D,4,FALSE)," non répertoriées")</f>
        <v>18.559304999999998</v>
      </c>
      <c r="H324" t="str">
        <f>IFERROR(VLOOKUP(logos[[#This Row],[Cell_ID]],'registe maintenance'!A:E,5,FALSE)," non répertoriées")</f>
        <v>5G</v>
      </c>
      <c r="I324" t="str">
        <f>IFERROR(VLOOKUP(logos[[#This Row],[Cell_ID]],'registe maintenance'!A:F,6,FALSE)," non répertoriées")</f>
        <v>ZTE</v>
      </c>
      <c r="J324">
        <f>IFERROR(VLOOKUP(B324,'logos transformer '!A:B,2,FALSE),"na")</f>
        <v>1</v>
      </c>
      <c r="K324">
        <f>IFERROR(VLOOKUP(B324,'logos transformer '!A:C,3,FALSE),"na")</f>
        <v>73</v>
      </c>
      <c r="L324" s="1">
        <f>IFERROR(VLOOKUP(B324,'logos transformer '!A:D,4,FALSE),"na")</f>
        <v>45222.415277777778</v>
      </c>
    </row>
    <row r="325" spans="1:12" x14ac:dyDescent="0.3">
      <c r="A325" s="1">
        <v>45210.458333333343</v>
      </c>
      <c r="B325" t="s">
        <v>189</v>
      </c>
      <c r="C325">
        <v>95</v>
      </c>
      <c r="D325" t="s">
        <v>8</v>
      </c>
      <c r="E325" t="str">
        <f>IFERROR(VLOOKUP(logos[[#This Row],[Cell_ID]],'registe maintenance'!A:B,2,FALSE)," non répertoriées")</f>
        <v>Haut-Lomami</v>
      </c>
      <c r="F325">
        <f>IFERROR(VLOOKUP(logos[[#This Row],[Cell_ID]],'registe maintenance'!A:C,3,FALSE)," non répertoriées")</f>
        <v>-12.112682</v>
      </c>
      <c r="G325">
        <f>IFERROR(VLOOKUP(logos[[#This Row],[Cell_ID]],'registe maintenance'!A:D,4,FALSE)," non répertoriées")</f>
        <v>19.972052000000001</v>
      </c>
      <c r="H325" t="str">
        <f>IFERROR(VLOOKUP(logos[[#This Row],[Cell_ID]],'registe maintenance'!A:E,5,FALSE)," non répertoriées")</f>
        <v>4G</v>
      </c>
      <c r="I325" t="str">
        <f>IFERROR(VLOOKUP(logos[[#This Row],[Cell_ID]],'registe maintenance'!A:F,6,FALSE)," non répertoriées")</f>
        <v>Huawei</v>
      </c>
      <c r="J325">
        <f>IFERROR(VLOOKUP(B325,'logos transformer '!A:B,2,FALSE),"na")</f>
        <v>2</v>
      </c>
      <c r="K325">
        <f>IFERROR(VLOOKUP(B325,'logos transformer '!A:C,3,FALSE),"na")</f>
        <v>181</v>
      </c>
      <c r="L325" s="1">
        <f>IFERROR(VLOOKUP(B325,'logos transformer '!A:D,4,FALSE),"na")</f>
        <v>45210.458333333336</v>
      </c>
    </row>
    <row r="326" spans="1:12" x14ac:dyDescent="0.3">
      <c r="A326" s="1">
        <v>45205.191666666673</v>
      </c>
      <c r="B326" t="s">
        <v>276</v>
      </c>
      <c r="C326">
        <v>34</v>
      </c>
      <c r="D326" t="s">
        <v>5</v>
      </c>
      <c r="E326" t="str">
        <f>IFERROR(VLOOKUP(logos[[#This Row],[Cell_ID]],'registe maintenance'!A:B,2,FALSE)," non répertoriées")</f>
        <v>Sankuru</v>
      </c>
      <c r="F326">
        <f>IFERROR(VLOOKUP(logos[[#This Row],[Cell_ID]],'registe maintenance'!A:C,3,FALSE)," non répertoriées")</f>
        <v>-4.7886769999999999</v>
      </c>
      <c r="G326">
        <f>IFERROR(VLOOKUP(logos[[#This Row],[Cell_ID]],'registe maintenance'!A:D,4,FALSE)," non répertoriées")</f>
        <v>23.600221999999999</v>
      </c>
      <c r="H326" t="str">
        <f>IFERROR(VLOOKUP(logos[[#This Row],[Cell_ID]],'registe maintenance'!A:E,5,FALSE)," non répertoriées")</f>
        <v>3G</v>
      </c>
      <c r="I326" t="str">
        <f>IFERROR(VLOOKUP(logos[[#This Row],[Cell_ID]],'registe maintenance'!A:F,6,FALSE)," non répertoriées")</f>
        <v>ZTE</v>
      </c>
      <c r="J326">
        <f>IFERROR(VLOOKUP(B326,'logos transformer '!A:B,2,FALSE),"na")</f>
        <v>1</v>
      </c>
      <c r="K326">
        <f>IFERROR(VLOOKUP(B326,'logos transformer '!A:C,3,FALSE),"na")</f>
        <v>34</v>
      </c>
      <c r="L326" s="1">
        <f>IFERROR(VLOOKUP(B326,'logos transformer '!A:D,4,FALSE),"na")</f>
        <v>45205.191666666666</v>
      </c>
    </row>
    <row r="327" spans="1:12" x14ac:dyDescent="0.3">
      <c r="A327" s="1">
        <v>45221.50277777778</v>
      </c>
      <c r="B327" t="s">
        <v>277</v>
      </c>
      <c r="C327">
        <v>69</v>
      </c>
      <c r="D327" t="s">
        <v>5</v>
      </c>
      <c r="E327" t="str">
        <f>IFERROR(VLOOKUP(logos[[#This Row],[Cell_ID]],'registe maintenance'!A:B,2,FALSE)," non répertoriées")</f>
        <v xml:space="preserve"> non répertoriées</v>
      </c>
      <c r="F327" t="str">
        <f>IFERROR(VLOOKUP(logos[[#This Row],[Cell_ID]],'registe maintenance'!A:C,3,FALSE)," non répertoriées")</f>
        <v xml:space="preserve"> non répertoriées</v>
      </c>
      <c r="G327" t="str">
        <f>IFERROR(VLOOKUP(logos[[#This Row],[Cell_ID]],'registe maintenance'!A:D,4,FALSE)," non répertoriées")</f>
        <v xml:space="preserve"> non répertoriées</v>
      </c>
      <c r="H327" t="str">
        <f>IFERROR(VLOOKUP(logos[[#This Row],[Cell_ID]],'registe maintenance'!A:E,5,FALSE)," non répertoriées")</f>
        <v xml:space="preserve"> non répertoriées</v>
      </c>
      <c r="I327" t="str">
        <f>IFERROR(VLOOKUP(logos[[#This Row],[Cell_ID]],'registe maintenance'!A:F,6,FALSE)," non répertoriées")</f>
        <v xml:space="preserve"> non répertoriées</v>
      </c>
      <c r="J327">
        <f>IFERROR(VLOOKUP(B327,'logos transformer '!A:B,2,FALSE),"na")</f>
        <v>1</v>
      </c>
      <c r="K327">
        <f>IFERROR(VLOOKUP(B327,'logos transformer '!A:C,3,FALSE),"na")</f>
        <v>69</v>
      </c>
      <c r="L327" s="1">
        <f>IFERROR(VLOOKUP(B327,'logos transformer '!A:D,4,FALSE),"na")</f>
        <v>45221.50277777778</v>
      </c>
    </row>
    <row r="328" spans="1:12" x14ac:dyDescent="0.3">
      <c r="A328" s="1">
        <v>45204.986111111109</v>
      </c>
      <c r="B328" t="s">
        <v>278</v>
      </c>
      <c r="C328">
        <v>76</v>
      </c>
      <c r="D328" t="s">
        <v>8</v>
      </c>
      <c r="E328" t="str">
        <f>IFERROR(VLOOKUP(logos[[#This Row],[Cell_ID]],'registe maintenance'!A:B,2,FALSE)," non répertoriées")</f>
        <v>Haut-Uele</v>
      </c>
      <c r="F328">
        <f>IFERROR(VLOOKUP(logos[[#This Row],[Cell_ID]],'registe maintenance'!A:C,3,FALSE)," non répertoriées")</f>
        <v>-4.869434</v>
      </c>
      <c r="G328">
        <f>IFERROR(VLOOKUP(logos[[#This Row],[Cell_ID]],'registe maintenance'!A:D,4,FALSE)," non répertoriées")</f>
        <v>22.326522000000001</v>
      </c>
      <c r="H328" t="str">
        <f>IFERROR(VLOOKUP(logos[[#This Row],[Cell_ID]],'registe maintenance'!A:E,5,FALSE)," non répertoriées")</f>
        <v>5G</v>
      </c>
      <c r="I328" t="str">
        <f>IFERROR(VLOOKUP(logos[[#This Row],[Cell_ID]],'registe maintenance'!A:F,6,FALSE)," non répertoriées")</f>
        <v>Ericsson</v>
      </c>
      <c r="J328">
        <f>IFERROR(VLOOKUP(B328,'logos transformer '!A:B,2,FALSE),"na")</f>
        <v>2</v>
      </c>
      <c r="K328">
        <f>IFERROR(VLOOKUP(B328,'logos transformer '!A:C,3,FALSE),"na")</f>
        <v>92</v>
      </c>
      <c r="L328" s="1">
        <f>IFERROR(VLOOKUP(B328,'logos transformer '!A:D,4,FALSE),"na")</f>
        <v>45210.689583333333</v>
      </c>
    </row>
    <row r="329" spans="1:12" x14ac:dyDescent="0.3">
      <c r="A329" s="1">
        <v>45200.115972222222</v>
      </c>
      <c r="B329" t="s">
        <v>20</v>
      </c>
      <c r="C329">
        <v>111</v>
      </c>
      <c r="D329" t="s">
        <v>10</v>
      </c>
      <c r="E329" t="str">
        <f>IFERROR(VLOOKUP(logos[[#This Row],[Cell_ID]],'registe maintenance'!A:B,2,FALSE)," non répertoriées")</f>
        <v xml:space="preserve"> non répertoriées</v>
      </c>
      <c r="F329" t="str">
        <f>IFERROR(VLOOKUP(logos[[#This Row],[Cell_ID]],'registe maintenance'!A:C,3,FALSE)," non répertoriées")</f>
        <v xml:space="preserve"> non répertoriées</v>
      </c>
      <c r="G329" t="str">
        <f>IFERROR(VLOOKUP(logos[[#This Row],[Cell_ID]],'registe maintenance'!A:D,4,FALSE)," non répertoriées")</f>
        <v xml:space="preserve"> non répertoriées</v>
      </c>
      <c r="H329" t="str">
        <f>IFERROR(VLOOKUP(logos[[#This Row],[Cell_ID]],'registe maintenance'!A:E,5,FALSE)," non répertoriées")</f>
        <v xml:space="preserve"> non répertoriées</v>
      </c>
      <c r="I329" t="str">
        <f>IFERROR(VLOOKUP(logos[[#This Row],[Cell_ID]],'registe maintenance'!A:F,6,FALSE)," non répertoriées")</f>
        <v xml:space="preserve"> non répertoriées</v>
      </c>
      <c r="J329">
        <f>IFERROR(VLOOKUP(B329,'logos transformer '!A:B,2,FALSE),"na")</f>
        <v>3</v>
      </c>
      <c r="K329">
        <f>IFERROR(VLOOKUP(B329,'logos transformer '!A:C,3,FALSE),"na")</f>
        <v>143</v>
      </c>
      <c r="L329" s="1">
        <f>IFERROR(VLOOKUP(B329,'logos transformer '!A:D,4,FALSE),"na")</f>
        <v>45225.238888888889</v>
      </c>
    </row>
    <row r="330" spans="1:12" x14ac:dyDescent="0.3">
      <c r="A330" s="1">
        <v>45216.26666666667</v>
      </c>
      <c r="B330" t="s">
        <v>160</v>
      </c>
      <c r="C330">
        <v>90</v>
      </c>
      <c r="D330" t="s">
        <v>10</v>
      </c>
      <c r="E330" t="str">
        <f>IFERROR(VLOOKUP(logos[[#This Row],[Cell_ID]],'registe maintenance'!A:B,2,FALSE)," non répertoriées")</f>
        <v>Maniema</v>
      </c>
      <c r="F330">
        <f>IFERROR(VLOOKUP(logos[[#This Row],[Cell_ID]],'registe maintenance'!A:C,3,FALSE)," non répertoriées")</f>
        <v>-2.3743210000000001</v>
      </c>
      <c r="G330">
        <f>IFERROR(VLOOKUP(logos[[#This Row],[Cell_ID]],'registe maintenance'!A:D,4,FALSE)," non répertoriées")</f>
        <v>22.399491000000001</v>
      </c>
      <c r="H330" t="str">
        <f>IFERROR(VLOOKUP(logos[[#This Row],[Cell_ID]],'registe maintenance'!A:E,5,FALSE)," non répertoriées")</f>
        <v>5G</v>
      </c>
      <c r="I330" t="str">
        <f>IFERROR(VLOOKUP(logos[[#This Row],[Cell_ID]],'registe maintenance'!A:F,6,FALSE)," non répertoriées")</f>
        <v>Ericsson</v>
      </c>
      <c r="J330">
        <f>IFERROR(VLOOKUP(B330,'logos transformer '!A:B,2,FALSE),"na")</f>
        <v>3</v>
      </c>
      <c r="K330">
        <f>IFERROR(VLOOKUP(B330,'logos transformer '!A:C,3,FALSE),"na")</f>
        <v>227</v>
      </c>
      <c r="L330" s="1">
        <f>IFERROR(VLOOKUP(B330,'logos transformer '!A:D,4,FALSE),"na")</f>
        <v>45217.775694444441</v>
      </c>
    </row>
    <row r="331" spans="1:12" x14ac:dyDescent="0.3">
      <c r="A331" s="1">
        <v>45213.597916666673</v>
      </c>
      <c r="B331" t="s">
        <v>279</v>
      </c>
      <c r="C331">
        <v>108</v>
      </c>
      <c r="D331" t="s">
        <v>8</v>
      </c>
      <c r="E331" t="str">
        <f>IFERROR(VLOOKUP(logos[[#This Row],[Cell_ID]],'registe maintenance'!A:B,2,FALSE)," non répertoriées")</f>
        <v xml:space="preserve"> non répertoriées</v>
      </c>
      <c r="F331" t="str">
        <f>IFERROR(VLOOKUP(logos[[#This Row],[Cell_ID]],'registe maintenance'!A:C,3,FALSE)," non répertoriées")</f>
        <v xml:space="preserve"> non répertoriées</v>
      </c>
      <c r="G331" t="str">
        <f>IFERROR(VLOOKUP(logos[[#This Row],[Cell_ID]],'registe maintenance'!A:D,4,FALSE)," non répertoriées")</f>
        <v xml:space="preserve"> non répertoriées</v>
      </c>
      <c r="H331" t="str">
        <f>IFERROR(VLOOKUP(logos[[#This Row],[Cell_ID]],'registe maintenance'!A:E,5,FALSE)," non répertoriées")</f>
        <v xml:space="preserve"> non répertoriées</v>
      </c>
      <c r="I331" t="str">
        <f>IFERROR(VLOOKUP(logos[[#This Row],[Cell_ID]],'registe maintenance'!A:F,6,FALSE)," non répertoriées")</f>
        <v xml:space="preserve"> non répertoriées</v>
      </c>
      <c r="J331">
        <f>IFERROR(VLOOKUP(B331,'logos transformer '!A:B,2,FALSE),"na")</f>
        <v>1</v>
      </c>
      <c r="K331">
        <f>IFERROR(VLOOKUP(B331,'logos transformer '!A:C,3,FALSE),"na")</f>
        <v>108</v>
      </c>
      <c r="L331" s="1">
        <f>IFERROR(VLOOKUP(B331,'logos transformer '!A:D,4,FALSE),"na")</f>
        <v>45213.597916666666</v>
      </c>
    </row>
    <row r="332" spans="1:12" x14ac:dyDescent="0.3">
      <c r="A332" s="1">
        <v>45205.47152777778</v>
      </c>
      <c r="B332" t="s">
        <v>280</v>
      </c>
      <c r="C332">
        <v>50</v>
      </c>
      <c r="D332" t="s">
        <v>8</v>
      </c>
      <c r="E332" t="str">
        <f>IFERROR(VLOOKUP(logos[[#This Row],[Cell_ID]],'registe maintenance'!A:B,2,FALSE)," non répertoriées")</f>
        <v>Haut-Lomami</v>
      </c>
      <c r="F332">
        <f>IFERROR(VLOOKUP(logos[[#This Row],[Cell_ID]],'registe maintenance'!A:C,3,FALSE)," non répertoriées")</f>
        <v>2.628638</v>
      </c>
      <c r="G332">
        <f>IFERROR(VLOOKUP(logos[[#This Row],[Cell_ID]],'registe maintenance'!A:D,4,FALSE)," non répertoriées")</f>
        <v>28.420582</v>
      </c>
      <c r="H332" t="str">
        <f>IFERROR(VLOOKUP(logos[[#This Row],[Cell_ID]],'registe maintenance'!A:E,5,FALSE)," non répertoriées")</f>
        <v>4G</v>
      </c>
      <c r="I332" t="str">
        <f>IFERROR(VLOOKUP(logos[[#This Row],[Cell_ID]],'registe maintenance'!A:F,6,FALSE)," non répertoriées")</f>
        <v>Huawei</v>
      </c>
      <c r="J332">
        <f>IFERROR(VLOOKUP(B332,'logos transformer '!A:B,2,FALSE),"na")</f>
        <v>2</v>
      </c>
      <c r="K332">
        <f>IFERROR(VLOOKUP(B332,'logos transformer '!A:C,3,FALSE),"na")</f>
        <v>136</v>
      </c>
      <c r="L332" s="1">
        <f>IFERROR(VLOOKUP(B332,'logos transformer '!A:D,4,FALSE),"na")</f>
        <v>45205.47152777778</v>
      </c>
    </row>
    <row r="333" spans="1:12" x14ac:dyDescent="0.3">
      <c r="A333" s="1">
        <v>45223.450694444437</v>
      </c>
      <c r="B333" t="s">
        <v>281</v>
      </c>
      <c r="C333">
        <v>14</v>
      </c>
      <c r="D333" t="s">
        <v>10</v>
      </c>
      <c r="E333" t="str">
        <f>IFERROR(VLOOKUP(logos[[#This Row],[Cell_ID]],'registe maintenance'!A:B,2,FALSE)," non répertoriées")</f>
        <v>Tshuapa</v>
      </c>
      <c r="F333">
        <f>IFERROR(VLOOKUP(logos[[#This Row],[Cell_ID]],'registe maintenance'!A:C,3,FALSE)," non répertoriées")</f>
        <v>-2.571777</v>
      </c>
      <c r="G333">
        <f>IFERROR(VLOOKUP(logos[[#This Row],[Cell_ID]],'registe maintenance'!A:D,4,FALSE)," non répertoriées")</f>
        <v>12.120642</v>
      </c>
      <c r="H333" t="str">
        <f>IFERROR(VLOOKUP(logos[[#This Row],[Cell_ID]],'registe maintenance'!A:E,5,FALSE)," non répertoriées")</f>
        <v>3G</v>
      </c>
      <c r="I333" t="str">
        <f>IFERROR(VLOOKUP(logos[[#This Row],[Cell_ID]],'registe maintenance'!A:F,6,FALSE)," non répertoriées")</f>
        <v>Huawei</v>
      </c>
      <c r="J333">
        <f>IFERROR(VLOOKUP(B333,'logos transformer '!A:B,2,FALSE),"na")</f>
        <v>1</v>
      </c>
      <c r="K333">
        <f>IFERROR(VLOOKUP(B333,'logos transformer '!A:C,3,FALSE),"na")</f>
        <v>14</v>
      </c>
      <c r="L333" s="1">
        <f>IFERROR(VLOOKUP(B333,'logos transformer '!A:D,4,FALSE),"na")</f>
        <v>45223.450694444444</v>
      </c>
    </row>
    <row r="334" spans="1:12" x14ac:dyDescent="0.3">
      <c r="A334" s="1">
        <v>45230.776388888888</v>
      </c>
      <c r="B334" t="s">
        <v>282</v>
      </c>
      <c r="C334">
        <v>55</v>
      </c>
      <c r="D334" t="s">
        <v>8</v>
      </c>
      <c r="E334" t="str">
        <f>IFERROR(VLOOKUP(logos[[#This Row],[Cell_ID]],'registe maintenance'!A:B,2,FALSE)," non répertoriées")</f>
        <v xml:space="preserve"> non répertoriées</v>
      </c>
      <c r="F334" t="str">
        <f>IFERROR(VLOOKUP(logos[[#This Row],[Cell_ID]],'registe maintenance'!A:C,3,FALSE)," non répertoriées")</f>
        <v xml:space="preserve"> non répertoriées</v>
      </c>
      <c r="G334" t="str">
        <f>IFERROR(VLOOKUP(logos[[#This Row],[Cell_ID]],'registe maintenance'!A:D,4,FALSE)," non répertoriées")</f>
        <v xml:space="preserve"> non répertoriées</v>
      </c>
      <c r="H334" t="str">
        <f>IFERROR(VLOOKUP(logos[[#This Row],[Cell_ID]],'registe maintenance'!A:E,5,FALSE)," non répertoriées")</f>
        <v xml:space="preserve"> non répertoriées</v>
      </c>
      <c r="I334" t="str">
        <f>IFERROR(VLOOKUP(logos[[#This Row],[Cell_ID]],'registe maintenance'!A:F,6,FALSE)," non répertoriées")</f>
        <v xml:space="preserve"> non répertoriées</v>
      </c>
      <c r="J334">
        <f>IFERROR(VLOOKUP(B334,'logos transformer '!A:B,2,FALSE),"na")</f>
        <v>2</v>
      </c>
      <c r="K334">
        <f>IFERROR(VLOOKUP(B334,'logos transformer '!A:C,3,FALSE),"na")</f>
        <v>145</v>
      </c>
      <c r="L334" s="1">
        <f>IFERROR(VLOOKUP(B334,'logos transformer '!A:D,4,FALSE),"na")</f>
        <v>45230.776388888888</v>
      </c>
    </row>
    <row r="335" spans="1:12" x14ac:dyDescent="0.3">
      <c r="A335" s="1">
        <v>45202.04791666667</v>
      </c>
      <c r="B335" t="s">
        <v>283</v>
      </c>
      <c r="C335">
        <v>115</v>
      </c>
      <c r="D335" t="s">
        <v>8</v>
      </c>
      <c r="E335" t="str">
        <f>IFERROR(VLOOKUP(logos[[#This Row],[Cell_ID]],'registe maintenance'!A:B,2,FALSE)," non répertoriées")</f>
        <v>Tshuapa</v>
      </c>
      <c r="F335">
        <f>IFERROR(VLOOKUP(logos[[#This Row],[Cell_ID]],'registe maintenance'!A:C,3,FALSE)," non répertoriées")</f>
        <v>-10.577049000000001</v>
      </c>
      <c r="G335">
        <f>IFERROR(VLOOKUP(logos[[#This Row],[Cell_ID]],'registe maintenance'!A:D,4,FALSE)," non répertoriées")</f>
        <v>23.721854</v>
      </c>
      <c r="H335" t="str">
        <f>IFERROR(VLOOKUP(logos[[#This Row],[Cell_ID]],'registe maintenance'!A:E,5,FALSE)," non répertoriées")</f>
        <v>4G</v>
      </c>
      <c r="I335" t="str">
        <f>IFERROR(VLOOKUP(logos[[#This Row],[Cell_ID]],'registe maintenance'!A:F,6,FALSE)," non répertoriées")</f>
        <v>ZTE</v>
      </c>
      <c r="J335">
        <f>IFERROR(VLOOKUP(B335,'logos transformer '!A:B,2,FALSE),"na")</f>
        <v>3</v>
      </c>
      <c r="K335">
        <f>IFERROR(VLOOKUP(B335,'logos transformer '!A:C,3,FALSE),"na")</f>
        <v>239</v>
      </c>
      <c r="L335" s="1">
        <f>IFERROR(VLOOKUP(B335,'logos transformer '!A:D,4,FALSE),"na")</f>
        <v>45225.979166666664</v>
      </c>
    </row>
    <row r="336" spans="1:12" x14ac:dyDescent="0.3">
      <c r="A336" s="1">
        <v>45205.793749999997</v>
      </c>
      <c r="B336" t="s">
        <v>284</v>
      </c>
      <c r="C336">
        <v>99</v>
      </c>
      <c r="D336" t="s">
        <v>8</v>
      </c>
      <c r="E336" t="str">
        <f>IFERROR(VLOOKUP(logos[[#This Row],[Cell_ID]],'registe maintenance'!A:B,2,FALSE)," non répertoriées")</f>
        <v xml:space="preserve"> non répertoriées</v>
      </c>
      <c r="F336" t="str">
        <f>IFERROR(VLOOKUP(logos[[#This Row],[Cell_ID]],'registe maintenance'!A:C,3,FALSE)," non répertoriées")</f>
        <v xml:space="preserve"> non répertoriées</v>
      </c>
      <c r="G336" t="str">
        <f>IFERROR(VLOOKUP(logos[[#This Row],[Cell_ID]],'registe maintenance'!A:D,4,FALSE)," non répertoriées")</f>
        <v xml:space="preserve"> non répertoriées</v>
      </c>
      <c r="H336" t="str">
        <f>IFERROR(VLOOKUP(logos[[#This Row],[Cell_ID]],'registe maintenance'!A:E,5,FALSE)," non répertoriées")</f>
        <v xml:space="preserve"> non répertoriées</v>
      </c>
      <c r="I336" t="str">
        <f>IFERROR(VLOOKUP(logos[[#This Row],[Cell_ID]],'registe maintenance'!A:F,6,FALSE)," non répertoriées")</f>
        <v xml:space="preserve"> non répertoriées</v>
      </c>
      <c r="J336">
        <f>IFERROR(VLOOKUP(B336,'logos transformer '!A:B,2,FALSE),"na")</f>
        <v>1</v>
      </c>
      <c r="K336">
        <f>IFERROR(VLOOKUP(B336,'logos transformer '!A:C,3,FALSE),"na")</f>
        <v>99</v>
      </c>
      <c r="L336" s="1">
        <f>IFERROR(VLOOKUP(B336,'logos transformer '!A:D,4,FALSE),"na")</f>
        <v>45205.793749999997</v>
      </c>
    </row>
    <row r="337" spans="1:12" x14ac:dyDescent="0.3">
      <c r="A337" s="1">
        <v>45214.893750000003</v>
      </c>
      <c r="B337" t="s">
        <v>285</v>
      </c>
      <c r="C337">
        <v>60</v>
      </c>
      <c r="D337" t="s">
        <v>8</v>
      </c>
      <c r="E337" t="str">
        <f>IFERROR(VLOOKUP(logos[[#This Row],[Cell_ID]],'registe maintenance'!A:B,2,FALSE)," non répertoriées")</f>
        <v xml:space="preserve"> non répertoriées</v>
      </c>
      <c r="F337" t="str">
        <f>IFERROR(VLOOKUP(logos[[#This Row],[Cell_ID]],'registe maintenance'!A:C,3,FALSE)," non répertoriées")</f>
        <v xml:space="preserve"> non répertoriées</v>
      </c>
      <c r="G337" t="str">
        <f>IFERROR(VLOOKUP(logos[[#This Row],[Cell_ID]],'registe maintenance'!A:D,4,FALSE)," non répertoriées")</f>
        <v xml:space="preserve"> non répertoriées</v>
      </c>
      <c r="H337" t="str">
        <f>IFERROR(VLOOKUP(logos[[#This Row],[Cell_ID]],'registe maintenance'!A:E,5,FALSE)," non répertoriées")</f>
        <v xml:space="preserve"> non répertoriées</v>
      </c>
      <c r="I337" t="str">
        <f>IFERROR(VLOOKUP(logos[[#This Row],[Cell_ID]],'registe maintenance'!A:F,6,FALSE)," non répertoriées")</f>
        <v xml:space="preserve"> non répertoriées</v>
      </c>
      <c r="J337">
        <f>IFERROR(VLOOKUP(B337,'logos transformer '!A:B,2,FALSE),"na")</f>
        <v>1</v>
      </c>
      <c r="K337">
        <f>IFERROR(VLOOKUP(B337,'logos transformer '!A:C,3,FALSE),"na")</f>
        <v>60</v>
      </c>
      <c r="L337" s="1">
        <f>IFERROR(VLOOKUP(B337,'logos transformer '!A:D,4,FALSE),"na")</f>
        <v>45214.893750000003</v>
      </c>
    </row>
    <row r="338" spans="1:12" x14ac:dyDescent="0.3">
      <c r="A338" s="1">
        <v>45215.811111111107</v>
      </c>
      <c r="B338" t="s">
        <v>169</v>
      </c>
      <c r="C338">
        <v>7</v>
      </c>
      <c r="D338" t="s">
        <v>10</v>
      </c>
      <c r="E338" t="str">
        <f>IFERROR(VLOOKUP(logos[[#This Row],[Cell_ID]],'registe maintenance'!A:B,2,FALSE)," non répertoriées")</f>
        <v xml:space="preserve"> non répertoriées</v>
      </c>
      <c r="F338" t="str">
        <f>IFERROR(VLOOKUP(logos[[#This Row],[Cell_ID]],'registe maintenance'!A:C,3,FALSE)," non répertoriées")</f>
        <v xml:space="preserve"> non répertoriées</v>
      </c>
      <c r="G338" t="str">
        <f>IFERROR(VLOOKUP(logos[[#This Row],[Cell_ID]],'registe maintenance'!A:D,4,FALSE)," non répertoriées")</f>
        <v xml:space="preserve"> non répertoriées</v>
      </c>
      <c r="H338" t="str">
        <f>IFERROR(VLOOKUP(logos[[#This Row],[Cell_ID]],'registe maintenance'!A:E,5,FALSE)," non répertoriées")</f>
        <v xml:space="preserve"> non répertoriées</v>
      </c>
      <c r="I338" t="str">
        <f>IFERROR(VLOOKUP(logos[[#This Row],[Cell_ID]],'registe maintenance'!A:F,6,FALSE)," non répertoriées")</f>
        <v xml:space="preserve"> non répertoriées</v>
      </c>
      <c r="J338">
        <f>IFERROR(VLOOKUP(B338,'logos transformer '!A:B,2,FALSE),"na")</f>
        <v>2</v>
      </c>
      <c r="K338">
        <f>IFERROR(VLOOKUP(B338,'logos transformer '!A:C,3,FALSE),"na")</f>
        <v>114</v>
      </c>
      <c r="L338" s="1">
        <f>IFERROR(VLOOKUP(B338,'logos transformer '!A:D,4,FALSE),"na")</f>
        <v>45215.811111111114</v>
      </c>
    </row>
    <row r="339" spans="1:12" x14ac:dyDescent="0.3">
      <c r="A339" s="1">
        <v>45213.342361111107</v>
      </c>
      <c r="B339" t="s">
        <v>286</v>
      </c>
      <c r="C339">
        <v>63</v>
      </c>
      <c r="D339" t="s">
        <v>8</v>
      </c>
      <c r="E339" t="str">
        <f>IFERROR(VLOOKUP(logos[[#This Row],[Cell_ID]],'registe maintenance'!A:B,2,FALSE)," non répertoriées")</f>
        <v>Sud-Kivu</v>
      </c>
      <c r="F339">
        <f>IFERROR(VLOOKUP(logos[[#This Row],[Cell_ID]],'registe maintenance'!A:C,3,FALSE)," non répertoriées")</f>
        <v>0.31740800000000002</v>
      </c>
      <c r="G339">
        <f>IFERROR(VLOOKUP(logos[[#This Row],[Cell_ID]],'registe maintenance'!A:D,4,FALSE)," non répertoriées")</f>
        <v>27.197666999999999</v>
      </c>
      <c r="H339" t="str">
        <f>IFERROR(VLOOKUP(logos[[#This Row],[Cell_ID]],'registe maintenance'!A:E,5,FALSE)," non répertoriées")</f>
        <v>5G</v>
      </c>
      <c r="I339" t="str">
        <f>IFERROR(VLOOKUP(logos[[#This Row],[Cell_ID]],'registe maintenance'!A:F,6,FALSE)," non répertoriées")</f>
        <v>Nokia</v>
      </c>
      <c r="J339">
        <f>IFERROR(VLOOKUP(B339,'logos transformer '!A:B,2,FALSE),"na")</f>
        <v>1</v>
      </c>
      <c r="K339">
        <f>IFERROR(VLOOKUP(B339,'logos transformer '!A:C,3,FALSE),"na")</f>
        <v>63</v>
      </c>
      <c r="L339" s="1">
        <f>IFERROR(VLOOKUP(B339,'logos transformer '!A:D,4,FALSE),"na")</f>
        <v>45213.342361111114</v>
      </c>
    </row>
    <row r="340" spans="1:12" x14ac:dyDescent="0.3">
      <c r="A340" s="1">
        <v>45224.671527777777</v>
      </c>
      <c r="B340" t="s">
        <v>157</v>
      </c>
      <c r="C340">
        <v>14</v>
      </c>
      <c r="D340" t="s">
        <v>10</v>
      </c>
      <c r="E340" t="str">
        <f>IFERROR(VLOOKUP(logos[[#This Row],[Cell_ID]],'registe maintenance'!A:B,2,FALSE)," non répertoriées")</f>
        <v xml:space="preserve"> non répertoriées</v>
      </c>
      <c r="F340" t="str">
        <f>IFERROR(VLOOKUP(logos[[#This Row],[Cell_ID]],'registe maintenance'!A:C,3,FALSE)," non répertoriées")</f>
        <v xml:space="preserve"> non répertoriées</v>
      </c>
      <c r="G340" t="str">
        <f>IFERROR(VLOOKUP(logos[[#This Row],[Cell_ID]],'registe maintenance'!A:D,4,FALSE)," non répertoriées")</f>
        <v xml:space="preserve"> non répertoriées</v>
      </c>
      <c r="H340" t="str">
        <f>IFERROR(VLOOKUP(logos[[#This Row],[Cell_ID]],'registe maintenance'!A:E,5,FALSE)," non répertoriées")</f>
        <v xml:space="preserve"> non répertoriées</v>
      </c>
      <c r="I340" t="str">
        <f>IFERROR(VLOOKUP(logos[[#This Row],[Cell_ID]],'registe maintenance'!A:F,6,FALSE)," non répertoriées")</f>
        <v xml:space="preserve"> non répertoriées</v>
      </c>
      <c r="J340">
        <f>IFERROR(VLOOKUP(B340,'logos transformer '!A:B,2,FALSE),"na")</f>
        <v>2</v>
      </c>
      <c r="K340">
        <f>IFERROR(VLOOKUP(B340,'logos transformer '!A:C,3,FALSE),"na")</f>
        <v>91</v>
      </c>
      <c r="L340" s="1">
        <f>IFERROR(VLOOKUP(B340,'logos transformer '!A:D,4,FALSE),"na")</f>
        <v>45229.4</v>
      </c>
    </row>
    <row r="341" spans="1:12" x14ac:dyDescent="0.3">
      <c r="A341" s="1">
        <v>45211.546527777777</v>
      </c>
      <c r="B341" t="s">
        <v>66</v>
      </c>
      <c r="C341">
        <v>115</v>
      </c>
      <c r="D341" t="s">
        <v>5</v>
      </c>
      <c r="E341" t="str">
        <f>IFERROR(VLOOKUP(logos[[#This Row],[Cell_ID]],'registe maintenance'!A:B,2,FALSE)," non répertoriées")</f>
        <v xml:space="preserve"> non répertoriées</v>
      </c>
      <c r="F341" t="str">
        <f>IFERROR(VLOOKUP(logos[[#This Row],[Cell_ID]],'registe maintenance'!A:C,3,FALSE)," non répertoriées")</f>
        <v xml:space="preserve"> non répertoriées</v>
      </c>
      <c r="G341" t="str">
        <f>IFERROR(VLOOKUP(logos[[#This Row],[Cell_ID]],'registe maintenance'!A:D,4,FALSE)," non répertoriées")</f>
        <v xml:space="preserve"> non répertoriées</v>
      </c>
      <c r="H341" t="str">
        <f>IFERROR(VLOOKUP(logos[[#This Row],[Cell_ID]],'registe maintenance'!A:E,5,FALSE)," non répertoriées")</f>
        <v xml:space="preserve"> non répertoriées</v>
      </c>
      <c r="I341" t="str">
        <f>IFERROR(VLOOKUP(logos[[#This Row],[Cell_ID]],'registe maintenance'!A:F,6,FALSE)," non répertoriées")</f>
        <v xml:space="preserve"> non répertoriées</v>
      </c>
      <c r="J341">
        <f>IFERROR(VLOOKUP(B341,'logos transformer '!A:B,2,FALSE),"na")</f>
        <v>2</v>
      </c>
      <c r="K341">
        <f>IFERROR(VLOOKUP(B341,'logos transformer '!A:C,3,FALSE),"na")</f>
        <v>189</v>
      </c>
      <c r="L341" s="1">
        <f>IFERROR(VLOOKUP(B341,'logos transformer '!A:D,4,FALSE),"na")</f>
        <v>45229.298611111109</v>
      </c>
    </row>
    <row r="342" spans="1:12" x14ac:dyDescent="0.3">
      <c r="A342" s="1">
        <v>45209.904861111107</v>
      </c>
      <c r="B342" t="s">
        <v>32</v>
      </c>
      <c r="C342">
        <v>45</v>
      </c>
      <c r="D342" t="s">
        <v>10</v>
      </c>
      <c r="E342" t="str">
        <f>IFERROR(VLOOKUP(logos[[#This Row],[Cell_ID]],'registe maintenance'!A:B,2,FALSE)," non répertoriées")</f>
        <v xml:space="preserve"> non répertoriées</v>
      </c>
      <c r="F342" t="str">
        <f>IFERROR(VLOOKUP(logos[[#This Row],[Cell_ID]],'registe maintenance'!A:C,3,FALSE)," non répertoriées")</f>
        <v xml:space="preserve"> non répertoriées</v>
      </c>
      <c r="G342" t="str">
        <f>IFERROR(VLOOKUP(logos[[#This Row],[Cell_ID]],'registe maintenance'!A:D,4,FALSE)," non répertoriées")</f>
        <v xml:space="preserve"> non répertoriées</v>
      </c>
      <c r="H342" t="str">
        <f>IFERROR(VLOOKUP(logos[[#This Row],[Cell_ID]],'registe maintenance'!A:E,5,FALSE)," non répertoriées")</f>
        <v xml:space="preserve"> non répertoriées</v>
      </c>
      <c r="I342" t="str">
        <f>IFERROR(VLOOKUP(logos[[#This Row],[Cell_ID]],'registe maintenance'!A:F,6,FALSE)," non répertoriées")</f>
        <v xml:space="preserve"> non répertoriées</v>
      </c>
      <c r="J342">
        <f>IFERROR(VLOOKUP(B342,'logos transformer '!A:B,2,FALSE),"na")</f>
        <v>4</v>
      </c>
      <c r="K342">
        <f>IFERROR(VLOOKUP(B342,'logos transformer '!A:C,3,FALSE),"na")</f>
        <v>224</v>
      </c>
      <c r="L342" s="1">
        <f>IFERROR(VLOOKUP(B342,'logos transformer '!A:D,4,FALSE),"na")</f>
        <v>45227.329861111109</v>
      </c>
    </row>
    <row r="343" spans="1:12" x14ac:dyDescent="0.3">
      <c r="A343" s="1">
        <v>45218.647916666669</v>
      </c>
      <c r="B343" t="s">
        <v>287</v>
      </c>
      <c r="C343">
        <v>78</v>
      </c>
      <c r="D343" t="s">
        <v>5</v>
      </c>
      <c r="E343" t="str">
        <f>IFERROR(VLOOKUP(logos[[#This Row],[Cell_ID]],'registe maintenance'!A:B,2,FALSE)," non répertoriées")</f>
        <v xml:space="preserve"> non répertoriées</v>
      </c>
      <c r="F343" t="str">
        <f>IFERROR(VLOOKUP(logos[[#This Row],[Cell_ID]],'registe maintenance'!A:C,3,FALSE)," non répertoriées")</f>
        <v xml:space="preserve"> non répertoriées</v>
      </c>
      <c r="G343" t="str">
        <f>IFERROR(VLOOKUP(logos[[#This Row],[Cell_ID]],'registe maintenance'!A:D,4,FALSE)," non répertoriées")</f>
        <v xml:space="preserve"> non répertoriées</v>
      </c>
      <c r="H343" t="str">
        <f>IFERROR(VLOOKUP(logos[[#This Row],[Cell_ID]],'registe maintenance'!A:E,5,FALSE)," non répertoriées")</f>
        <v xml:space="preserve"> non répertoriées</v>
      </c>
      <c r="I343" t="str">
        <f>IFERROR(VLOOKUP(logos[[#This Row],[Cell_ID]],'registe maintenance'!A:F,6,FALSE)," non répertoriées")</f>
        <v xml:space="preserve"> non répertoriées</v>
      </c>
      <c r="J343">
        <f>IFERROR(VLOOKUP(B343,'logos transformer '!A:B,2,FALSE),"na")</f>
        <v>2</v>
      </c>
      <c r="K343">
        <f>IFERROR(VLOOKUP(B343,'logos transformer '!A:C,3,FALSE),"na")</f>
        <v>151</v>
      </c>
      <c r="L343" s="1">
        <f>IFERROR(VLOOKUP(B343,'logos transformer '!A:D,4,FALSE),"na")</f>
        <v>45218.647916666669</v>
      </c>
    </row>
    <row r="344" spans="1:12" x14ac:dyDescent="0.3">
      <c r="A344" s="1">
        <v>45221.376388888893</v>
      </c>
      <c r="B344" t="s">
        <v>288</v>
      </c>
      <c r="C344">
        <v>59</v>
      </c>
      <c r="D344" t="s">
        <v>10</v>
      </c>
      <c r="E344" t="str">
        <f>IFERROR(VLOOKUP(logos[[#This Row],[Cell_ID]],'registe maintenance'!A:B,2,FALSE)," non répertoriées")</f>
        <v>Maniema</v>
      </c>
      <c r="F344">
        <f>IFERROR(VLOOKUP(logos[[#This Row],[Cell_ID]],'registe maintenance'!A:C,3,FALSE)," non répertoriées")</f>
        <v>-8.4824669999999998</v>
      </c>
      <c r="G344">
        <f>IFERROR(VLOOKUP(logos[[#This Row],[Cell_ID]],'registe maintenance'!A:D,4,FALSE)," non répertoriées")</f>
        <v>21.897777999999999</v>
      </c>
      <c r="H344" t="str">
        <f>IFERROR(VLOOKUP(logos[[#This Row],[Cell_ID]],'registe maintenance'!A:E,5,FALSE)," non répertoriées")</f>
        <v>5G</v>
      </c>
      <c r="I344" t="str">
        <f>IFERROR(VLOOKUP(logos[[#This Row],[Cell_ID]],'registe maintenance'!A:F,6,FALSE)," non répertoriées")</f>
        <v>Ericsson</v>
      </c>
      <c r="J344">
        <f>IFERROR(VLOOKUP(B344,'logos transformer '!A:B,2,FALSE),"na")</f>
        <v>1</v>
      </c>
      <c r="K344">
        <f>IFERROR(VLOOKUP(B344,'logos transformer '!A:C,3,FALSE),"na")</f>
        <v>59</v>
      </c>
      <c r="L344" s="1">
        <f>IFERROR(VLOOKUP(B344,'logos transformer '!A:D,4,FALSE),"na")</f>
        <v>45221.376388888886</v>
      </c>
    </row>
    <row r="345" spans="1:12" x14ac:dyDescent="0.3">
      <c r="A345" s="1">
        <v>45207.526388888888</v>
      </c>
      <c r="B345" t="s">
        <v>289</v>
      </c>
      <c r="C345">
        <v>78</v>
      </c>
      <c r="D345" t="s">
        <v>10</v>
      </c>
      <c r="E345" t="str">
        <f>IFERROR(VLOOKUP(logos[[#This Row],[Cell_ID]],'registe maintenance'!A:B,2,FALSE)," non répertoriées")</f>
        <v>Haut-Katanga</v>
      </c>
      <c r="F345">
        <f>IFERROR(VLOOKUP(logos[[#This Row],[Cell_ID]],'registe maintenance'!A:C,3,FALSE)," non répertoriées")</f>
        <v>-9.4229749999999992</v>
      </c>
      <c r="G345">
        <f>IFERROR(VLOOKUP(logos[[#This Row],[Cell_ID]],'registe maintenance'!A:D,4,FALSE)," non répertoriées")</f>
        <v>29.375005999999999</v>
      </c>
      <c r="H345" t="str">
        <f>IFERROR(VLOOKUP(logos[[#This Row],[Cell_ID]],'registe maintenance'!A:E,5,FALSE)," non répertoriées")</f>
        <v>3G</v>
      </c>
      <c r="I345" t="str">
        <f>IFERROR(VLOOKUP(logos[[#This Row],[Cell_ID]],'registe maintenance'!A:F,6,FALSE)," non répertoriées")</f>
        <v>Ericsson</v>
      </c>
      <c r="J345">
        <f>IFERROR(VLOOKUP(B345,'logos transformer '!A:B,2,FALSE),"na")</f>
        <v>1</v>
      </c>
      <c r="K345">
        <f>IFERROR(VLOOKUP(B345,'logos transformer '!A:C,3,FALSE),"na")</f>
        <v>78</v>
      </c>
      <c r="L345" s="1">
        <f>IFERROR(VLOOKUP(B345,'logos transformer '!A:D,4,FALSE),"na")</f>
        <v>45207.526388888888</v>
      </c>
    </row>
    <row r="346" spans="1:12" x14ac:dyDescent="0.3">
      <c r="A346" s="1">
        <v>45201.009027777778</v>
      </c>
      <c r="B346" t="s">
        <v>257</v>
      </c>
      <c r="C346">
        <v>56</v>
      </c>
      <c r="D346" t="s">
        <v>8</v>
      </c>
      <c r="E346" t="str">
        <f>IFERROR(VLOOKUP(logos[[#This Row],[Cell_ID]],'registe maintenance'!A:B,2,FALSE)," non répertoriées")</f>
        <v>Nord-Ubangi</v>
      </c>
      <c r="F346">
        <f>IFERROR(VLOOKUP(logos[[#This Row],[Cell_ID]],'registe maintenance'!A:C,3,FALSE)," non répertoriées")</f>
        <v>-7.7839049999999999</v>
      </c>
      <c r="G346">
        <f>IFERROR(VLOOKUP(logos[[#This Row],[Cell_ID]],'registe maintenance'!A:D,4,FALSE)," non répertoriées")</f>
        <v>14.114281999999999</v>
      </c>
      <c r="H346" t="str">
        <f>IFERROR(VLOOKUP(logos[[#This Row],[Cell_ID]],'registe maintenance'!A:E,5,FALSE)," non répertoriées")</f>
        <v>3G</v>
      </c>
      <c r="I346" t="str">
        <f>IFERROR(VLOOKUP(logos[[#This Row],[Cell_ID]],'registe maintenance'!A:F,6,FALSE)," non répertoriées")</f>
        <v>ZTE</v>
      </c>
      <c r="J346">
        <f>IFERROR(VLOOKUP(B346,'logos transformer '!A:B,2,FALSE),"na")</f>
        <v>3</v>
      </c>
      <c r="K346">
        <f>IFERROR(VLOOKUP(B346,'logos transformer '!A:C,3,FALSE),"na")</f>
        <v>156</v>
      </c>
      <c r="L346" s="1">
        <f>IFERROR(VLOOKUP(B346,'logos transformer '!A:D,4,FALSE),"na")</f>
        <v>45226.586805555555</v>
      </c>
    </row>
    <row r="347" spans="1:12" x14ac:dyDescent="0.3">
      <c r="A347" s="1">
        <v>45201.057638888888</v>
      </c>
      <c r="B347" t="s">
        <v>290</v>
      </c>
      <c r="C347">
        <v>103</v>
      </c>
      <c r="D347" t="s">
        <v>5</v>
      </c>
      <c r="E347" t="str">
        <f>IFERROR(VLOOKUP(logos[[#This Row],[Cell_ID]],'registe maintenance'!A:B,2,FALSE)," non répertoriées")</f>
        <v>Haut-Katanga</v>
      </c>
      <c r="F347">
        <f>IFERROR(VLOOKUP(logos[[#This Row],[Cell_ID]],'registe maintenance'!A:C,3,FALSE)," non répertoriées")</f>
        <v>-11.594525000000001</v>
      </c>
      <c r="G347">
        <f>IFERROR(VLOOKUP(logos[[#This Row],[Cell_ID]],'registe maintenance'!A:D,4,FALSE)," non répertoriées")</f>
        <v>29.744895</v>
      </c>
      <c r="H347" t="str">
        <f>IFERROR(VLOOKUP(logos[[#This Row],[Cell_ID]],'registe maintenance'!A:E,5,FALSE)," non répertoriées")</f>
        <v>3G</v>
      </c>
      <c r="I347" t="str">
        <f>IFERROR(VLOOKUP(logos[[#This Row],[Cell_ID]],'registe maintenance'!A:F,6,FALSE)," non répertoriées")</f>
        <v>ZTE</v>
      </c>
      <c r="J347">
        <f>IFERROR(VLOOKUP(B347,'logos transformer '!A:B,2,FALSE),"na")</f>
        <v>2</v>
      </c>
      <c r="K347">
        <f>IFERROR(VLOOKUP(B347,'logos transformer '!A:C,3,FALSE),"na")</f>
        <v>168</v>
      </c>
      <c r="L347" s="1">
        <f>IFERROR(VLOOKUP(B347,'logos transformer '!A:D,4,FALSE),"na")</f>
        <v>45226.659722222219</v>
      </c>
    </row>
    <row r="348" spans="1:12" x14ac:dyDescent="0.3">
      <c r="A348" s="1">
        <v>45226.37777777778</v>
      </c>
      <c r="B348" t="s">
        <v>291</v>
      </c>
      <c r="C348">
        <v>74</v>
      </c>
      <c r="D348" t="s">
        <v>10</v>
      </c>
      <c r="E348" t="str">
        <f>IFERROR(VLOOKUP(logos[[#This Row],[Cell_ID]],'registe maintenance'!A:B,2,FALSE)," non répertoriées")</f>
        <v>Mongala</v>
      </c>
      <c r="F348">
        <f>IFERROR(VLOOKUP(logos[[#This Row],[Cell_ID]],'registe maintenance'!A:C,3,FALSE)," non répertoriées")</f>
        <v>4.6809229999999999</v>
      </c>
      <c r="G348">
        <f>IFERROR(VLOOKUP(logos[[#This Row],[Cell_ID]],'registe maintenance'!A:D,4,FALSE)," non répertoriées")</f>
        <v>28.934242000000001</v>
      </c>
      <c r="H348" t="str">
        <f>IFERROR(VLOOKUP(logos[[#This Row],[Cell_ID]],'registe maintenance'!A:E,5,FALSE)," non répertoriées")</f>
        <v>5G</v>
      </c>
      <c r="I348" t="str">
        <f>IFERROR(VLOOKUP(logos[[#This Row],[Cell_ID]],'registe maintenance'!A:F,6,FALSE)," non répertoriées")</f>
        <v>Nokia</v>
      </c>
      <c r="J348">
        <f>IFERROR(VLOOKUP(B348,'logos transformer '!A:B,2,FALSE),"na")</f>
        <v>1</v>
      </c>
      <c r="K348">
        <f>IFERROR(VLOOKUP(B348,'logos transformer '!A:C,3,FALSE),"na")</f>
        <v>74</v>
      </c>
      <c r="L348" s="1">
        <f>IFERROR(VLOOKUP(B348,'logos transformer '!A:D,4,FALSE),"na")</f>
        <v>45226.37777777778</v>
      </c>
    </row>
    <row r="349" spans="1:12" x14ac:dyDescent="0.3">
      <c r="A349" s="1">
        <v>45220.11041666667</v>
      </c>
      <c r="B349" t="s">
        <v>292</v>
      </c>
      <c r="C349">
        <v>111</v>
      </c>
      <c r="D349" t="s">
        <v>10</v>
      </c>
      <c r="E349" t="str">
        <f>IFERROR(VLOOKUP(logos[[#This Row],[Cell_ID]],'registe maintenance'!A:B,2,FALSE)," non répertoriées")</f>
        <v>Ituri</v>
      </c>
      <c r="F349">
        <f>IFERROR(VLOOKUP(logos[[#This Row],[Cell_ID]],'registe maintenance'!A:C,3,FALSE)," non répertoriées")</f>
        <v>-4.1250960000000001</v>
      </c>
      <c r="G349">
        <f>IFERROR(VLOOKUP(logos[[#This Row],[Cell_ID]],'registe maintenance'!A:D,4,FALSE)," non répertoriées")</f>
        <v>27.799897999999999</v>
      </c>
      <c r="H349" t="str">
        <f>IFERROR(VLOOKUP(logos[[#This Row],[Cell_ID]],'registe maintenance'!A:E,5,FALSE)," non répertoriées")</f>
        <v>3G</v>
      </c>
      <c r="I349" t="str">
        <f>IFERROR(VLOOKUP(logos[[#This Row],[Cell_ID]],'registe maintenance'!A:F,6,FALSE)," non répertoriées")</f>
        <v>Nokia</v>
      </c>
      <c r="J349">
        <f>IFERROR(VLOOKUP(B349,'logos transformer '!A:B,2,FALSE),"na")</f>
        <v>2</v>
      </c>
      <c r="K349">
        <f>IFERROR(VLOOKUP(B349,'logos transformer '!A:C,3,FALSE),"na")</f>
        <v>223</v>
      </c>
      <c r="L349" s="1">
        <f>IFERROR(VLOOKUP(B349,'logos transformer '!A:D,4,FALSE),"na")</f>
        <v>45228.880555555559</v>
      </c>
    </row>
    <row r="350" spans="1:12" x14ac:dyDescent="0.3">
      <c r="A350" s="1">
        <v>45219.683333333327</v>
      </c>
      <c r="B350" t="s">
        <v>293</v>
      </c>
      <c r="C350">
        <v>99</v>
      </c>
      <c r="D350" t="s">
        <v>8</v>
      </c>
      <c r="E350" t="str">
        <f>IFERROR(VLOOKUP(logos[[#This Row],[Cell_ID]],'registe maintenance'!A:B,2,FALSE)," non répertoriées")</f>
        <v>Kongo-Central</v>
      </c>
      <c r="F350">
        <f>IFERROR(VLOOKUP(logos[[#This Row],[Cell_ID]],'registe maintenance'!A:C,3,FALSE)," non répertoriées")</f>
        <v>-9.5840350000000001</v>
      </c>
      <c r="G350">
        <f>IFERROR(VLOOKUP(logos[[#This Row],[Cell_ID]],'registe maintenance'!A:D,4,FALSE)," non répertoriées")</f>
        <v>15.966024000000001</v>
      </c>
      <c r="H350" t="str">
        <f>IFERROR(VLOOKUP(logos[[#This Row],[Cell_ID]],'registe maintenance'!A:E,5,FALSE)," non répertoriées")</f>
        <v>5G</v>
      </c>
      <c r="I350" t="str">
        <f>IFERROR(VLOOKUP(logos[[#This Row],[Cell_ID]],'registe maintenance'!A:F,6,FALSE)," non répertoriées")</f>
        <v>Nokia</v>
      </c>
      <c r="J350">
        <f>IFERROR(VLOOKUP(B350,'logos transformer '!A:B,2,FALSE),"na")</f>
        <v>1</v>
      </c>
      <c r="K350">
        <f>IFERROR(VLOOKUP(B350,'logos transformer '!A:C,3,FALSE),"na")</f>
        <v>99</v>
      </c>
      <c r="L350" s="1">
        <f>IFERROR(VLOOKUP(B350,'logos transformer '!A:D,4,FALSE),"na")</f>
        <v>45219.683333333334</v>
      </c>
    </row>
    <row r="351" spans="1:12" x14ac:dyDescent="0.3">
      <c r="A351" s="1">
        <v>45214.774305555547</v>
      </c>
      <c r="B351" t="s">
        <v>82</v>
      </c>
      <c r="C351">
        <v>118</v>
      </c>
      <c r="D351" t="s">
        <v>5</v>
      </c>
      <c r="E351" t="str">
        <f>IFERROR(VLOOKUP(logos[[#This Row],[Cell_ID]],'registe maintenance'!A:B,2,FALSE)," non répertoriées")</f>
        <v>Sud-Ubangi</v>
      </c>
      <c r="F351">
        <f>IFERROR(VLOOKUP(logos[[#This Row],[Cell_ID]],'registe maintenance'!A:C,3,FALSE)," non répertoriées")</f>
        <v>-10.914952</v>
      </c>
      <c r="G351">
        <f>IFERROR(VLOOKUP(logos[[#This Row],[Cell_ID]],'registe maintenance'!A:D,4,FALSE)," non répertoriées")</f>
        <v>26.409648000000001</v>
      </c>
      <c r="H351" t="str">
        <f>IFERROR(VLOOKUP(logos[[#This Row],[Cell_ID]],'registe maintenance'!A:E,5,FALSE)," non répertoriées")</f>
        <v>4G</v>
      </c>
      <c r="I351" t="str">
        <f>IFERROR(VLOOKUP(logos[[#This Row],[Cell_ID]],'registe maintenance'!A:F,6,FALSE)," non répertoriées")</f>
        <v>Huawei</v>
      </c>
      <c r="J351">
        <f>IFERROR(VLOOKUP(B351,'logos transformer '!A:B,2,FALSE),"na")</f>
        <v>3</v>
      </c>
      <c r="K351">
        <f>IFERROR(VLOOKUP(B351,'logos transformer '!A:C,3,FALSE),"na")</f>
        <v>289</v>
      </c>
      <c r="L351" s="1">
        <f>IFERROR(VLOOKUP(B351,'logos transformer '!A:D,4,FALSE),"na")</f>
        <v>45227.309027777781</v>
      </c>
    </row>
    <row r="352" spans="1:12" x14ac:dyDescent="0.3">
      <c r="A352" s="1">
        <v>45230.997916666667</v>
      </c>
      <c r="B352" t="s">
        <v>294</v>
      </c>
      <c r="C352">
        <v>72</v>
      </c>
      <c r="D352" t="s">
        <v>10</v>
      </c>
      <c r="E352" t="str">
        <f>IFERROR(VLOOKUP(logos[[#This Row],[Cell_ID]],'registe maintenance'!A:B,2,FALSE)," non répertoriées")</f>
        <v>Ituri</v>
      </c>
      <c r="F352">
        <f>IFERROR(VLOOKUP(logos[[#This Row],[Cell_ID]],'registe maintenance'!A:C,3,FALSE)," non répertoriées")</f>
        <v>-1.9120569999999999</v>
      </c>
      <c r="G352">
        <f>IFERROR(VLOOKUP(logos[[#This Row],[Cell_ID]],'registe maintenance'!A:D,4,FALSE)," non répertoriées")</f>
        <v>15.236072999999999</v>
      </c>
      <c r="H352" t="str">
        <f>IFERROR(VLOOKUP(logos[[#This Row],[Cell_ID]],'registe maintenance'!A:E,5,FALSE)," non répertoriées")</f>
        <v>5G</v>
      </c>
      <c r="I352" t="str">
        <f>IFERROR(VLOOKUP(logos[[#This Row],[Cell_ID]],'registe maintenance'!A:F,6,FALSE)," non répertoriées")</f>
        <v>Huawei</v>
      </c>
      <c r="J352">
        <f>IFERROR(VLOOKUP(B352,'logos transformer '!A:B,2,FALSE),"na")</f>
        <v>1</v>
      </c>
      <c r="K352">
        <f>IFERROR(VLOOKUP(B352,'logos transformer '!A:C,3,FALSE),"na")</f>
        <v>72</v>
      </c>
      <c r="L352" s="1">
        <f>IFERROR(VLOOKUP(B352,'logos transformer '!A:D,4,FALSE),"na")</f>
        <v>45230.997916666667</v>
      </c>
    </row>
    <row r="353" spans="1:12" x14ac:dyDescent="0.3">
      <c r="A353" s="1">
        <v>45201.623611111107</v>
      </c>
      <c r="B353" t="s">
        <v>295</v>
      </c>
      <c r="C353">
        <v>9</v>
      </c>
      <c r="D353" t="s">
        <v>5</v>
      </c>
      <c r="E353" t="str">
        <f>IFERROR(VLOOKUP(logos[[#This Row],[Cell_ID]],'registe maintenance'!A:B,2,FALSE)," non répertoriées")</f>
        <v xml:space="preserve"> non répertoriées</v>
      </c>
      <c r="F353" t="str">
        <f>IFERROR(VLOOKUP(logos[[#This Row],[Cell_ID]],'registe maintenance'!A:C,3,FALSE)," non répertoriées")</f>
        <v xml:space="preserve"> non répertoriées</v>
      </c>
      <c r="G353" t="str">
        <f>IFERROR(VLOOKUP(logos[[#This Row],[Cell_ID]],'registe maintenance'!A:D,4,FALSE)," non répertoriées")</f>
        <v xml:space="preserve"> non répertoriées</v>
      </c>
      <c r="H353" t="str">
        <f>IFERROR(VLOOKUP(logos[[#This Row],[Cell_ID]],'registe maintenance'!A:E,5,FALSE)," non répertoriées")</f>
        <v xml:space="preserve"> non répertoriées</v>
      </c>
      <c r="I353" t="str">
        <f>IFERROR(VLOOKUP(logos[[#This Row],[Cell_ID]],'registe maintenance'!A:F,6,FALSE)," non répertoriées")</f>
        <v xml:space="preserve"> non répertoriées</v>
      </c>
      <c r="J353">
        <f>IFERROR(VLOOKUP(B353,'logos transformer '!A:B,2,FALSE),"na")</f>
        <v>2</v>
      </c>
      <c r="K353">
        <f>IFERROR(VLOOKUP(B353,'logos transformer '!A:C,3,FALSE),"na")</f>
        <v>61</v>
      </c>
      <c r="L353" s="1">
        <f>IFERROR(VLOOKUP(B353,'logos transformer '!A:D,4,FALSE),"na")</f>
        <v>45230.731944444444</v>
      </c>
    </row>
    <row r="354" spans="1:12" x14ac:dyDescent="0.3">
      <c r="A354" s="1">
        <v>45225.77847222222</v>
      </c>
      <c r="B354" t="s">
        <v>296</v>
      </c>
      <c r="C354">
        <v>89</v>
      </c>
      <c r="D354" t="s">
        <v>5</v>
      </c>
      <c r="E354" t="str">
        <f>IFERROR(VLOOKUP(logos[[#This Row],[Cell_ID]],'registe maintenance'!A:B,2,FALSE)," non répertoriées")</f>
        <v xml:space="preserve"> non répertoriées</v>
      </c>
      <c r="F354" t="str">
        <f>IFERROR(VLOOKUP(logos[[#This Row],[Cell_ID]],'registe maintenance'!A:C,3,FALSE)," non répertoriées")</f>
        <v xml:space="preserve"> non répertoriées</v>
      </c>
      <c r="G354" t="str">
        <f>IFERROR(VLOOKUP(logos[[#This Row],[Cell_ID]],'registe maintenance'!A:D,4,FALSE)," non répertoriées")</f>
        <v xml:space="preserve"> non répertoriées</v>
      </c>
      <c r="H354" t="str">
        <f>IFERROR(VLOOKUP(logos[[#This Row],[Cell_ID]],'registe maintenance'!A:E,5,FALSE)," non répertoriées")</f>
        <v xml:space="preserve"> non répertoriées</v>
      </c>
      <c r="I354" t="str">
        <f>IFERROR(VLOOKUP(logos[[#This Row],[Cell_ID]],'registe maintenance'!A:F,6,FALSE)," non répertoriées")</f>
        <v xml:space="preserve"> non répertoriées</v>
      </c>
      <c r="J354">
        <f>IFERROR(VLOOKUP(B354,'logos transformer '!A:B,2,FALSE),"na")</f>
        <v>1</v>
      </c>
      <c r="K354">
        <f>IFERROR(VLOOKUP(B354,'logos transformer '!A:C,3,FALSE),"na")</f>
        <v>89</v>
      </c>
      <c r="L354" s="1">
        <f>IFERROR(VLOOKUP(B354,'logos transformer '!A:D,4,FALSE),"na")</f>
        <v>45225.77847222222</v>
      </c>
    </row>
    <row r="355" spans="1:12" x14ac:dyDescent="0.3">
      <c r="A355" s="1">
        <v>45206.443055555559</v>
      </c>
      <c r="B355" t="s">
        <v>297</v>
      </c>
      <c r="C355">
        <v>48</v>
      </c>
      <c r="D355" t="s">
        <v>10</v>
      </c>
      <c r="E355" t="str">
        <f>IFERROR(VLOOKUP(logos[[#This Row],[Cell_ID]],'registe maintenance'!A:B,2,FALSE)," non répertoriées")</f>
        <v>Haut-Lomami</v>
      </c>
      <c r="F355">
        <f>IFERROR(VLOOKUP(logos[[#This Row],[Cell_ID]],'registe maintenance'!A:C,3,FALSE)," non répertoriées")</f>
        <v>0.16327700000000001</v>
      </c>
      <c r="G355">
        <f>IFERROR(VLOOKUP(logos[[#This Row],[Cell_ID]],'registe maintenance'!A:D,4,FALSE)," non répertoriées")</f>
        <v>14.871577</v>
      </c>
      <c r="H355" t="str">
        <f>IFERROR(VLOOKUP(logos[[#This Row],[Cell_ID]],'registe maintenance'!A:E,5,FALSE)," non répertoriées")</f>
        <v>4G</v>
      </c>
      <c r="I355" t="str">
        <f>IFERROR(VLOOKUP(logos[[#This Row],[Cell_ID]],'registe maintenance'!A:F,6,FALSE)," non répertoriées")</f>
        <v>Huawei</v>
      </c>
      <c r="J355">
        <f>IFERROR(VLOOKUP(B355,'logos transformer '!A:B,2,FALSE),"na")</f>
        <v>2</v>
      </c>
      <c r="K355">
        <f>IFERROR(VLOOKUP(B355,'logos transformer '!A:C,3,FALSE),"na")</f>
        <v>137</v>
      </c>
      <c r="L355" s="1">
        <f>IFERROR(VLOOKUP(B355,'logos transformer '!A:D,4,FALSE),"na")</f>
        <v>45225.288888888892</v>
      </c>
    </row>
    <row r="356" spans="1:12" x14ac:dyDescent="0.3">
      <c r="A356" s="1">
        <v>45215.67291666667</v>
      </c>
      <c r="B356" t="s">
        <v>51</v>
      </c>
      <c r="C356">
        <v>117</v>
      </c>
      <c r="D356" t="s">
        <v>10</v>
      </c>
      <c r="E356" t="str">
        <f>IFERROR(VLOOKUP(logos[[#This Row],[Cell_ID]],'registe maintenance'!A:B,2,FALSE)," non répertoriées")</f>
        <v>Nord-Kivu</v>
      </c>
      <c r="F356">
        <f>IFERROR(VLOOKUP(logos[[#This Row],[Cell_ID]],'registe maintenance'!A:C,3,FALSE)," non répertoriées")</f>
        <v>-11.866133</v>
      </c>
      <c r="G356">
        <f>IFERROR(VLOOKUP(logos[[#This Row],[Cell_ID]],'registe maintenance'!A:D,4,FALSE)," non répertoriées")</f>
        <v>27.068932</v>
      </c>
      <c r="H356" t="str">
        <f>IFERROR(VLOOKUP(logos[[#This Row],[Cell_ID]],'registe maintenance'!A:E,5,FALSE)," non répertoriées")</f>
        <v>3G</v>
      </c>
      <c r="I356" t="str">
        <f>IFERROR(VLOOKUP(logos[[#This Row],[Cell_ID]],'registe maintenance'!A:F,6,FALSE)," non répertoriées")</f>
        <v>Huawei</v>
      </c>
      <c r="J356">
        <f>IFERROR(VLOOKUP(B356,'logos transformer '!A:B,2,FALSE),"na")</f>
        <v>2</v>
      </c>
      <c r="K356">
        <f>IFERROR(VLOOKUP(B356,'logos transformer '!A:C,3,FALSE),"na")</f>
        <v>142</v>
      </c>
      <c r="L356" s="1">
        <f>IFERROR(VLOOKUP(B356,'logos transformer '!A:D,4,FALSE),"na")</f>
        <v>45215.67291666667</v>
      </c>
    </row>
    <row r="357" spans="1:12" x14ac:dyDescent="0.3">
      <c r="A357" s="1">
        <v>45230.061111111107</v>
      </c>
      <c r="B357" t="s">
        <v>298</v>
      </c>
      <c r="C357">
        <v>103</v>
      </c>
      <c r="D357" t="s">
        <v>5</v>
      </c>
      <c r="E357" t="str">
        <f>IFERROR(VLOOKUP(logos[[#This Row],[Cell_ID]],'registe maintenance'!A:B,2,FALSE)," non répertoriées")</f>
        <v xml:space="preserve"> non répertoriées</v>
      </c>
      <c r="F357" t="str">
        <f>IFERROR(VLOOKUP(logos[[#This Row],[Cell_ID]],'registe maintenance'!A:C,3,FALSE)," non répertoriées")</f>
        <v xml:space="preserve"> non répertoriées</v>
      </c>
      <c r="G357" t="str">
        <f>IFERROR(VLOOKUP(logos[[#This Row],[Cell_ID]],'registe maintenance'!A:D,4,FALSE)," non répertoriées")</f>
        <v xml:space="preserve"> non répertoriées</v>
      </c>
      <c r="H357" t="str">
        <f>IFERROR(VLOOKUP(logos[[#This Row],[Cell_ID]],'registe maintenance'!A:E,5,FALSE)," non répertoriées")</f>
        <v xml:space="preserve"> non répertoriées</v>
      </c>
      <c r="I357" t="str">
        <f>IFERROR(VLOOKUP(logos[[#This Row],[Cell_ID]],'registe maintenance'!A:F,6,FALSE)," non répertoriées")</f>
        <v xml:space="preserve"> non répertoriées</v>
      </c>
      <c r="J357">
        <f>IFERROR(VLOOKUP(B357,'logos transformer '!A:B,2,FALSE),"na")</f>
        <v>2</v>
      </c>
      <c r="K357">
        <f>IFERROR(VLOOKUP(B357,'logos transformer '!A:C,3,FALSE),"na")</f>
        <v>164</v>
      </c>
      <c r="L357" s="1">
        <f>IFERROR(VLOOKUP(B357,'logos transformer '!A:D,4,FALSE),"na")</f>
        <v>45230.061111111114</v>
      </c>
    </row>
    <row r="358" spans="1:12" x14ac:dyDescent="0.3">
      <c r="A358" s="1">
        <v>45203.447916666657</v>
      </c>
      <c r="B358" t="s">
        <v>219</v>
      </c>
      <c r="C358">
        <v>84</v>
      </c>
      <c r="D358" t="s">
        <v>10</v>
      </c>
      <c r="E358" t="str">
        <f>IFERROR(VLOOKUP(logos[[#This Row],[Cell_ID]],'registe maintenance'!A:B,2,FALSE)," non répertoriées")</f>
        <v xml:space="preserve"> non répertoriées</v>
      </c>
      <c r="F358" t="str">
        <f>IFERROR(VLOOKUP(logos[[#This Row],[Cell_ID]],'registe maintenance'!A:C,3,FALSE)," non répertoriées")</f>
        <v xml:space="preserve"> non répertoriées</v>
      </c>
      <c r="G358" t="str">
        <f>IFERROR(VLOOKUP(logos[[#This Row],[Cell_ID]],'registe maintenance'!A:D,4,FALSE)," non répertoriées")</f>
        <v xml:space="preserve"> non répertoriées</v>
      </c>
      <c r="H358" t="str">
        <f>IFERROR(VLOOKUP(logos[[#This Row],[Cell_ID]],'registe maintenance'!A:E,5,FALSE)," non répertoriées")</f>
        <v xml:space="preserve"> non répertoriées</v>
      </c>
      <c r="I358" t="str">
        <f>IFERROR(VLOOKUP(logos[[#This Row],[Cell_ID]],'registe maintenance'!A:F,6,FALSE)," non répertoriées")</f>
        <v xml:space="preserve"> non répertoriées</v>
      </c>
      <c r="J358">
        <f>IFERROR(VLOOKUP(B358,'logos transformer '!A:B,2,FALSE),"na")</f>
        <v>3</v>
      </c>
      <c r="K358">
        <f>IFERROR(VLOOKUP(B358,'logos transformer '!A:C,3,FALSE),"na")</f>
        <v>195</v>
      </c>
      <c r="L358" s="1">
        <f>IFERROR(VLOOKUP(B358,'logos transformer '!A:D,4,FALSE),"na")</f>
        <v>45206.366666666669</v>
      </c>
    </row>
    <row r="359" spans="1:12" x14ac:dyDescent="0.3">
      <c r="A359" s="1">
        <v>45202.695138888892</v>
      </c>
      <c r="B359" t="s">
        <v>299</v>
      </c>
      <c r="C359">
        <v>21</v>
      </c>
      <c r="D359" t="s">
        <v>5</v>
      </c>
      <c r="E359" t="str">
        <f>IFERROR(VLOOKUP(logos[[#This Row],[Cell_ID]],'registe maintenance'!A:B,2,FALSE)," non répertoriées")</f>
        <v xml:space="preserve"> non répertoriées</v>
      </c>
      <c r="F359" t="str">
        <f>IFERROR(VLOOKUP(logos[[#This Row],[Cell_ID]],'registe maintenance'!A:C,3,FALSE)," non répertoriées")</f>
        <v xml:space="preserve"> non répertoriées</v>
      </c>
      <c r="G359" t="str">
        <f>IFERROR(VLOOKUP(logos[[#This Row],[Cell_ID]],'registe maintenance'!A:D,4,FALSE)," non répertoriées")</f>
        <v xml:space="preserve"> non répertoriées</v>
      </c>
      <c r="H359" t="str">
        <f>IFERROR(VLOOKUP(logos[[#This Row],[Cell_ID]],'registe maintenance'!A:E,5,FALSE)," non répertoriées")</f>
        <v xml:space="preserve"> non répertoriées</v>
      </c>
      <c r="I359" t="str">
        <f>IFERROR(VLOOKUP(logos[[#This Row],[Cell_ID]],'registe maintenance'!A:F,6,FALSE)," non répertoriées")</f>
        <v xml:space="preserve"> non répertoriées</v>
      </c>
      <c r="J359">
        <f>IFERROR(VLOOKUP(B359,'logos transformer '!A:B,2,FALSE),"na")</f>
        <v>3</v>
      </c>
      <c r="K359">
        <f>IFERROR(VLOOKUP(B359,'logos transformer '!A:C,3,FALSE),"na")</f>
        <v>209</v>
      </c>
      <c r="L359" s="1">
        <f>IFERROR(VLOOKUP(B359,'logos transformer '!A:D,4,FALSE),"na")</f>
        <v>45202.695138888892</v>
      </c>
    </row>
    <row r="360" spans="1:12" x14ac:dyDescent="0.3">
      <c r="A360" s="1">
        <v>45205.052083333343</v>
      </c>
      <c r="B360" t="s">
        <v>300</v>
      </c>
      <c r="C360">
        <v>81</v>
      </c>
      <c r="D360" t="s">
        <v>10</v>
      </c>
      <c r="E360" t="str">
        <f>IFERROR(VLOOKUP(logos[[#This Row],[Cell_ID]],'registe maintenance'!A:B,2,FALSE)," non répertoriées")</f>
        <v>Kasai</v>
      </c>
      <c r="F360">
        <f>IFERROR(VLOOKUP(logos[[#This Row],[Cell_ID]],'registe maintenance'!A:C,3,FALSE)," non répertoriées")</f>
        <v>1.5802860000000001</v>
      </c>
      <c r="G360">
        <f>IFERROR(VLOOKUP(logos[[#This Row],[Cell_ID]],'registe maintenance'!A:D,4,FALSE)," non répertoriées")</f>
        <v>20.99053</v>
      </c>
      <c r="H360" t="str">
        <f>IFERROR(VLOOKUP(logos[[#This Row],[Cell_ID]],'registe maintenance'!A:E,5,FALSE)," non répertoriées")</f>
        <v>4G</v>
      </c>
      <c r="I360" t="str">
        <f>IFERROR(VLOOKUP(logos[[#This Row],[Cell_ID]],'registe maintenance'!A:F,6,FALSE)," non répertoriées")</f>
        <v>ZTE</v>
      </c>
      <c r="J360">
        <f>IFERROR(VLOOKUP(B360,'logos transformer '!A:B,2,FALSE),"na")</f>
        <v>2</v>
      </c>
      <c r="K360">
        <f>IFERROR(VLOOKUP(B360,'logos transformer '!A:C,3,FALSE),"na")</f>
        <v>103</v>
      </c>
      <c r="L360" s="1">
        <f>IFERROR(VLOOKUP(B360,'logos transformer '!A:D,4,FALSE),"na")</f>
        <v>45220.927777777775</v>
      </c>
    </row>
    <row r="361" spans="1:12" x14ac:dyDescent="0.3">
      <c r="A361" s="1">
        <v>45222.602777777778</v>
      </c>
      <c r="B361" t="s">
        <v>301</v>
      </c>
      <c r="C361">
        <v>53</v>
      </c>
      <c r="D361" t="s">
        <v>8</v>
      </c>
      <c r="E361" t="str">
        <f>IFERROR(VLOOKUP(logos[[#This Row],[Cell_ID]],'registe maintenance'!A:B,2,FALSE)," non répertoriées")</f>
        <v xml:space="preserve"> non répertoriées</v>
      </c>
      <c r="F361" t="str">
        <f>IFERROR(VLOOKUP(logos[[#This Row],[Cell_ID]],'registe maintenance'!A:C,3,FALSE)," non répertoriées")</f>
        <v xml:space="preserve"> non répertoriées</v>
      </c>
      <c r="G361" t="str">
        <f>IFERROR(VLOOKUP(logos[[#This Row],[Cell_ID]],'registe maintenance'!A:D,4,FALSE)," non répertoriées")</f>
        <v xml:space="preserve"> non répertoriées</v>
      </c>
      <c r="H361" t="str">
        <f>IFERROR(VLOOKUP(logos[[#This Row],[Cell_ID]],'registe maintenance'!A:E,5,FALSE)," non répertoriées")</f>
        <v xml:space="preserve"> non répertoriées</v>
      </c>
      <c r="I361" t="str">
        <f>IFERROR(VLOOKUP(logos[[#This Row],[Cell_ID]],'registe maintenance'!A:F,6,FALSE)," non répertoriées")</f>
        <v xml:space="preserve"> non répertoriées</v>
      </c>
      <c r="J361">
        <f>IFERROR(VLOOKUP(B361,'logos transformer '!A:B,2,FALSE),"na")</f>
        <v>1</v>
      </c>
      <c r="K361">
        <f>IFERROR(VLOOKUP(B361,'logos transformer '!A:C,3,FALSE),"na")</f>
        <v>53</v>
      </c>
      <c r="L361" s="1">
        <f>IFERROR(VLOOKUP(B361,'logos transformer '!A:D,4,FALSE),"na")</f>
        <v>45222.602777777778</v>
      </c>
    </row>
    <row r="362" spans="1:12" x14ac:dyDescent="0.3">
      <c r="A362" s="1">
        <v>45216.693749999999</v>
      </c>
      <c r="B362" t="s">
        <v>122</v>
      </c>
      <c r="C362">
        <v>24</v>
      </c>
      <c r="D362" t="s">
        <v>10</v>
      </c>
      <c r="E362" t="str">
        <f>IFERROR(VLOOKUP(logos[[#This Row],[Cell_ID]],'registe maintenance'!A:B,2,FALSE)," non répertoriées")</f>
        <v>Haut-Uele</v>
      </c>
      <c r="F362">
        <f>IFERROR(VLOOKUP(logos[[#This Row],[Cell_ID]],'registe maintenance'!A:C,3,FALSE)," non répertoriées")</f>
        <v>-12.100756000000001</v>
      </c>
      <c r="G362">
        <f>IFERROR(VLOOKUP(logos[[#This Row],[Cell_ID]],'registe maintenance'!A:D,4,FALSE)," non répertoriées")</f>
        <v>21.938649999999999</v>
      </c>
      <c r="H362" t="str">
        <f>IFERROR(VLOOKUP(logos[[#This Row],[Cell_ID]],'registe maintenance'!A:E,5,FALSE)," non répertoriées")</f>
        <v>4G</v>
      </c>
      <c r="I362" t="str">
        <f>IFERROR(VLOOKUP(logos[[#This Row],[Cell_ID]],'registe maintenance'!A:F,6,FALSE)," non répertoriées")</f>
        <v>Huawei</v>
      </c>
      <c r="J362">
        <f>IFERROR(VLOOKUP(B362,'logos transformer '!A:B,2,FALSE),"na")</f>
        <v>2</v>
      </c>
      <c r="K362">
        <f>IFERROR(VLOOKUP(B362,'logos transformer '!A:C,3,FALSE),"na")</f>
        <v>100</v>
      </c>
      <c r="L362" s="1">
        <f>IFERROR(VLOOKUP(B362,'logos transformer '!A:D,4,FALSE),"na")</f>
        <v>45216.693749999999</v>
      </c>
    </row>
    <row r="363" spans="1:12" x14ac:dyDescent="0.3">
      <c r="A363" s="1">
        <v>45205.474305555559</v>
      </c>
      <c r="B363" t="s">
        <v>302</v>
      </c>
      <c r="C363">
        <v>25</v>
      </c>
      <c r="D363" t="s">
        <v>5</v>
      </c>
      <c r="E363" t="str">
        <f>IFERROR(VLOOKUP(logos[[#This Row],[Cell_ID]],'registe maintenance'!A:B,2,FALSE)," non répertoriées")</f>
        <v>Haut-Uele</v>
      </c>
      <c r="F363">
        <f>IFERROR(VLOOKUP(logos[[#This Row],[Cell_ID]],'registe maintenance'!A:C,3,FALSE)," non répertoriées")</f>
        <v>-1.013558</v>
      </c>
      <c r="G363">
        <f>IFERROR(VLOOKUP(logos[[#This Row],[Cell_ID]],'registe maintenance'!A:D,4,FALSE)," non répertoriées")</f>
        <v>17.346937</v>
      </c>
      <c r="H363" t="str">
        <f>IFERROR(VLOOKUP(logos[[#This Row],[Cell_ID]],'registe maintenance'!A:E,5,FALSE)," non répertoriées")</f>
        <v>5G</v>
      </c>
      <c r="I363" t="str">
        <f>IFERROR(VLOOKUP(logos[[#This Row],[Cell_ID]],'registe maintenance'!A:F,6,FALSE)," non répertoriées")</f>
        <v>Huawei</v>
      </c>
      <c r="J363">
        <f>IFERROR(VLOOKUP(B363,'logos transformer '!A:B,2,FALSE),"na")</f>
        <v>1</v>
      </c>
      <c r="K363">
        <f>IFERROR(VLOOKUP(B363,'logos transformer '!A:C,3,FALSE),"na")</f>
        <v>25</v>
      </c>
      <c r="L363" s="1">
        <f>IFERROR(VLOOKUP(B363,'logos transformer '!A:D,4,FALSE),"na")</f>
        <v>45205.474305555559</v>
      </c>
    </row>
    <row r="364" spans="1:12" x14ac:dyDescent="0.3">
      <c r="A364" s="1">
        <v>45229.39166666667</v>
      </c>
      <c r="B364" t="s">
        <v>303</v>
      </c>
      <c r="C364">
        <v>28</v>
      </c>
      <c r="D364" t="s">
        <v>10</v>
      </c>
      <c r="E364" t="str">
        <f>IFERROR(VLOOKUP(logos[[#This Row],[Cell_ID]],'registe maintenance'!A:B,2,FALSE)," non répertoriées")</f>
        <v>Lualaba</v>
      </c>
      <c r="F364">
        <f>IFERROR(VLOOKUP(logos[[#This Row],[Cell_ID]],'registe maintenance'!A:C,3,FALSE)," non répertoriées")</f>
        <v>-10.967288</v>
      </c>
      <c r="G364">
        <f>IFERROR(VLOOKUP(logos[[#This Row],[Cell_ID]],'registe maintenance'!A:D,4,FALSE)," non répertoriées")</f>
        <v>17.617781000000001</v>
      </c>
      <c r="H364" t="str">
        <f>IFERROR(VLOOKUP(logos[[#This Row],[Cell_ID]],'registe maintenance'!A:E,5,FALSE)," non répertoriées")</f>
        <v>4G</v>
      </c>
      <c r="I364" t="str">
        <f>IFERROR(VLOOKUP(logos[[#This Row],[Cell_ID]],'registe maintenance'!A:F,6,FALSE)," non répertoriées")</f>
        <v>Ericsson</v>
      </c>
      <c r="J364">
        <f>IFERROR(VLOOKUP(B364,'logos transformer '!A:B,2,FALSE),"na")</f>
        <v>3</v>
      </c>
      <c r="K364">
        <f>IFERROR(VLOOKUP(B364,'logos transformer '!A:C,3,FALSE),"na")</f>
        <v>133</v>
      </c>
      <c r="L364" s="1">
        <f>IFERROR(VLOOKUP(B364,'logos transformer '!A:D,4,FALSE),"na")</f>
        <v>45229.39166666667</v>
      </c>
    </row>
    <row r="365" spans="1:12" x14ac:dyDescent="0.3">
      <c r="A365" s="1">
        <v>45213.446527777778</v>
      </c>
      <c r="B365" t="s">
        <v>304</v>
      </c>
      <c r="C365">
        <v>111</v>
      </c>
      <c r="D365" t="s">
        <v>5</v>
      </c>
      <c r="E365" t="str">
        <f>IFERROR(VLOOKUP(logos[[#This Row],[Cell_ID]],'registe maintenance'!A:B,2,FALSE)," non répertoriées")</f>
        <v xml:space="preserve"> non répertoriées</v>
      </c>
      <c r="F365" t="str">
        <f>IFERROR(VLOOKUP(logos[[#This Row],[Cell_ID]],'registe maintenance'!A:C,3,FALSE)," non répertoriées")</f>
        <v xml:space="preserve"> non répertoriées</v>
      </c>
      <c r="G365" t="str">
        <f>IFERROR(VLOOKUP(logos[[#This Row],[Cell_ID]],'registe maintenance'!A:D,4,FALSE)," non répertoriées")</f>
        <v xml:space="preserve"> non répertoriées</v>
      </c>
      <c r="H365" t="str">
        <f>IFERROR(VLOOKUP(logos[[#This Row],[Cell_ID]],'registe maintenance'!A:E,5,FALSE)," non répertoriées")</f>
        <v xml:space="preserve"> non répertoriées</v>
      </c>
      <c r="I365" t="str">
        <f>IFERROR(VLOOKUP(logos[[#This Row],[Cell_ID]],'registe maintenance'!A:F,6,FALSE)," non répertoriées")</f>
        <v xml:space="preserve"> non répertoriées</v>
      </c>
      <c r="J365">
        <f>IFERROR(VLOOKUP(B365,'logos transformer '!A:B,2,FALSE),"na")</f>
        <v>2</v>
      </c>
      <c r="K365">
        <f>IFERROR(VLOOKUP(B365,'logos transformer '!A:C,3,FALSE),"na")</f>
        <v>133</v>
      </c>
      <c r="L365" s="1">
        <f>IFERROR(VLOOKUP(B365,'logos transformer '!A:D,4,FALSE),"na")</f>
        <v>45213.446527777778</v>
      </c>
    </row>
    <row r="366" spans="1:12" x14ac:dyDescent="0.3">
      <c r="A366" s="1">
        <v>45219.076388888891</v>
      </c>
      <c r="B366" t="s">
        <v>305</v>
      </c>
      <c r="C366">
        <v>93</v>
      </c>
      <c r="D366" t="s">
        <v>10</v>
      </c>
      <c r="E366" t="str">
        <f>IFERROR(VLOOKUP(logos[[#This Row],[Cell_ID]],'registe maintenance'!A:B,2,FALSE)," non répertoriées")</f>
        <v xml:space="preserve"> non répertoriées</v>
      </c>
      <c r="F366" t="str">
        <f>IFERROR(VLOOKUP(logos[[#This Row],[Cell_ID]],'registe maintenance'!A:C,3,FALSE)," non répertoriées")</f>
        <v xml:space="preserve"> non répertoriées</v>
      </c>
      <c r="G366" t="str">
        <f>IFERROR(VLOOKUP(logos[[#This Row],[Cell_ID]],'registe maintenance'!A:D,4,FALSE)," non répertoriées")</f>
        <v xml:space="preserve"> non répertoriées</v>
      </c>
      <c r="H366" t="str">
        <f>IFERROR(VLOOKUP(logos[[#This Row],[Cell_ID]],'registe maintenance'!A:E,5,FALSE)," non répertoriées")</f>
        <v xml:space="preserve"> non répertoriées</v>
      </c>
      <c r="I366" t="str">
        <f>IFERROR(VLOOKUP(logos[[#This Row],[Cell_ID]],'registe maintenance'!A:F,6,FALSE)," non répertoriées")</f>
        <v xml:space="preserve"> non répertoriées</v>
      </c>
      <c r="J366">
        <f>IFERROR(VLOOKUP(B366,'logos transformer '!A:B,2,FALSE),"na")</f>
        <v>3</v>
      </c>
      <c r="K366">
        <f>IFERROR(VLOOKUP(B366,'logos transformer '!A:C,3,FALSE),"na")</f>
        <v>204</v>
      </c>
      <c r="L366" s="1">
        <f>IFERROR(VLOOKUP(B366,'logos transformer '!A:D,4,FALSE),"na")</f>
        <v>45219.076388888891</v>
      </c>
    </row>
    <row r="367" spans="1:12" x14ac:dyDescent="0.3">
      <c r="A367" s="1">
        <v>45220.847916666673</v>
      </c>
      <c r="B367" t="s">
        <v>269</v>
      </c>
      <c r="C367">
        <v>103</v>
      </c>
      <c r="D367" t="s">
        <v>5</v>
      </c>
      <c r="E367" t="str">
        <f>IFERROR(VLOOKUP(logos[[#This Row],[Cell_ID]],'registe maintenance'!A:B,2,FALSE)," non répertoriées")</f>
        <v>Kongo-Central</v>
      </c>
      <c r="F367">
        <f>IFERROR(VLOOKUP(logos[[#This Row],[Cell_ID]],'registe maintenance'!A:C,3,FALSE)," non répertoriées")</f>
        <v>-12.112399999999999</v>
      </c>
      <c r="G367">
        <f>IFERROR(VLOOKUP(logos[[#This Row],[Cell_ID]],'registe maintenance'!A:D,4,FALSE)," non répertoriées")</f>
        <v>15.872226</v>
      </c>
      <c r="H367" t="str">
        <f>IFERROR(VLOOKUP(logos[[#This Row],[Cell_ID]],'registe maintenance'!A:E,5,FALSE)," non répertoriées")</f>
        <v>4G</v>
      </c>
      <c r="I367" t="str">
        <f>IFERROR(VLOOKUP(logos[[#This Row],[Cell_ID]],'registe maintenance'!A:F,6,FALSE)," non répertoriées")</f>
        <v>Nokia</v>
      </c>
      <c r="J367">
        <f>IFERROR(VLOOKUP(B367,'logos transformer '!A:B,2,FALSE),"na")</f>
        <v>4</v>
      </c>
      <c r="K367">
        <f>IFERROR(VLOOKUP(B367,'logos transformer '!A:C,3,FALSE),"na")</f>
        <v>237</v>
      </c>
      <c r="L367" s="1">
        <f>IFERROR(VLOOKUP(B367,'logos transformer '!A:D,4,FALSE),"na")</f>
        <v>45220.847916666666</v>
      </c>
    </row>
    <row r="368" spans="1:12" x14ac:dyDescent="0.3">
      <c r="A368" s="1">
        <v>45202.42083333333</v>
      </c>
      <c r="B368" t="s">
        <v>30</v>
      </c>
      <c r="C368">
        <v>84</v>
      </c>
      <c r="D368" t="s">
        <v>5</v>
      </c>
      <c r="E368" t="str">
        <f>IFERROR(VLOOKUP(logos[[#This Row],[Cell_ID]],'registe maintenance'!A:B,2,FALSE)," non répertoriées")</f>
        <v>Sud-Ubangi</v>
      </c>
      <c r="F368">
        <f>IFERROR(VLOOKUP(logos[[#This Row],[Cell_ID]],'registe maintenance'!A:C,3,FALSE)," non répertoriées")</f>
        <v>-10.56448</v>
      </c>
      <c r="G368">
        <f>IFERROR(VLOOKUP(logos[[#This Row],[Cell_ID]],'registe maintenance'!A:D,4,FALSE)," non répertoriées")</f>
        <v>19.792876</v>
      </c>
      <c r="H368" t="str">
        <f>IFERROR(VLOOKUP(logos[[#This Row],[Cell_ID]],'registe maintenance'!A:E,5,FALSE)," non répertoriées")</f>
        <v>5G</v>
      </c>
      <c r="I368" t="str">
        <f>IFERROR(VLOOKUP(logos[[#This Row],[Cell_ID]],'registe maintenance'!A:F,6,FALSE)," non répertoriées")</f>
        <v>Ericsson</v>
      </c>
      <c r="J368">
        <f>IFERROR(VLOOKUP(B368,'logos transformer '!A:B,2,FALSE),"na")</f>
        <v>3</v>
      </c>
      <c r="K368">
        <f>IFERROR(VLOOKUP(B368,'logos transformer '!A:C,3,FALSE),"na")</f>
        <v>185</v>
      </c>
      <c r="L368" s="1">
        <f>IFERROR(VLOOKUP(B368,'logos transformer '!A:D,4,FALSE),"na")</f>
        <v>45229.595833333333</v>
      </c>
    </row>
    <row r="369" spans="1:12" x14ac:dyDescent="0.3">
      <c r="A369" s="1">
        <v>45217.89166666667</v>
      </c>
      <c r="B369" t="s">
        <v>306</v>
      </c>
      <c r="C369">
        <v>108</v>
      </c>
      <c r="D369" t="s">
        <v>10</v>
      </c>
      <c r="E369" t="str">
        <f>IFERROR(VLOOKUP(logos[[#This Row],[Cell_ID]],'registe maintenance'!A:B,2,FALSE)," non répertoriées")</f>
        <v>Mongala</v>
      </c>
      <c r="F369">
        <f>IFERROR(VLOOKUP(logos[[#This Row],[Cell_ID]],'registe maintenance'!A:C,3,FALSE)," non répertoriées")</f>
        <v>-5.3762689999999997</v>
      </c>
      <c r="G369">
        <f>IFERROR(VLOOKUP(logos[[#This Row],[Cell_ID]],'registe maintenance'!A:D,4,FALSE)," non répertoriées")</f>
        <v>28.189575999999999</v>
      </c>
      <c r="H369" t="str">
        <f>IFERROR(VLOOKUP(logos[[#This Row],[Cell_ID]],'registe maintenance'!A:E,5,FALSE)," non répertoriées")</f>
        <v>5G</v>
      </c>
      <c r="I369" t="str">
        <f>IFERROR(VLOOKUP(logos[[#This Row],[Cell_ID]],'registe maintenance'!A:F,6,FALSE)," non répertoriées")</f>
        <v>Huawei</v>
      </c>
      <c r="J369">
        <f>IFERROR(VLOOKUP(B369,'logos transformer '!A:B,2,FALSE),"na")</f>
        <v>4</v>
      </c>
      <c r="K369">
        <f>IFERROR(VLOOKUP(B369,'logos transformer '!A:C,3,FALSE),"na")</f>
        <v>237</v>
      </c>
      <c r="L369" s="1">
        <f>IFERROR(VLOOKUP(B369,'logos transformer '!A:D,4,FALSE),"na")</f>
        <v>45223.759722222225</v>
      </c>
    </row>
    <row r="370" spans="1:12" x14ac:dyDescent="0.3">
      <c r="A370" s="1">
        <v>45209.365277777782</v>
      </c>
      <c r="B370" t="s">
        <v>307</v>
      </c>
      <c r="C370">
        <v>120</v>
      </c>
      <c r="D370" t="s">
        <v>5</v>
      </c>
      <c r="E370" t="str">
        <f>IFERROR(VLOOKUP(logos[[#This Row],[Cell_ID]],'registe maintenance'!A:B,2,FALSE)," non répertoriées")</f>
        <v>Sankuru</v>
      </c>
      <c r="F370">
        <f>IFERROR(VLOOKUP(logos[[#This Row],[Cell_ID]],'registe maintenance'!A:C,3,FALSE)," non répertoriées")</f>
        <v>-1.4110389999999999</v>
      </c>
      <c r="G370">
        <f>IFERROR(VLOOKUP(logos[[#This Row],[Cell_ID]],'registe maintenance'!A:D,4,FALSE)," non répertoriées")</f>
        <v>21.261644</v>
      </c>
      <c r="H370" t="str">
        <f>IFERROR(VLOOKUP(logos[[#This Row],[Cell_ID]],'registe maintenance'!A:E,5,FALSE)," non répertoriées")</f>
        <v>4G</v>
      </c>
      <c r="I370" t="str">
        <f>IFERROR(VLOOKUP(logos[[#This Row],[Cell_ID]],'registe maintenance'!A:F,6,FALSE)," non répertoriées")</f>
        <v>ZTE</v>
      </c>
      <c r="J370">
        <f>IFERROR(VLOOKUP(B370,'logos transformer '!A:B,2,FALSE),"na")</f>
        <v>3</v>
      </c>
      <c r="K370">
        <f>IFERROR(VLOOKUP(B370,'logos transformer '!A:C,3,FALSE),"na")</f>
        <v>270</v>
      </c>
      <c r="L370" s="1">
        <f>IFERROR(VLOOKUP(B370,'logos transformer '!A:D,4,FALSE),"na")</f>
        <v>45215.990277777775</v>
      </c>
    </row>
    <row r="371" spans="1:12" x14ac:dyDescent="0.3">
      <c r="A371" s="1">
        <v>45227.915277777778</v>
      </c>
      <c r="B371" t="s">
        <v>271</v>
      </c>
      <c r="C371">
        <v>26</v>
      </c>
      <c r="D371" t="s">
        <v>8</v>
      </c>
      <c r="E371" t="str">
        <f>IFERROR(VLOOKUP(logos[[#This Row],[Cell_ID]],'registe maintenance'!A:B,2,FALSE)," non répertoriées")</f>
        <v>Ituri</v>
      </c>
      <c r="F371">
        <f>IFERROR(VLOOKUP(logos[[#This Row],[Cell_ID]],'registe maintenance'!A:C,3,FALSE)," non répertoriées")</f>
        <v>-3.7720639999999999</v>
      </c>
      <c r="G371">
        <f>IFERROR(VLOOKUP(logos[[#This Row],[Cell_ID]],'registe maintenance'!A:D,4,FALSE)," non répertoriées")</f>
        <v>16.006277999999998</v>
      </c>
      <c r="H371" t="str">
        <f>IFERROR(VLOOKUP(logos[[#This Row],[Cell_ID]],'registe maintenance'!A:E,5,FALSE)," non répertoriées")</f>
        <v>5G</v>
      </c>
      <c r="I371" t="str">
        <f>IFERROR(VLOOKUP(logos[[#This Row],[Cell_ID]],'registe maintenance'!A:F,6,FALSE)," non répertoriées")</f>
        <v>ZTE</v>
      </c>
      <c r="J371">
        <f>IFERROR(VLOOKUP(B371,'logos transformer '!A:B,2,FALSE),"na")</f>
        <v>3</v>
      </c>
      <c r="K371">
        <f>IFERROR(VLOOKUP(B371,'logos transformer '!A:C,3,FALSE),"na")</f>
        <v>176</v>
      </c>
      <c r="L371" s="1">
        <f>IFERROR(VLOOKUP(B371,'logos transformer '!A:D,4,FALSE),"na")</f>
        <v>45227.915277777778</v>
      </c>
    </row>
    <row r="372" spans="1:12" x14ac:dyDescent="0.3">
      <c r="A372" s="1">
        <v>45219.181250000001</v>
      </c>
      <c r="B372" t="s">
        <v>262</v>
      </c>
      <c r="C372">
        <v>97</v>
      </c>
      <c r="D372" t="s">
        <v>8</v>
      </c>
      <c r="E372" t="str">
        <f>IFERROR(VLOOKUP(logos[[#This Row],[Cell_ID]],'registe maintenance'!A:B,2,FALSE)," non répertoriées")</f>
        <v>Nord-Kivu</v>
      </c>
      <c r="F372">
        <f>IFERROR(VLOOKUP(logos[[#This Row],[Cell_ID]],'registe maintenance'!A:C,3,FALSE)," non répertoriées")</f>
        <v>-4.1754939999999996</v>
      </c>
      <c r="G372">
        <f>IFERROR(VLOOKUP(logos[[#This Row],[Cell_ID]],'registe maintenance'!A:D,4,FALSE)," non répertoriées")</f>
        <v>16.704664999999999</v>
      </c>
      <c r="H372" t="str">
        <f>IFERROR(VLOOKUP(logos[[#This Row],[Cell_ID]],'registe maintenance'!A:E,5,FALSE)," non répertoriées")</f>
        <v>3G</v>
      </c>
      <c r="I372" t="str">
        <f>IFERROR(VLOOKUP(logos[[#This Row],[Cell_ID]],'registe maintenance'!A:F,6,FALSE)," non répertoriées")</f>
        <v>Ericsson</v>
      </c>
      <c r="J372">
        <f>IFERROR(VLOOKUP(B372,'logos transformer '!A:B,2,FALSE),"na")</f>
        <v>2</v>
      </c>
      <c r="K372">
        <f>IFERROR(VLOOKUP(B372,'logos transformer '!A:C,3,FALSE),"na")</f>
        <v>105</v>
      </c>
      <c r="L372" s="1">
        <f>IFERROR(VLOOKUP(B372,'logos transformer '!A:D,4,FALSE),"na")</f>
        <v>45219.181250000001</v>
      </c>
    </row>
    <row r="373" spans="1:12" x14ac:dyDescent="0.3">
      <c r="A373" s="1">
        <v>45202.779166666667</v>
      </c>
      <c r="B373" t="s">
        <v>308</v>
      </c>
      <c r="C373">
        <v>61</v>
      </c>
      <c r="D373" t="s">
        <v>10</v>
      </c>
      <c r="E373" t="str">
        <f>IFERROR(VLOOKUP(logos[[#This Row],[Cell_ID]],'registe maintenance'!A:B,2,FALSE)," non répertoriées")</f>
        <v>Tanganyika</v>
      </c>
      <c r="F373">
        <f>IFERROR(VLOOKUP(logos[[#This Row],[Cell_ID]],'registe maintenance'!A:C,3,FALSE)," non répertoriées")</f>
        <v>-12.229338</v>
      </c>
      <c r="G373">
        <f>IFERROR(VLOOKUP(logos[[#This Row],[Cell_ID]],'registe maintenance'!A:D,4,FALSE)," non répertoriées")</f>
        <v>29.587834999999998</v>
      </c>
      <c r="H373" t="str">
        <f>IFERROR(VLOOKUP(logos[[#This Row],[Cell_ID]],'registe maintenance'!A:E,5,FALSE)," non répertoriées")</f>
        <v>4G</v>
      </c>
      <c r="I373" t="str">
        <f>IFERROR(VLOOKUP(logos[[#This Row],[Cell_ID]],'registe maintenance'!A:F,6,FALSE)," non répertoriées")</f>
        <v>Nokia</v>
      </c>
      <c r="J373">
        <f>IFERROR(VLOOKUP(B373,'logos transformer '!A:B,2,FALSE),"na")</f>
        <v>1</v>
      </c>
      <c r="K373">
        <f>IFERROR(VLOOKUP(B373,'logos transformer '!A:C,3,FALSE),"na")</f>
        <v>61</v>
      </c>
      <c r="L373" s="1">
        <f>IFERROR(VLOOKUP(B373,'logos transformer '!A:D,4,FALSE),"na")</f>
        <v>45202.779166666667</v>
      </c>
    </row>
    <row r="374" spans="1:12" x14ac:dyDescent="0.3">
      <c r="A374" s="1">
        <v>45204.47152777778</v>
      </c>
      <c r="B374" t="s">
        <v>309</v>
      </c>
      <c r="C374">
        <v>10</v>
      </c>
      <c r="D374" t="s">
        <v>5</v>
      </c>
      <c r="E374" t="str">
        <f>IFERROR(VLOOKUP(logos[[#This Row],[Cell_ID]],'registe maintenance'!A:B,2,FALSE)," non répertoriées")</f>
        <v>Nord-Kivu</v>
      </c>
      <c r="F374">
        <f>IFERROR(VLOOKUP(logos[[#This Row],[Cell_ID]],'registe maintenance'!A:C,3,FALSE)," non répertoriées")</f>
        <v>4.9455159999999996</v>
      </c>
      <c r="G374">
        <f>IFERROR(VLOOKUP(logos[[#This Row],[Cell_ID]],'registe maintenance'!A:D,4,FALSE)," non répertoriées")</f>
        <v>23.647746000000001</v>
      </c>
      <c r="H374" t="str">
        <f>IFERROR(VLOOKUP(logos[[#This Row],[Cell_ID]],'registe maintenance'!A:E,5,FALSE)," non répertoriées")</f>
        <v>5G</v>
      </c>
      <c r="I374" t="str">
        <f>IFERROR(VLOOKUP(logos[[#This Row],[Cell_ID]],'registe maintenance'!A:F,6,FALSE)," non répertoriées")</f>
        <v>Huawei</v>
      </c>
      <c r="J374">
        <f>IFERROR(VLOOKUP(B374,'logos transformer '!A:B,2,FALSE),"na")</f>
        <v>1</v>
      </c>
      <c r="K374">
        <f>IFERROR(VLOOKUP(B374,'logos transformer '!A:C,3,FALSE),"na")</f>
        <v>10</v>
      </c>
      <c r="L374" s="1">
        <f>IFERROR(VLOOKUP(B374,'logos transformer '!A:D,4,FALSE),"na")</f>
        <v>45204.47152777778</v>
      </c>
    </row>
    <row r="375" spans="1:12" x14ac:dyDescent="0.3">
      <c r="A375" s="1">
        <v>45230.863888888889</v>
      </c>
      <c r="B375" t="s">
        <v>310</v>
      </c>
      <c r="C375">
        <v>57</v>
      </c>
      <c r="D375" t="s">
        <v>5</v>
      </c>
      <c r="E375" t="str">
        <f>IFERROR(VLOOKUP(logos[[#This Row],[Cell_ID]],'registe maintenance'!A:B,2,FALSE)," non répertoriées")</f>
        <v>Sud-Kivu</v>
      </c>
      <c r="F375">
        <f>IFERROR(VLOOKUP(logos[[#This Row],[Cell_ID]],'registe maintenance'!A:C,3,FALSE)," non répertoriées")</f>
        <v>-4.1694589999999998</v>
      </c>
      <c r="G375">
        <f>IFERROR(VLOOKUP(logos[[#This Row],[Cell_ID]],'registe maintenance'!A:D,4,FALSE)," non répertoriées")</f>
        <v>23.376487000000001</v>
      </c>
      <c r="H375" t="str">
        <f>IFERROR(VLOOKUP(logos[[#This Row],[Cell_ID]],'registe maintenance'!A:E,5,FALSE)," non répertoriées")</f>
        <v>3G</v>
      </c>
      <c r="I375" t="str">
        <f>IFERROR(VLOOKUP(logos[[#This Row],[Cell_ID]],'registe maintenance'!A:F,6,FALSE)," non répertoriées")</f>
        <v>Nokia</v>
      </c>
      <c r="J375">
        <f>IFERROR(VLOOKUP(B375,'logos transformer '!A:B,2,FALSE),"na")</f>
        <v>2</v>
      </c>
      <c r="K375">
        <f>IFERROR(VLOOKUP(B375,'logos transformer '!A:C,3,FALSE),"na")</f>
        <v>177</v>
      </c>
      <c r="L375" s="1">
        <f>IFERROR(VLOOKUP(B375,'logos transformer '!A:D,4,FALSE),"na")</f>
        <v>45230.863888888889</v>
      </c>
    </row>
    <row r="376" spans="1:12" x14ac:dyDescent="0.3">
      <c r="A376" s="1">
        <v>45221.505555555559</v>
      </c>
      <c r="B376" t="s">
        <v>311</v>
      </c>
      <c r="C376">
        <v>51</v>
      </c>
      <c r="D376" t="s">
        <v>5</v>
      </c>
      <c r="E376" t="str">
        <f>IFERROR(VLOOKUP(logos[[#This Row],[Cell_ID]],'registe maintenance'!A:B,2,FALSE)," non répertoriées")</f>
        <v>Mongala</v>
      </c>
      <c r="F376">
        <f>IFERROR(VLOOKUP(logos[[#This Row],[Cell_ID]],'registe maintenance'!A:C,3,FALSE)," non répertoriées")</f>
        <v>-1.231033</v>
      </c>
      <c r="G376">
        <f>IFERROR(VLOOKUP(logos[[#This Row],[Cell_ID]],'registe maintenance'!A:D,4,FALSE)," non répertoriées")</f>
        <v>28.851388</v>
      </c>
      <c r="H376" t="str">
        <f>IFERROR(VLOOKUP(logos[[#This Row],[Cell_ID]],'registe maintenance'!A:E,5,FALSE)," non répertoriées")</f>
        <v>3G</v>
      </c>
      <c r="I376" t="str">
        <f>IFERROR(VLOOKUP(logos[[#This Row],[Cell_ID]],'registe maintenance'!A:F,6,FALSE)," non répertoriées")</f>
        <v>Ericsson</v>
      </c>
      <c r="J376">
        <f>IFERROR(VLOOKUP(B376,'logos transformer '!A:B,2,FALSE),"na")</f>
        <v>2</v>
      </c>
      <c r="K376">
        <f>IFERROR(VLOOKUP(B376,'logos transformer '!A:C,3,FALSE),"na")</f>
        <v>92</v>
      </c>
      <c r="L376" s="1">
        <f>IFERROR(VLOOKUP(B376,'logos transformer '!A:D,4,FALSE),"na")</f>
        <v>45223.400694444441</v>
      </c>
    </row>
    <row r="377" spans="1:12" x14ac:dyDescent="0.3">
      <c r="A377" s="1">
        <v>45219.920138888891</v>
      </c>
      <c r="B377" t="s">
        <v>312</v>
      </c>
      <c r="C377">
        <v>91</v>
      </c>
      <c r="D377" t="s">
        <v>10</v>
      </c>
      <c r="E377" t="str">
        <f>IFERROR(VLOOKUP(logos[[#This Row],[Cell_ID]],'registe maintenance'!A:B,2,FALSE)," non répertoriées")</f>
        <v xml:space="preserve"> non répertoriées</v>
      </c>
      <c r="F377" t="str">
        <f>IFERROR(VLOOKUP(logos[[#This Row],[Cell_ID]],'registe maintenance'!A:C,3,FALSE)," non répertoriées")</f>
        <v xml:space="preserve"> non répertoriées</v>
      </c>
      <c r="G377" t="str">
        <f>IFERROR(VLOOKUP(logos[[#This Row],[Cell_ID]],'registe maintenance'!A:D,4,FALSE)," non répertoriées")</f>
        <v xml:space="preserve"> non répertoriées</v>
      </c>
      <c r="H377" t="str">
        <f>IFERROR(VLOOKUP(logos[[#This Row],[Cell_ID]],'registe maintenance'!A:E,5,FALSE)," non répertoriées")</f>
        <v xml:space="preserve"> non répertoriées</v>
      </c>
      <c r="I377" t="str">
        <f>IFERROR(VLOOKUP(logos[[#This Row],[Cell_ID]],'registe maintenance'!A:F,6,FALSE)," non répertoriées")</f>
        <v xml:space="preserve"> non répertoriées</v>
      </c>
      <c r="J377">
        <f>IFERROR(VLOOKUP(B377,'logos transformer '!A:B,2,FALSE),"na")</f>
        <v>1</v>
      </c>
      <c r="K377">
        <f>IFERROR(VLOOKUP(B377,'logos transformer '!A:C,3,FALSE),"na")</f>
        <v>91</v>
      </c>
      <c r="L377" s="1">
        <f>IFERROR(VLOOKUP(B377,'logos transformer '!A:D,4,FALSE),"na")</f>
        <v>45219.920138888891</v>
      </c>
    </row>
    <row r="378" spans="1:12" x14ac:dyDescent="0.3">
      <c r="A378" s="1">
        <v>45209.724999999999</v>
      </c>
      <c r="B378" t="s">
        <v>313</v>
      </c>
      <c r="C378">
        <v>97</v>
      </c>
      <c r="D378" t="s">
        <v>10</v>
      </c>
      <c r="E378" t="str">
        <f>IFERROR(VLOOKUP(logos[[#This Row],[Cell_ID]],'registe maintenance'!A:B,2,FALSE)," non répertoriées")</f>
        <v xml:space="preserve"> non répertoriées</v>
      </c>
      <c r="F378" t="str">
        <f>IFERROR(VLOOKUP(logos[[#This Row],[Cell_ID]],'registe maintenance'!A:C,3,FALSE)," non répertoriées")</f>
        <v xml:space="preserve"> non répertoriées</v>
      </c>
      <c r="G378" t="str">
        <f>IFERROR(VLOOKUP(logos[[#This Row],[Cell_ID]],'registe maintenance'!A:D,4,FALSE)," non répertoriées")</f>
        <v xml:space="preserve"> non répertoriées</v>
      </c>
      <c r="H378" t="str">
        <f>IFERROR(VLOOKUP(logos[[#This Row],[Cell_ID]],'registe maintenance'!A:E,5,FALSE)," non répertoriées")</f>
        <v xml:space="preserve"> non répertoriées</v>
      </c>
      <c r="I378" t="str">
        <f>IFERROR(VLOOKUP(logos[[#This Row],[Cell_ID]],'registe maintenance'!A:F,6,FALSE)," non répertoriées")</f>
        <v xml:space="preserve"> non répertoriées</v>
      </c>
      <c r="J378">
        <f>IFERROR(VLOOKUP(B378,'logos transformer '!A:B,2,FALSE),"na")</f>
        <v>1</v>
      </c>
      <c r="K378">
        <f>IFERROR(VLOOKUP(B378,'logos transformer '!A:C,3,FALSE),"na")</f>
        <v>97</v>
      </c>
      <c r="L378" s="1">
        <f>IFERROR(VLOOKUP(B378,'logos transformer '!A:D,4,FALSE),"na")</f>
        <v>45209.724999999999</v>
      </c>
    </row>
    <row r="379" spans="1:12" x14ac:dyDescent="0.3">
      <c r="A379" s="1">
        <v>45220.452777777777</v>
      </c>
      <c r="B379" t="s">
        <v>314</v>
      </c>
      <c r="C379">
        <v>35</v>
      </c>
      <c r="D379" t="s">
        <v>8</v>
      </c>
      <c r="E379" t="str">
        <f>IFERROR(VLOOKUP(logos[[#This Row],[Cell_ID]],'registe maintenance'!A:B,2,FALSE)," non répertoriées")</f>
        <v xml:space="preserve"> non répertoriées</v>
      </c>
      <c r="F379" t="str">
        <f>IFERROR(VLOOKUP(logos[[#This Row],[Cell_ID]],'registe maintenance'!A:C,3,FALSE)," non répertoriées")</f>
        <v xml:space="preserve"> non répertoriées</v>
      </c>
      <c r="G379" t="str">
        <f>IFERROR(VLOOKUP(logos[[#This Row],[Cell_ID]],'registe maintenance'!A:D,4,FALSE)," non répertoriées")</f>
        <v xml:space="preserve"> non répertoriées</v>
      </c>
      <c r="H379" t="str">
        <f>IFERROR(VLOOKUP(logos[[#This Row],[Cell_ID]],'registe maintenance'!A:E,5,FALSE)," non répertoriées")</f>
        <v xml:space="preserve"> non répertoriées</v>
      </c>
      <c r="I379" t="str">
        <f>IFERROR(VLOOKUP(logos[[#This Row],[Cell_ID]],'registe maintenance'!A:F,6,FALSE)," non répertoriées")</f>
        <v xml:space="preserve"> non répertoriées</v>
      </c>
      <c r="J379">
        <f>IFERROR(VLOOKUP(B379,'logos transformer '!A:B,2,FALSE),"na")</f>
        <v>2</v>
      </c>
      <c r="K379">
        <f>IFERROR(VLOOKUP(B379,'logos transformer '!A:C,3,FALSE),"na")</f>
        <v>61</v>
      </c>
      <c r="L379" s="1">
        <f>IFERROR(VLOOKUP(B379,'logos transformer '!A:D,4,FALSE),"na")</f>
        <v>45226.90625</v>
      </c>
    </row>
    <row r="380" spans="1:12" x14ac:dyDescent="0.3">
      <c r="A380" s="1">
        <v>45204.905555555553</v>
      </c>
      <c r="B380" t="s">
        <v>315</v>
      </c>
      <c r="C380">
        <v>61</v>
      </c>
      <c r="D380" t="s">
        <v>5</v>
      </c>
      <c r="E380" t="str">
        <f>IFERROR(VLOOKUP(logos[[#This Row],[Cell_ID]],'registe maintenance'!A:B,2,FALSE)," non répertoriées")</f>
        <v>Bas-Uele</v>
      </c>
      <c r="F380">
        <f>IFERROR(VLOOKUP(logos[[#This Row],[Cell_ID]],'registe maintenance'!A:C,3,FALSE)," non répertoriées")</f>
        <v>4.497306</v>
      </c>
      <c r="G380">
        <f>IFERROR(VLOOKUP(logos[[#This Row],[Cell_ID]],'registe maintenance'!A:D,4,FALSE)," non répertoriées")</f>
        <v>12.857251</v>
      </c>
      <c r="H380" t="str">
        <f>IFERROR(VLOOKUP(logos[[#This Row],[Cell_ID]],'registe maintenance'!A:E,5,FALSE)," non répertoriées")</f>
        <v>5G</v>
      </c>
      <c r="I380" t="str">
        <f>IFERROR(VLOOKUP(logos[[#This Row],[Cell_ID]],'registe maintenance'!A:F,6,FALSE)," non répertoriées")</f>
        <v>Ericsson</v>
      </c>
      <c r="J380">
        <f>IFERROR(VLOOKUP(B380,'logos transformer '!A:B,2,FALSE),"na")</f>
        <v>1</v>
      </c>
      <c r="K380">
        <f>IFERROR(VLOOKUP(B380,'logos transformer '!A:C,3,FALSE),"na")</f>
        <v>61</v>
      </c>
      <c r="L380" s="1">
        <f>IFERROR(VLOOKUP(B380,'logos transformer '!A:D,4,FALSE),"na")</f>
        <v>45204.905555555553</v>
      </c>
    </row>
    <row r="381" spans="1:12" x14ac:dyDescent="0.3">
      <c r="A381" s="1">
        <v>45226.988194444442</v>
      </c>
      <c r="B381" t="s">
        <v>316</v>
      </c>
      <c r="C381">
        <v>83</v>
      </c>
      <c r="D381" t="s">
        <v>8</v>
      </c>
      <c r="E381" t="str">
        <f>IFERROR(VLOOKUP(logos[[#This Row],[Cell_ID]],'registe maintenance'!A:B,2,FALSE)," non répertoriées")</f>
        <v xml:space="preserve"> non répertoriées</v>
      </c>
      <c r="F381" t="str">
        <f>IFERROR(VLOOKUP(logos[[#This Row],[Cell_ID]],'registe maintenance'!A:C,3,FALSE)," non répertoriées")</f>
        <v xml:space="preserve"> non répertoriées</v>
      </c>
      <c r="G381" t="str">
        <f>IFERROR(VLOOKUP(logos[[#This Row],[Cell_ID]],'registe maintenance'!A:D,4,FALSE)," non répertoriées")</f>
        <v xml:space="preserve"> non répertoriées</v>
      </c>
      <c r="H381" t="str">
        <f>IFERROR(VLOOKUP(logos[[#This Row],[Cell_ID]],'registe maintenance'!A:E,5,FALSE)," non répertoriées")</f>
        <v xml:space="preserve"> non répertoriées</v>
      </c>
      <c r="I381" t="str">
        <f>IFERROR(VLOOKUP(logos[[#This Row],[Cell_ID]],'registe maintenance'!A:F,6,FALSE)," non répertoriées")</f>
        <v xml:space="preserve"> non répertoriées</v>
      </c>
      <c r="J381">
        <f>IFERROR(VLOOKUP(B381,'logos transformer '!A:B,2,FALSE),"na")</f>
        <v>1</v>
      </c>
      <c r="K381">
        <f>IFERROR(VLOOKUP(B381,'logos transformer '!A:C,3,FALSE),"na")</f>
        <v>83</v>
      </c>
      <c r="L381" s="1">
        <f>IFERROR(VLOOKUP(B381,'logos transformer '!A:D,4,FALSE),"na")</f>
        <v>45226.988194444442</v>
      </c>
    </row>
    <row r="382" spans="1:12" x14ac:dyDescent="0.3">
      <c r="A382" s="1">
        <v>45229.670138888891</v>
      </c>
      <c r="B382" t="s">
        <v>317</v>
      </c>
      <c r="C382">
        <v>41</v>
      </c>
      <c r="D382" t="s">
        <v>10</v>
      </c>
      <c r="E382" t="str">
        <f>IFERROR(VLOOKUP(logos[[#This Row],[Cell_ID]],'registe maintenance'!A:B,2,FALSE)," non répertoriées")</f>
        <v>Haut-Lomami</v>
      </c>
      <c r="F382">
        <f>IFERROR(VLOOKUP(logos[[#This Row],[Cell_ID]],'registe maintenance'!A:C,3,FALSE)," non répertoriées")</f>
        <v>-7.1785899999999998</v>
      </c>
      <c r="G382">
        <f>IFERROR(VLOOKUP(logos[[#This Row],[Cell_ID]],'registe maintenance'!A:D,4,FALSE)," non répertoriées")</f>
        <v>24.4404</v>
      </c>
      <c r="H382" t="str">
        <f>IFERROR(VLOOKUP(logos[[#This Row],[Cell_ID]],'registe maintenance'!A:E,5,FALSE)," non répertoriées")</f>
        <v>4G</v>
      </c>
      <c r="I382" t="str">
        <f>IFERROR(VLOOKUP(logos[[#This Row],[Cell_ID]],'registe maintenance'!A:F,6,FALSE)," non répertoriées")</f>
        <v>Nokia</v>
      </c>
      <c r="J382">
        <f>IFERROR(VLOOKUP(B382,'logos transformer '!A:B,2,FALSE),"na")</f>
        <v>3</v>
      </c>
      <c r="K382">
        <f>IFERROR(VLOOKUP(B382,'logos transformer '!A:C,3,FALSE),"na")</f>
        <v>114</v>
      </c>
      <c r="L382" s="1">
        <f>IFERROR(VLOOKUP(B382,'logos transformer '!A:D,4,FALSE),"na")</f>
        <v>45229.670138888891</v>
      </c>
    </row>
    <row r="383" spans="1:12" x14ac:dyDescent="0.3">
      <c r="A383" s="1">
        <v>45220.893750000003</v>
      </c>
      <c r="B383" t="s">
        <v>318</v>
      </c>
      <c r="C383">
        <v>101</v>
      </c>
      <c r="D383" t="s">
        <v>10</v>
      </c>
      <c r="E383" t="str">
        <f>IFERROR(VLOOKUP(logos[[#This Row],[Cell_ID]],'registe maintenance'!A:B,2,FALSE)," non répertoriées")</f>
        <v>Bas-Uele</v>
      </c>
      <c r="F383">
        <f>IFERROR(VLOOKUP(logos[[#This Row],[Cell_ID]],'registe maintenance'!A:C,3,FALSE)," non répertoriées")</f>
        <v>-2.2876210000000001</v>
      </c>
      <c r="G383">
        <f>IFERROR(VLOOKUP(logos[[#This Row],[Cell_ID]],'registe maintenance'!A:D,4,FALSE)," non répertoriées")</f>
        <v>27.582545</v>
      </c>
      <c r="H383" t="str">
        <f>IFERROR(VLOOKUP(logos[[#This Row],[Cell_ID]],'registe maintenance'!A:E,5,FALSE)," non répertoriées")</f>
        <v>4G</v>
      </c>
      <c r="I383" t="str">
        <f>IFERROR(VLOOKUP(logos[[#This Row],[Cell_ID]],'registe maintenance'!A:F,6,FALSE)," non répertoriées")</f>
        <v>Huawei</v>
      </c>
      <c r="J383">
        <f>IFERROR(VLOOKUP(B383,'logos transformer '!A:B,2,FALSE),"na")</f>
        <v>2</v>
      </c>
      <c r="K383">
        <f>IFERROR(VLOOKUP(B383,'logos transformer '!A:C,3,FALSE),"na")</f>
        <v>170</v>
      </c>
      <c r="L383" s="1">
        <f>IFERROR(VLOOKUP(B383,'logos transformer '!A:D,4,FALSE),"na")</f>
        <v>45220.893750000003</v>
      </c>
    </row>
    <row r="384" spans="1:12" x14ac:dyDescent="0.3">
      <c r="A384" s="1">
        <v>45216.459027777782</v>
      </c>
      <c r="B384" t="s">
        <v>150</v>
      </c>
      <c r="C384">
        <v>100</v>
      </c>
      <c r="D384" t="s">
        <v>8</v>
      </c>
      <c r="E384" t="str">
        <f>IFERROR(VLOOKUP(logos[[#This Row],[Cell_ID]],'registe maintenance'!A:B,2,FALSE)," non répertoriées")</f>
        <v xml:space="preserve"> non répertoriées</v>
      </c>
      <c r="F384" t="str">
        <f>IFERROR(VLOOKUP(logos[[#This Row],[Cell_ID]],'registe maintenance'!A:C,3,FALSE)," non répertoriées")</f>
        <v xml:space="preserve"> non répertoriées</v>
      </c>
      <c r="G384" t="str">
        <f>IFERROR(VLOOKUP(logos[[#This Row],[Cell_ID]],'registe maintenance'!A:D,4,FALSE)," non répertoriées")</f>
        <v xml:space="preserve"> non répertoriées</v>
      </c>
      <c r="H384" t="str">
        <f>IFERROR(VLOOKUP(logos[[#This Row],[Cell_ID]],'registe maintenance'!A:E,5,FALSE)," non répertoriées")</f>
        <v xml:space="preserve"> non répertoriées</v>
      </c>
      <c r="I384" t="str">
        <f>IFERROR(VLOOKUP(logos[[#This Row],[Cell_ID]],'registe maintenance'!A:F,6,FALSE)," non répertoriées")</f>
        <v xml:space="preserve"> non répertoriées</v>
      </c>
      <c r="J384">
        <f>IFERROR(VLOOKUP(B384,'logos transformer '!A:B,2,FALSE),"na")</f>
        <v>4</v>
      </c>
      <c r="K384">
        <f>IFERROR(VLOOKUP(B384,'logos transformer '!A:C,3,FALSE),"na")</f>
        <v>208</v>
      </c>
      <c r="L384" s="1">
        <f>IFERROR(VLOOKUP(B384,'logos transformer '!A:D,4,FALSE),"na")</f>
        <v>45216.459027777775</v>
      </c>
    </row>
    <row r="385" spans="1:12" x14ac:dyDescent="0.3">
      <c r="A385" s="1">
        <v>45211.382638888892</v>
      </c>
      <c r="B385" t="s">
        <v>59</v>
      </c>
      <c r="C385">
        <v>105</v>
      </c>
      <c r="D385" t="s">
        <v>5</v>
      </c>
      <c r="E385" t="str">
        <f>IFERROR(VLOOKUP(logos[[#This Row],[Cell_ID]],'registe maintenance'!A:B,2,FALSE)," non répertoriées")</f>
        <v xml:space="preserve"> non répertoriées</v>
      </c>
      <c r="F385" t="str">
        <f>IFERROR(VLOOKUP(logos[[#This Row],[Cell_ID]],'registe maintenance'!A:C,3,FALSE)," non répertoriées")</f>
        <v xml:space="preserve"> non répertoriées</v>
      </c>
      <c r="G385" t="str">
        <f>IFERROR(VLOOKUP(logos[[#This Row],[Cell_ID]],'registe maintenance'!A:D,4,FALSE)," non répertoriées")</f>
        <v xml:space="preserve"> non répertoriées</v>
      </c>
      <c r="H385" t="str">
        <f>IFERROR(VLOOKUP(logos[[#This Row],[Cell_ID]],'registe maintenance'!A:E,5,FALSE)," non répertoriées")</f>
        <v xml:space="preserve"> non répertoriées</v>
      </c>
      <c r="I385" t="str">
        <f>IFERROR(VLOOKUP(logos[[#This Row],[Cell_ID]],'registe maintenance'!A:F,6,FALSE)," non répertoriées")</f>
        <v xml:space="preserve"> non répertoriées</v>
      </c>
      <c r="J385">
        <f>IFERROR(VLOOKUP(B385,'logos transformer '!A:B,2,FALSE),"na")</f>
        <v>3</v>
      </c>
      <c r="K385">
        <f>IFERROR(VLOOKUP(B385,'logos transformer '!A:C,3,FALSE),"na")</f>
        <v>267</v>
      </c>
      <c r="L385" s="1">
        <f>IFERROR(VLOOKUP(B385,'logos transformer '!A:D,4,FALSE),"na")</f>
        <v>45223.45208333333</v>
      </c>
    </row>
    <row r="386" spans="1:12" x14ac:dyDescent="0.3">
      <c r="A386" s="1">
        <v>45230.26458333333</v>
      </c>
      <c r="B386" t="s">
        <v>319</v>
      </c>
      <c r="C386">
        <v>62</v>
      </c>
      <c r="D386" t="s">
        <v>5</v>
      </c>
      <c r="E386" t="str">
        <f>IFERROR(VLOOKUP(logos[[#This Row],[Cell_ID]],'registe maintenance'!A:B,2,FALSE)," non répertoriées")</f>
        <v>Mongala</v>
      </c>
      <c r="F386">
        <f>IFERROR(VLOOKUP(logos[[#This Row],[Cell_ID]],'registe maintenance'!A:C,3,FALSE)," non répertoriées")</f>
        <v>3.6344850000000002</v>
      </c>
      <c r="G386">
        <f>IFERROR(VLOOKUP(logos[[#This Row],[Cell_ID]],'registe maintenance'!A:D,4,FALSE)," non répertoriées")</f>
        <v>12.158348999999999</v>
      </c>
      <c r="H386" t="str">
        <f>IFERROR(VLOOKUP(logos[[#This Row],[Cell_ID]],'registe maintenance'!A:E,5,FALSE)," non répertoriées")</f>
        <v>5G</v>
      </c>
      <c r="I386" t="str">
        <f>IFERROR(VLOOKUP(logos[[#This Row],[Cell_ID]],'registe maintenance'!A:F,6,FALSE)," non répertoriées")</f>
        <v>Ericsson</v>
      </c>
      <c r="J386">
        <f>IFERROR(VLOOKUP(B386,'logos transformer '!A:B,2,FALSE),"na")</f>
        <v>1</v>
      </c>
      <c r="K386">
        <f>IFERROR(VLOOKUP(B386,'logos transformer '!A:C,3,FALSE),"na")</f>
        <v>62</v>
      </c>
      <c r="L386" s="1">
        <f>IFERROR(VLOOKUP(B386,'logos transformer '!A:D,4,FALSE),"na")</f>
        <v>45230.26458333333</v>
      </c>
    </row>
    <row r="387" spans="1:12" x14ac:dyDescent="0.3">
      <c r="A387" s="1">
        <v>45230.633333333331</v>
      </c>
      <c r="B387" t="s">
        <v>320</v>
      </c>
      <c r="C387">
        <v>34</v>
      </c>
      <c r="D387" t="s">
        <v>5</v>
      </c>
      <c r="E387" t="str">
        <f>IFERROR(VLOOKUP(logos[[#This Row],[Cell_ID]],'registe maintenance'!A:B,2,FALSE)," non répertoriées")</f>
        <v>Kasai-Oriental</v>
      </c>
      <c r="F387">
        <f>IFERROR(VLOOKUP(logos[[#This Row],[Cell_ID]],'registe maintenance'!A:C,3,FALSE)," non répertoriées")</f>
        <v>2.486888</v>
      </c>
      <c r="G387">
        <f>IFERROR(VLOOKUP(logos[[#This Row],[Cell_ID]],'registe maintenance'!A:D,4,FALSE)," non répertoriées")</f>
        <v>23.798074</v>
      </c>
      <c r="H387" t="str">
        <f>IFERROR(VLOOKUP(logos[[#This Row],[Cell_ID]],'registe maintenance'!A:E,5,FALSE)," non répertoriées")</f>
        <v>5G</v>
      </c>
      <c r="I387" t="str">
        <f>IFERROR(VLOOKUP(logos[[#This Row],[Cell_ID]],'registe maintenance'!A:F,6,FALSE)," non répertoriées")</f>
        <v>ZTE</v>
      </c>
      <c r="J387">
        <f>IFERROR(VLOOKUP(B387,'logos transformer '!A:B,2,FALSE),"na")</f>
        <v>2</v>
      </c>
      <c r="K387">
        <f>IFERROR(VLOOKUP(B387,'logos transformer '!A:C,3,FALSE),"na")</f>
        <v>39</v>
      </c>
      <c r="L387" s="1">
        <f>IFERROR(VLOOKUP(B387,'logos transformer '!A:D,4,FALSE),"na")</f>
        <v>45230.633333333331</v>
      </c>
    </row>
    <row r="388" spans="1:12" x14ac:dyDescent="0.3">
      <c r="A388" s="1">
        <v>45207.17291666667</v>
      </c>
      <c r="B388" t="s">
        <v>321</v>
      </c>
      <c r="C388">
        <v>73</v>
      </c>
      <c r="D388" t="s">
        <v>10</v>
      </c>
      <c r="E388" t="str">
        <f>IFERROR(VLOOKUP(logos[[#This Row],[Cell_ID]],'registe maintenance'!A:B,2,FALSE)," non répertoriées")</f>
        <v xml:space="preserve"> non répertoriées</v>
      </c>
      <c r="F388" t="str">
        <f>IFERROR(VLOOKUP(logos[[#This Row],[Cell_ID]],'registe maintenance'!A:C,3,FALSE)," non répertoriées")</f>
        <v xml:space="preserve"> non répertoriées</v>
      </c>
      <c r="G388" t="str">
        <f>IFERROR(VLOOKUP(logos[[#This Row],[Cell_ID]],'registe maintenance'!A:D,4,FALSE)," non répertoriées")</f>
        <v xml:space="preserve"> non répertoriées</v>
      </c>
      <c r="H388" t="str">
        <f>IFERROR(VLOOKUP(logos[[#This Row],[Cell_ID]],'registe maintenance'!A:E,5,FALSE)," non répertoriées")</f>
        <v xml:space="preserve"> non répertoriées</v>
      </c>
      <c r="I388" t="str">
        <f>IFERROR(VLOOKUP(logos[[#This Row],[Cell_ID]],'registe maintenance'!A:F,6,FALSE)," non répertoriées")</f>
        <v xml:space="preserve"> non répertoriées</v>
      </c>
      <c r="J388">
        <f>IFERROR(VLOOKUP(B388,'logos transformer '!A:B,2,FALSE),"na")</f>
        <v>1</v>
      </c>
      <c r="K388">
        <f>IFERROR(VLOOKUP(B388,'logos transformer '!A:C,3,FALSE),"na")</f>
        <v>73</v>
      </c>
      <c r="L388" s="1">
        <f>IFERROR(VLOOKUP(B388,'logos transformer '!A:D,4,FALSE),"na")</f>
        <v>45207.17291666667</v>
      </c>
    </row>
    <row r="389" spans="1:12" x14ac:dyDescent="0.3">
      <c r="A389" s="1">
        <v>45202.412499999999</v>
      </c>
      <c r="B389" t="s">
        <v>322</v>
      </c>
      <c r="C389">
        <v>35</v>
      </c>
      <c r="D389" t="s">
        <v>5</v>
      </c>
      <c r="E389" t="str">
        <f>IFERROR(VLOOKUP(logos[[#This Row],[Cell_ID]],'registe maintenance'!A:B,2,FALSE)," non répertoriées")</f>
        <v>Bas-Uele</v>
      </c>
      <c r="F389">
        <f>IFERROR(VLOOKUP(logos[[#This Row],[Cell_ID]],'registe maintenance'!A:C,3,FALSE)," non répertoriées")</f>
        <v>-6.4197189999999997</v>
      </c>
      <c r="G389">
        <f>IFERROR(VLOOKUP(logos[[#This Row],[Cell_ID]],'registe maintenance'!A:D,4,FALSE)," non répertoriées")</f>
        <v>22.287264</v>
      </c>
      <c r="H389" t="str">
        <f>IFERROR(VLOOKUP(logos[[#This Row],[Cell_ID]],'registe maintenance'!A:E,5,FALSE)," non répertoriées")</f>
        <v>3G</v>
      </c>
      <c r="I389" t="str">
        <f>IFERROR(VLOOKUP(logos[[#This Row],[Cell_ID]],'registe maintenance'!A:F,6,FALSE)," non répertoriées")</f>
        <v>Ericsson</v>
      </c>
      <c r="J389">
        <f>IFERROR(VLOOKUP(B389,'logos transformer '!A:B,2,FALSE),"na")</f>
        <v>3</v>
      </c>
      <c r="K389">
        <f>IFERROR(VLOOKUP(B389,'logos transformer '!A:C,3,FALSE),"na")</f>
        <v>159</v>
      </c>
      <c r="L389" s="1">
        <f>IFERROR(VLOOKUP(B389,'logos transformer '!A:D,4,FALSE),"na")</f>
        <v>45216.970138888886</v>
      </c>
    </row>
    <row r="390" spans="1:12" x14ac:dyDescent="0.3">
      <c r="A390" s="1">
        <v>45225.147222222222</v>
      </c>
      <c r="B390" t="s">
        <v>323</v>
      </c>
      <c r="C390">
        <v>44</v>
      </c>
      <c r="D390" t="s">
        <v>5</v>
      </c>
      <c r="E390" t="str">
        <f>IFERROR(VLOOKUP(logos[[#This Row],[Cell_ID]],'registe maintenance'!A:B,2,FALSE)," non répertoriées")</f>
        <v>Sud-Kivu</v>
      </c>
      <c r="F390">
        <f>IFERROR(VLOOKUP(logos[[#This Row],[Cell_ID]],'registe maintenance'!A:C,3,FALSE)," non répertoriées")</f>
        <v>4.2904629999999999</v>
      </c>
      <c r="G390">
        <f>IFERROR(VLOOKUP(logos[[#This Row],[Cell_ID]],'registe maintenance'!A:D,4,FALSE)," non répertoriées")</f>
        <v>26.354195000000001</v>
      </c>
      <c r="H390" t="str">
        <f>IFERROR(VLOOKUP(logos[[#This Row],[Cell_ID]],'registe maintenance'!A:E,5,FALSE)," non répertoriées")</f>
        <v>3G</v>
      </c>
      <c r="I390" t="str">
        <f>IFERROR(VLOOKUP(logos[[#This Row],[Cell_ID]],'registe maintenance'!A:F,6,FALSE)," non répertoriées")</f>
        <v>Ericsson</v>
      </c>
      <c r="J390">
        <f>IFERROR(VLOOKUP(B390,'logos transformer '!A:B,2,FALSE),"na")</f>
        <v>1</v>
      </c>
      <c r="K390">
        <f>IFERROR(VLOOKUP(B390,'logos transformer '!A:C,3,FALSE),"na")</f>
        <v>44</v>
      </c>
      <c r="L390" s="1">
        <f>IFERROR(VLOOKUP(B390,'logos transformer '!A:D,4,FALSE),"na")</f>
        <v>45225.147222222222</v>
      </c>
    </row>
    <row r="391" spans="1:12" x14ac:dyDescent="0.3">
      <c r="A391" s="1">
        <v>45207.379861111112</v>
      </c>
      <c r="B391" t="s">
        <v>248</v>
      </c>
      <c r="C391">
        <v>118</v>
      </c>
      <c r="D391" t="s">
        <v>10</v>
      </c>
      <c r="E391" t="str">
        <f>IFERROR(VLOOKUP(logos[[#This Row],[Cell_ID]],'registe maintenance'!A:B,2,FALSE)," non répertoriées")</f>
        <v xml:space="preserve"> non répertoriées</v>
      </c>
      <c r="F391" t="str">
        <f>IFERROR(VLOOKUP(logos[[#This Row],[Cell_ID]],'registe maintenance'!A:C,3,FALSE)," non répertoriées")</f>
        <v xml:space="preserve"> non répertoriées</v>
      </c>
      <c r="G391" t="str">
        <f>IFERROR(VLOOKUP(logos[[#This Row],[Cell_ID]],'registe maintenance'!A:D,4,FALSE)," non répertoriées")</f>
        <v xml:space="preserve"> non répertoriées</v>
      </c>
      <c r="H391" t="str">
        <f>IFERROR(VLOOKUP(logos[[#This Row],[Cell_ID]],'registe maintenance'!A:E,5,FALSE)," non répertoriées")</f>
        <v xml:space="preserve"> non répertoriées</v>
      </c>
      <c r="I391" t="str">
        <f>IFERROR(VLOOKUP(logos[[#This Row],[Cell_ID]],'registe maintenance'!A:F,6,FALSE)," non répertoriées")</f>
        <v xml:space="preserve"> non répertoriées</v>
      </c>
      <c r="J391">
        <f>IFERROR(VLOOKUP(B391,'logos transformer '!A:B,2,FALSE),"na")</f>
        <v>3</v>
      </c>
      <c r="K391">
        <f>IFERROR(VLOOKUP(B391,'logos transformer '!A:C,3,FALSE),"na")</f>
        <v>247</v>
      </c>
      <c r="L391" s="1">
        <f>IFERROR(VLOOKUP(B391,'logos transformer '!A:D,4,FALSE),"na")</f>
        <v>45218.990277777775</v>
      </c>
    </row>
    <row r="392" spans="1:12" x14ac:dyDescent="0.3">
      <c r="A392" s="1">
        <v>45201.30972222222</v>
      </c>
      <c r="B392" t="s">
        <v>324</v>
      </c>
      <c r="C392">
        <v>56</v>
      </c>
      <c r="D392" t="s">
        <v>10</v>
      </c>
      <c r="E392" t="str">
        <f>IFERROR(VLOOKUP(logos[[#This Row],[Cell_ID]],'registe maintenance'!A:B,2,FALSE)," non répertoriées")</f>
        <v xml:space="preserve"> non répertoriées</v>
      </c>
      <c r="F392" t="str">
        <f>IFERROR(VLOOKUP(logos[[#This Row],[Cell_ID]],'registe maintenance'!A:C,3,FALSE)," non répertoriées")</f>
        <v xml:space="preserve"> non répertoriées</v>
      </c>
      <c r="G392" t="str">
        <f>IFERROR(VLOOKUP(logos[[#This Row],[Cell_ID]],'registe maintenance'!A:D,4,FALSE)," non répertoriées")</f>
        <v xml:space="preserve"> non répertoriées</v>
      </c>
      <c r="H392" t="str">
        <f>IFERROR(VLOOKUP(logos[[#This Row],[Cell_ID]],'registe maintenance'!A:E,5,FALSE)," non répertoriées")</f>
        <v xml:space="preserve"> non répertoriées</v>
      </c>
      <c r="I392" t="str">
        <f>IFERROR(VLOOKUP(logos[[#This Row],[Cell_ID]],'registe maintenance'!A:F,6,FALSE)," non répertoriées")</f>
        <v xml:space="preserve"> non répertoriées</v>
      </c>
      <c r="J392">
        <f>IFERROR(VLOOKUP(B392,'logos transformer '!A:B,2,FALSE),"na")</f>
        <v>1</v>
      </c>
      <c r="K392">
        <f>IFERROR(VLOOKUP(B392,'logos transformer '!A:C,3,FALSE),"na")</f>
        <v>56</v>
      </c>
      <c r="L392" s="1">
        <f>IFERROR(VLOOKUP(B392,'logos transformer '!A:D,4,FALSE),"na")</f>
        <v>45201.30972222222</v>
      </c>
    </row>
    <row r="393" spans="1:12" x14ac:dyDescent="0.3">
      <c r="A393" s="1">
        <v>45220.811805555553</v>
      </c>
      <c r="B393" t="s">
        <v>325</v>
      </c>
      <c r="C393">
        <v>100</v>
      </c>
      <c r="D393" t="s">
        <v>10</v>
      </c>
      <c r="E393" t="str">
        <f>IFERROR(VLOOKUP(logos[[#This Row],[Cell_ID]],'registe maintenance'!A:B,2,FALSE)," non répertoriées")</f>
        <v>Kwilu</v>
      </c>
      <c r="F393">
        <f>IFERROR(VLOOKUP(logos[[#This Row],[Cell_ID]],'registe maintenance'!A:C,3,FALSE)," non répertoriées")</f>
        <v>-0.98830399999999996</v>
      </c>
      <c r="G393">
        <f>IFERROR(VLOOKUP(logos[[#This Row],[Cell_ID]],'registe maintenance'!A:D,4,FALSE)," non répertoriées")</f>
        <v>28.099966999999999</v>
      </c>
      <c r="H393" t="str">
        <f>IFERROR(VLOOKUP(logos[[#This Row],[Cell_ID]],'registe maintenance'!A:E,5,FALSE)," non répertoriées")</f>
        <v>3G</v>
      </c>
      <c r="I393" t="str">
        <f>IFERROR(VLOOKUP(logos[[#This Row],[Cell_ID]],'registe maintenance'!A:F,6,FALSE)," non répertoriées")</f>
        <v>Huawei</v>
      </c>
      <c r="J393">
        <f>IFERROR(VLOOKUP(B393,'logos transformer '!A:B,2,FALSE),"na")</f>
        <v>1</v>
      </c>
      <c r="K393">
        <f>IFERROR(VLOOKUP(B393,'logos transformer '!A:C,3,FALSE),"na")</f>
        <v>100</v>
      </c>
      <c r="L393" s="1">
        <f>IFERROR(VLOOKUP(B393,'logos transformer '!A:D,4,FALSE),"na")</f>
        <v>45220.811805555553</v>
      </c>
    </row>
    <row r="394" spans="1:12" x14ac:dyDescent="0.3">
      <c r="A394" s="1">
        <v>45202.161805555559</v>
      </c>
      <c r="B394" t="s">
        <v>326</v>
      </c>
      <c r="C394">
        <v>61</v>
      </c>
      <c r="D394" t="s">
        <v>8</v>
      </c>
      <c r="E394" t="str">
        <f>IFERROR(VLOOKUP(logos[[#This Row],[Cell_ID]],'registe maintenance'!A:B,2,FALSE)," non répertoriées")</f>
        <v>Nord-Kivu</v>
      </c>
      <c r="F394">
        <f>IFERROR(VLOOKUP(logos[[#This Row],[Cell_ID]],'registe maintenance'!A:C,3,FALSE)," non répertoriées")</f>
        <v>-6.5529849999999996</v>
      </c>
      <c r="G394">
        <f>IFERROR(VLOOKUP(logos[[#This Row],[Cell_ID]],'registe maintenance'!A:D,4,FALSE)," non répertoriées")</f>
        <v>21.990606</v>
      </c>
      <c r="H394" t="str">
        <f>IFERROR(VLOOKUP(logos[[#This Row],[Cell_ID]],'registe maintenance'!A:E,5,FALSE)," non répertoriées")</f>
        <v>3G</v>
      </c>
      <c r="I394" t="str">
        <f>IFERROR(VLOOKUP(logos[[#This Row],[Cell_ID]],'registe maintenance'!A:F,6,FALSE)," non répertoriées")</f>
        <v>Huawei</v>
      </c>
      <c r="J394">
        <f>IFERROR(VLOOKUP(B394,'logos transformer '!A:B,2,FALSE),"na")</f>
        <v>1</v>
      </c>
      <c r="K394">
        <f>IFERROR(VLOOKUP(B394,'logos transformer '!A:C,3,FALSE),"na")</f>
        <v>61</v>
      </c>
      <c r="L394" s="1">
        <f>IFERROR(VLOOKUP(B394,'logos transformer '!A:D,4,FALSE),"na")</f>
        <v>45202.161805555559</v>
      </c>
    </row>
    <row r="395" spans="1:12" x14ac:dyDescent="0.3">
      <c r="A395" s="1">
        <v>45228.651388888888</v>
      </c>
      <c r="B395" t="s">
        <v>327</v>
      </c>
      <c r="C395">
        <v>119</v>
      </c>
      <c r="D395" t="s">
        <v>5</v>
      </c>
      <c r="E395" t="str">
        <f>IFERROR(VLOOKUP(logos[[#This Row],[Cell_ID]],'registe maintenance'!A:B,2,FALSE)," non répertoriées")</f>
        <v>Sud-Kivu</v>
      </c>
      <c r="F395">
        <f>IFERROR(VLOOKUP(logos[[#This Row],[Cell_ID]],'registe maintenance'!A:C,3,FALSE)," non répertoriées")</f>
        <v>2.453036</v>
      </c>
      <c r="G395">
        <f>IFERROR(VLOOKUP(logos[[#This Row],[Cell_ID]],'registe maintenance'!A:D,4,FALSE)," non répertoriées")</f>
        <v>20.555484</v>
      </c>
      <c r="H395" t="str">
        <f>IFERROR(VLOOKUP(logos[[#This Row],[Cell_ID]],'registe maintenance'!A:E,5,FALSE)," non répertoriées")</f>
        <v>5G</v>
      </c>
      <c r="I395" t="str">
        <f>IFERROR(VLOOKUP(logos[[#This Row],[Cell_ID]],'registe maintenance'!A:F,6,FALSE)," non répertoriées")</f>
        <v>Ericsson</v>
      </c>
      <c r="J395">
        <f>IFERROR(VLOOKUP(B395,'logos transformer '!A:B,2,FALSE),"na")</f>
        <v>1</v>
      </c>
      <c r="K395">
        <f>IFERROR(VLOOKUP(B395,'logos transformer '!A:C,3,FALSE),"na")</f>
        <v>119</v>
      </c>
      <c r="L395" s="1">
        <f>IFERROR(VLOOKUP(B395,'logos transformer '!A:D,4,FALSE),"na")</f>
        <v>45228.651388888888</v>
      </c>
    </row>
    <row r="396" spans="1:12" x14ac:dyDescent="0.3">
      <c r="A396" s="1">
        <v>45217.027777777781</v>
      </c>
      <c r="B396" t="s">
        <v>182</v>
      </c>
      <c r="C396">
        <v>54</v>
      </c>
      <c r="D396" t="s">
        <v>8</v>
      </c>
      <c r="E396" t="str">
        <f>IFERROR(VLOOKUP(logos[[#This Row],[Cell_ID]],'registe maintenance'!A:B,2,FALSE)," non répertoriées")</f>
        <v xml:space="preserve"> non répertoriées</v>
      </c>
      <c r="F396" t="str">
        <f>IFERROR(VLOOKUP(logos[[#This Row],[Cell_ID]],'registe maintenance'!A:C,3,FALSE)," non répertoriées")</f>
        <v xml:space="preserve"> non répertoriées</v>
      </c>
      <c r="G396" t="str">
        <f>IFERROR(VLOOKUP(logos[[#This Row],[Cell_ID]],'registe maintenance'!A:D,4,FALSE)," non répertoriées")</f>
        <v xml:space="preserve"> non répertoriées</v>
      </c>
      <c r="H396" t="str">
        <f>IFERROR(VLOOKUP(logos[[#This Row],[Cell_ID]],'registe maintenance'!A:E,5,FALSE)," non répertoriées")</f>
        <v xml:space="preserve"> non répertoriées</v>
      </c>
      <c r="I396" t="str">
        <f>IFERROR(VLOOKUP(logos[[#This Row],[Cell_ID]],'registe maintenance'!A:F,6,FALSE)," non répertoriées")</f>
        <v xml:space="preserve"> non répertoriées</v>
      </c>
      <c r="J396">
        <f>IFERROR(VLOOKUP(B396,'logos transformer '!A:B,2,FALSE),"na")</f>
        <v>2</v>
      </c>
      <c r="K396">
        <f>IFERROR(VLOOKUP(B396,'logos transformer '!A:C,3,FALSE),"na")</f>
        <v>125</v>
      </c>
      <c r="L396" s="1">
        <f>IFERROR(VLOOKUP(B396,'logos transformer '!A:D,4,FALSE),"na")</f>
        <v>45224.683333333334</v>
      </c>
    </row>
    <row r="397" spans="1:12" x14ac:dyDescent="0.3">
      <c r="A397" s="1">
        <v>45216.760416666657</v>
      </c>
      <c r="B397" t="s">
        <v>328</v>
      </c>
      <c r="C397">
        <v>48</v>
      </c>
      <c r="D397" t="s">
        <v>5</v>
      </c>
      <c r="E397" t="str">
        <f>IFERROR(VLOOKUP(logos[[#This Row],[Cell_ID]],'registe maintenance'!A:B,2,FALSE)," non répertoriées")</f>
        <v>Ituri</v>
      </c>
      <c r="F397">
        <f>IFERROR(VLOOKUP(logos[[#This Row],[Cell_ID]],'registe maintenance'!A:C,3,FALSE)," non répertoriées")</f>
        <v>-11.002602</v>
      </c>
      <c r="G397">
        <f>IFERROR(VLOOKUP(logos[[#This Row],[Cell_ID]],'registe maintenance'!A:D,4,FALSE)," non répertoriées")</f>
        <v>23.918247999999998</v>
      </c>
      <c r="H397" t="str">
        <f>IFERROR(VLOOKUP(logos[[#This Row],[Cell_ID]],'registe maintenance'!A:E,5,FALSE)," non répertoriées")</f>
        <v>5G</v>
      </c>
      <c r="I397" t="str">
        <f>IFERROR(VLOOKUP(logos[[#This Row],[Cell_ID]],'registe maintenance'!A:F,6,FALSE)," non répertoriées")</f>
        <v>ZTE</v>
      </c>
      <c r="J397">
        <f>IFERROR(VLOOKUP(B397,'logos transformer '!A:B,2,FALSE),"na")</f>
        <v>1</v>
      </c>
      <c r="K397">
        <f>IFERROR(VLOOKUP(B397,'logos transformer '!A:C,3,FALSE),"na")</f>
        <v>48</v>
      </c>
      <c r="L397" s="1">
        <f>IFERROR(VLOOKUP(B397,'logos transformer '!A:D,4,FALSE),"na")</f>
        <v>45216.760416666664</v>
      </c>
    </row>
    <row r="398" spans="1:12" x14ac:dyDescent="0.3">
      <c r="A398" s="1">
        <v>45222.179166666669</v>
      </c>
      <c r="B398" t="s">
        <v>329</v>
      </c>
      <c r="C398">
        <v>28</v>
      </c>
      <c r="D398" t="s">
        <v>8</v>
      </c>
      <c r="E398" t="str">
        <f>IFERROR(VLOOKUP(logos[[#This Row],[Cell_ID]],'registe maintenance'!A:B,2,FALSE)," non répertoriées")</f>
        <v>Kinshasa</v>
      </c>
      <c r="F398">
        <f>IFERROR(VLOOKUP(logos[[#This Row],[Cell_ID]],'registe maintenance'!A:C,3,FALSE)," non répertoriées")</f>
        <v>-0.90854400000000002</v>
      </c>
      <c r="G398">
        <f>IFERROR(VLOOKUP(logos[[#This Row],[Cell_ID]],'registe maintenance'!A:D,4,FALSE)," non répertoriées")</f>
        <v>17.154896999999998</v>
      </c>
      <c r="H398" t="str">
        <f>IFERROR(VLOOKUP(logos[[#This Row],[Cell_ID]],'registe maintenance'!A:E,5,FALSE)," non répertoriées")</f>
        <v>3G</v>
      </c>
      <c r="I398" t="str">
        <f>IFERROR(VLOOKUP(logos[[#This Row],[Cell_ID]],'registe maintenance'!A:F,6,FALSE)," non répertoriées")</f>
        <v>Huawei</v>
      </c>
      <c r="J398">
        <f>IFERROR(VLOOKUP(B398,'logos transformer '!A:B,2,FALSE),"na")</f>
        <v>1</v>
      </c>
      <c r="K398">
        <f>IFERROR(VLOOKUP(B398,'logos transformer '!A:C,3,FALSE),"na")</f>
        <v>28</v>
      </c>
      <c r="L398" s="1">
        <f>IFERROR(VLOOKUP(B398,'logos transformer '!A:D,4,FALSE),"na")</f>
        <v>45222.179166666669</v>
      </c>
    </row>
    <row r="399" spans="1:12" x14ac:dyDescent="0.3">
      <c r="A399" s="1">
        <v>45213.027083333327</v>
      </c>
      <c r="B399" t="s">
        <v>330</v>
      </c>
      <c r="C399">
        <v>68</v>
      </c>
      <c r="D399" t="s">
        <v>10</v>
      </c>
      <c r="E399" t="str">
        <f>IFERROR(VLOOKUP(logos[[#This Row],[Cell_ID]],'registe maintenance'!A:B,2,FALSE)," non répertoriées")</f>
        <v>Kwango</v>
      </c>
      <c r="F399">
        <f>IFERROR(VLOOKUP(logos[[#This Row],[Cell_ID]],'registe maintenance'!A:C,3,FALSE)," non répertoriées")</f>
        <v>-8.1210620000000002</v>
      </c>
      <c r="G399">
        <f>IFERROR(VLOOKUP(logos[[#This Row],[Cell_ID]],'registe maintenance'!A:D,4,FALSE)," non répertoriées")</f>
        <v>21.094390000000001</v>
      </c>
      <c r="H399" t="str">
        <f>IFERROR(VLOOKUP(logos[[#This Row],[Cell_ID]],'registe maintenance'!A:E,5,FALSE)," non répertoriées")</f>
        <v>5G</v>
      </c>
      <c r="I399" t="str">
        <f>IFERROR(VLOOKUP(logos[[#This Row],[Cell_ID]],'registe maintenance'!A:F,6,FALSE)," non répertoriées")</f>
        <v>ZTE</v>
      </c>
      <c r="J399">
        <f>IFERROR(VLOOKUP(B399,'logos transformer '!A:B,2,FALSE),"na")</f>
        <v>1</v>
      </c>
      <c r="K399">
        <f>IFERROR(VLOOKUP(B399,'logos transformer '!A:C,3,FALSE),"na")</f>
        <v>68</v>
      </c>
      <c r="L399" s="1">
        <f>IFERROR(VLOOKUP(B399,'logos transformer '!A:D,4,FALSE),"na")</f>
        <v>45213.027083333334</v>
      </c>
    </row>
    <row r="400" spans="1:12" x14ac:dyDescent="0.3">
      <c r="A400" s="1">
        <v>45211.316666666673</v>
      </c>
      <c r="B400" t="s">
        <v>331</v>
      </c>
      <c r="C400">
        <v>93</v>
      </c>
      <c r="D400" t="s">
        <v>10</v>
      </c>
      <c r="E400" t="str">
        <f>IFERROR(VLOOKUP(logos[[#This Row],[Cell_ID]],'registe maintenance'!A:B,2,FALSE)," non répertoriées")</f>
        <v>Lualaba</v>
      </c>
      <c r="F400">
        <f>IFERROR(VLOOKUP(logos[[#This Row],[Cell_ID]],'registe maintenance'!A:C,3,FALSE)," non répertoriées")</f>
        <v>1.286548</v>
      </c>
      <c r="G400">
        <f>IFERROR(VLOOKUP(logos[[#This Row],[Cell_ID]],'registe maintenance'!A:D,4,FALSE)," non répertoriées")</f>
        <v>29.823702999999998</v>
      </c>
      <c r="H400" t="str">
        <f>IFERROR(VLOOKUP(logos[[#This Row],[Cell_ID]],'registe maintenance'!A:E,5,FALSE)," non répertoriées")</f>
        <v>4G</v>
      </c>
      <c r="I400" t="str">
        <f>IFERROR(VLOOKUP(logos[[#This Row],[Cell_ID]],'registe maintenance'!A:F,6,FALSE)," non répertoriées")</f>
        <v>ZTE</v>
      </c>
      <c r="J400">
        <f>IFERROR(VLOOKUP(B400,'logos transformer '!A:B,2,FALSE),"na")</f>
        <v>2</v>
      </c>
      <c r="K400">
        <f>IFERROR(VLOOKUP(B400,'logos transformer '!A:C,3,FALSE),"na")</f>
        <v>146</v>
      </c>
      <c r="L400" s="1">
        <f>IFERROR(VLOOKUP(B400,'logos transformer '!A:D,4,FALSE),"na")</f>
        <v>45221.049305555556</v>
      </c>
    </row>
    <row r="401" spans="1:12" x14ac:dyDescent="0.3">
      <c r="A401" s="1">
        <v>45213.237500000003</v>
      </c>
      <c r="B401" t="s">
        <v>127</v>
      </c>
      <c r="C401">
        <v>68</v>
      </c>
      <c r="D401" t="s">
        <v>10</v>
      </c>
      <c r="E401" t="str">
        <f>IFERROR(VLOOKUP(logos[[#This Row],[Cell_ID]],'registe maintenance'!A:B,2,FALSE)," non répertoriées")</f>
        <v>Nord-Kivu</v>
      </c>
      <c r="F401">
        <f>IFERROR(VLOOKUP(logos[[#This Row],[Cell_ID]],'registe maintenance'!A:C,3,FALSE)," non répertoriées")</f>
        <v>-10.25074</v>
      </c>
      <c r="G401">
        <f>IFERROR(VLOOKUP(logos[[#This Row],[Cell_ID]],'registe maintenance'!A:D,4,FALSE)," non répertoriées")</f>
        <v>26.099086</v>
      </c>
      <c r="H401" t="str">
        <f>IFERROR(VLOOKUP(logos[[#This Row],[Cell_ID]],'registe maintenance'!A:E,5,FALSE)," non répertoriées")</f>
        <v>4G</v>
      </c>
      <c r="I401" t="str">
        <f>IFERROR(VLOOKUP(logos[[#This Row],[Cell_ID]],'registe maintenance'!A:F,6,FALSE)," non répertoriées")</f>
        <v>Huawei</v>
      </c>
      <c r="J401">
        <f>IFERROR(VLOOKUP(B401,'logos transformer '!A:B,2,FALSE),"na")</f>
        <v>5</v>
      </c>
      <c r="K401">
        <f>IFERROR(VLOOKUP(B401,'logos transformer '!A:C,3,FALSE),"na")</f>
        <v>237</v>
      </c>
      <c r="L401" s="1">
        <f>IFERROR(VLOOKUP(B401,'logos transformer '!A:D,4,FALSE),"na")</f>
        <v>45227.92291666667</v>
      </c>
    </row>
    <row r="402" spans="1:12" x14ac:dyDescent="0.3">
      <c r="A402" s="1">
        <v>45221.106249999997</v>
      </c>
      <c r="B402" t="s">
        <v>25</v>
      </c>
      <c r="C402">
        <v>52</v>
      </c>
      <c r="D402" t="s">
        <v>10</v>
      </c>
      <c r="E402" t="str">
        <f>IFERROR(VLOOKUP(logos[[#This Row],[Cell_ID]],'registe maintenance'!A:B,2,FALSE)," non répertoriées")</f>
        <v xml:space="preserve"> non répertoriées</v>
      </c>
      <c r="F402" t="str">
        <f>IFERROR(VLOOKUP(logos[[#This Row],[Cell_ID]],'registe maintenance'!A:C,3,FALSE)," non répertoriées")</f>
        <v xml:space="preserve"> non répertoriées</v>
      </c>
      <c r="G402" t="str">
        <f>IFERROR(VLOOKUP(logos[[#This Row],[Cell_ID]],'registe maintenance'!A:D,4,FALSE)," non répertoriées")</f>
        <v xml:space="preserve"> non répertoriées</v>
      </c>
      <c r="H402" t="str">
        <f>IFERROR(VLOOKUP(logos[[#This Row],[Cell_ID]],'registe maintenance'!A:E,5,FALSE)," non répertoriées")</f>
        <v xml:space="preserve"> non répertoriées</v>
      </c>
      <c r="I402" t="str">
        <f>IFERROR(VLOOKUP(logos[[#This Row],[Cell_ID]],'registe maintenance'!A:F,6,FALSE)," non répertoriées")</f>
        <v xml:space="preserve"> non répertoriées</v>
      </c>
      <c r="J402">
        <f>IFERROR(VLOOKUP(B402,'logos transformer '!A:B,2,FALSE),"na")</f>
        <v>2</v>
      </c>
      <c r="K402">
        <f>IFERROR(VLOOKUP(B402,'logos transformer '!A:C,3,FALSE),"na")</f>
        <v>76</v>
      </c>
      <c r="L402" s="1">
        <f>IFERROR(VLOOKUP(B402,'logos transformer '!A:D,4,FALSE),"na")</f>
        <v>45227.484722222223</v>
      </c>
    </row>
    <row r="403" spans="1:12" x14ac:dyDescent="0.3">
      <c r="A403" s="1">
        <v>45211.106249999997</v>
      </c>
      <c r="B403" t="s">
        <v>332</v>
      </c>
      <c r="C403">
        <v>107</v>
      </c>
      <c r="D403" t="s">
        <v>5</v>
      </c>
      <c r="E403" t="str">
        <f>IFERROR(VLOOKUP(logos[[#This Row],[Cell_ID]],'registe maintenance'!A:B,2,FALSE)," non répertoriées")</f>
        <v>Kasai</v>
      </c>
      <c r="F403">
        <f>IFERROR(VLOOKUP(logos[[#This Row],[Cell_ID]],'registe maintenance'!A:C,3,FALSE)," non répertoriées")</f>
        <v>-5.125</v>
      </c>
      <c r="G403">
        <f>IFERROR(VLOOKUP(logos[[#This Row],[Cell_ID]],'registe maintenance'!A:D,4,FALSE)," non répertoriées")</f>
        <v>23.513119</v>
      </c>
      <c r="H403" t="str">
        <f>IFERROR(VLOOKUP(logos[[#This Row],[Cell_ID]],'registe maintenance'!A:E,5,FALSE)," non répertoriées")</f>
        <v>5G</v>
      </c>
      <c r="I403" t="str">
        <f>IFERROR(VLOOKUP(logos[[#This Row],[Cell_ID]],'registe maintenance'!A:F,6,FALSE)," non répertoriées")</f>
        <v>Huawei</v>
      </c>
      <c r="J403">
        <f>IFERROR(VLOOKUP(B403,'logos transformer '!A:B,2,FALSE),"na")</f>
        <v>2</v>
      </c>
      <c r="K403">
        <f>IFERROR(VLOOKUP(B403,'logos transformer '!A:C,3,FALSE),"na")</f>
        <v>174</v>
      </c>
      <c r="L403" s="1">
        <f>IFERROR(VLOOKUP(B403,'logos transformer '!A:D,4,FALSE),"na")</f>
        <v>45227.660416666666</v>
      </c>
    </row>
    <row r="404" spans="1:12" x14ac:dyDescent="0.3">
      <c r="A404" s="1">
        <v>45217.701388888891</v>
      </c>
      <c r="B404" t="s">
        <v>140</v>
      </c>
      <c r="C404">
        <v>71</v>
      </c>
      <c r="D404" t="s">
        <v>8</v>
      </c>
      <c r="E404" t="str">
        <f>IFERROR(VLOOKUP(logos[[#This Row],[Cell_ID]],'registe maintenance'!A:B,2,FALSE)," non répertoriées")</f>
        <v xml:space="preserve"> non répertoriées</v>
      </c>
      <c r="F404" t="str">
        <f>IFERROR(VLOOKUP(logos[[#This Row],[Cell_ID]],'registe maintenance'!A:C,3,FALSE)," non répertoriées")</f>
        <v xml:space="preserve"> non répertoriées</v>
      </c>
      <c r="G404" t="str">
        <f>IFERROR(VLOOKUP(logos[[#This Row],[Cell_ID]],'registe maintenance'!A:D,4,FALSE)," non répertoriées")</f>
        <v xml:space="preserve"> non répertoriées</v>
      </c>
      <c r="H404" t="str">
        <f>IFERROR(VLOOKUP(logos[[#This Row],[Cell_ID]],'registe maintenance'!A:E,5,FALSE)," non répertoriées")</f>
        <v xml:space="preserve"> non répertoriées</v>
      </c>
      <c r="I404" t="str">
        <f>IFERROR(VLOOKUP(logos[[#This Row],[Cell_ID]],'registe maintenance'!A:F,6,FALSE)," non répertoriées")</f>
        <v xml:space="preserve"> non répertoriées</v>
      </c>
      <c r="J404">
        <f>IFERROR(VLOOKUP(B404,'logos transformer '!A:B,2,FALSE),"na")</f>
        <v>4</v>
      </c>
      <c r="K404">
        <f>IFERROR(VLOOKUP(B404,'logos transformer '!A:C,3,FALSE),"na")</f>
        <v>347</v>
      </c>
      <c r="L404" s="1">
        <f>IFERROR(VLOOKUP(B404,'logos transformer '!A:D,4,FALSE),"na")</f>
        <v>45217.818749999999</v>
      </c>
    </row>
    <row r="405" spans="1:12" x14ac:dyDescent="0.3">
      <c r="A405" s="1">
        <v>45216.709027777782</v>
      </c>
      <c r="B405" t="s">
        <v>333</v>
      </c>
      <c r="C405">
        <v>39</v>
      </c>
      <c r="D405" t="s">
        <v>5</v>
      </c>
      <c r="E405" t="str">
        <f>IFERROR(VLOOKUP(logos[[#This Row],[Cell_ID]],'registe maintenance'!A:B,2,FALSE)," non répertoriées")</f>
        <v>Ituri</v>
      </c>
      <c r="F405">
        <f>IFERROR(VLOOKUP(logos[[#This Row],[Cell_ID]],'registe maintenance'!A:C,3,FALSE)," non répertoriées")</f>
        <v>-0.34051900000000002</v>
      </c>
      <c r="G405">
        <f>IFERROR(VLOOKUP(logos[[#This Row],[Cell_ID]],'registe maintenance'!A:D,4,FALSE)," non répertoriées")</f>
        <v>17.079799000000001</v>
      </c>
      <c r="H405" t="str">
        <f>IFERROR(VLOOKUP(logos[[#This Row],[Cell_ID]],'registe maintenance'!A:E,5,FALSE)," non répertoriées")</f>
        <v>5G</v>
      </c>
      <c r="I405" t="str">
        <f>IFERROR(VLOOKUP(logos[[#This Row],[Cell_ID]],'registe maintenance'!A:F,6,FALSE)," non répertoriées")</f>
        <v>Ericsson</v>
      </c>
      <c r="J405">
        <f>IFERROR(VLOOKUP(B405,'logos transformer '!A:B,2,FALSE),"na")</f>
        <v>2</v>
      </c>
      <c r="K405">
        <f>IFERROR(VLOOKUP(B405,'logos transformer '!A:C,3,FALSE),"na")</f>
        <v>130</v>
      </c>
      <c r="L405" s="1">
        <f>IFERROR(VLOOKUP(B405,'logos transformer '!A:D,4,FALSE),"na")</f>
        <v>45216.709027777775</v>
      </c>
    </row>
    <row r="406" spans="1:12" x14ac:dyDescent="0.3">
      <c r="A406" s="1">
        <v>45212.626388888893</v>
      </c>
      <c r="B406" t="s">
        <v>334</v>
      </c>
      <c r="C406">
        <v>107</v>
      </c>
      <c r="D406" t="s">
        <v>8</v>
      </c>
      <c r="E406" t="str">
        <f>IFERROR(VLOOKUP(logos[[#This Row],[Cell_ID]],'registe maintenance'!A:B,2,FALSE)," non répertoriées")</f>
        <v xml:space="preserve"> non répertoriées</v>
      </c>
      <c r="F406" t="str">
        <f>IFERROR(VLOOKUP(logos[[#This Row],[Cell_ID]],'registe maintenance'!A:C,3,FALSE)," non répertoriées")</f>
        <v xml:space="preserve"> non répertoriées</v>
      </c>
      <c r="G406" t="str">
        <f>IFERROR(VLOOKUP(logos[[#This Row],[Cell_ID]],'registe maintenance'!A:D,4,FALSE)," non répertoriées")</f>
        <v xml:space="preserve"> non répertoriées</v>
      </c>
      <c r="H406" t="str">
        <f>IFERROR(VLOOKUP(logos[[#This Row],[Cell_ID]],'registe maintenance'!A:E,5,FALSE)," non répertoriées")</f>
        <v xml:space="preserve"> non répertoriées</v>
      </c>
      <c r="I406" t="str">
        <f>IFERROR(VLOOKUP(logos[[#This Row],[Cell_ID]],'registe maintenance'!A:F,6,FALSE)," non répertoriées")</f>
        <v xml:space="preserve"> non répertoriées</v>
      </c>
      <c r="J406">
        <f>IFERROR(VLOOKUP(B406,'logos transformer '!A:B,2,FALSE),"na")</f>
        <v>2</v>
      </c>
      <c r="K406">
        <f>IFERROR(VLOOKUP(B406,'logos transformer '!A:C,3,FALSE),"na")</f>
        <v>154</v>
      </c>
      <c r="L406" s="1">
        <f>IFERROR(VLOOKUP(B406,'logos transformer '!A:D,4,FALSE),"na")</f>
        <v>45212.626388888886</v>
      </c>
    </row>
    <row r="407" spans="1:12" x14ac:dyDescent="0.3">
      <c r="A407" s="1">
        <v>45220.515972222223</v>
      </c>
      <c r="B407" t="s">
        <v>335</v>
      </c>
      <c r="C407">
        <v>15</v>
      </c>
      <c r="D407" t="s">
        <v>10</v>
      </c>
      <c r="E407" t="str">
        <f>IFERROR(VLOOKUP(logos[[#This Row],[Cell_ID]],'registe maintenance'!A:B,2,FALSE)," non répertoriées")</f>
        <v xml:space="preserve"> non répertoriées</v>
      </c>
      <c r="F407" t="str">
        <f>IFERROR(VLOOKUP(logos[[#This Row],[Cell_ID]],'registe maintenance'!A:C,3,FALSE)," non répertoriées")</f>
        <v xml:space="preserve"> non répertoriées</v>
      </c>
      <c r="G407" t="str">
        <f>IFERROR(VLOOKUP(logos[[#This Row],[Cell_ID]],'registe maintenance'!A:D,4,FALSE)," non répertoriées")</f>
        <v xml:space="preserve"> non répertoriées</v>
      </c>
      <c r="H407" t="str">
        <f>IFERROR(VLOOKUP(logos[[#This Row],[Cell_ID]],'registe maintenance'!A:E,5,FALSE)," non répertoriées")</f>
        <v xml:space="preserve"> non répertoriées</v>
      </c>
      <c r="I407" t="str">
        <f>IFERROR(VLOOKUP(logos[[#This Row],[Cell_ID]],'registe maintenance'!A:F,6,FALSE)," non répertoriées")</f>
        <v xml:space="preserve"> non répertoriées</v>
      </c>
      <c r="J407">
        <f>IFERROR(VLOOKUP(B407,'logos transformer '!A:B,2,FALSE),"na")</f>
        <v>5</v>
      </c>
      <c r="K407">
        <f>IFERROR(VLOOKUP(B407,'logos transformer '!A:C,3,FALSE),"na")</f>
        <v>312</v>
      </c>
      <c r="L407" s="1">
        <f>IFERROR(VLOOKUP(B407,'logos transformer '!A:D,4,FALSE),"na")</f>
        <v>45224.288194444445</v>
      </c>
    </row>
    <row r="408" spans="1:12" x14ac:dyDescent="0.3">
      <c r="A408" s="1">
        <v>45208.959027777782</v>
      </c>
      <c r="B408" t="s">
        <v>69</v>
      </c>
      <c r="C408">
        <v>98</v>
      </c>
      <c r="D408" t="s">
        <v>10</v>
      </c>
      <c r="E408" t="str">
        <f>IFERROR(VLOOKUP(logos[[#This Row],[Cell_ID]],'registe maintenance'!A:B,2,FALSE)," non répertoriées")</f>
        <v>Nord-Kivu</v>
      </c>
      <c r="F408">
        <f>IFERROR(VLOOKUP(logos[[#This Row],[Cell_ID]],'registe maintenance'!A:C,3,FALSE)," non répertoriées")</f>
        <v>0.82868600000000003</v>
      </c>
      <c r="G408">
        <f>IFERROR(VLOOKUP(logos[[#This Row],[Cell_ID]],'registe maintenance'!A:D,4,FALSE)," non répertoriées")</f>
        <v>26.958843999999999</v>
      </c>
      <c r="H408" t="str">
        <f>IFERROR(VLOOKUP(logos[[#This Row],[Cell_ID]],'registe maintenance'!A:E,5,FALSE)," non répertoriées")</f>
        <v>5G</v>
      </c>
      <c r="I408" t="str">
        <f>IFERROR(VLOOKUP(logos[[#This Row],[Cell_ID]],'registe maintenance'!A:F,6,FALSE)," non répertoriées")</f>
        <v>ZTE</v>
      </c>
      <c r="J408">
        <f>IFERROR(VLOOKUP(B408,'logos transformer '!A:B,2,FALSE),"na")</f>
        <v>5</v>
      </c>
      <c r="K408">
        <f>IFERROR(VLOOKUP(B408,'logos transformer '!A:C,3,FALSE),"na")</f>
        <v>385</v>
      </c>
      <c r="L408" s="1">
        <f>IFERROR(VLOOKUP(B408,'logos transformer '!A:D,4,FALSE),"na")</f>
        <v>45229.065972222219</v>
      </c>
    </row>
    <row r="409" spans="1:12" x14ac:dyDescent="0.3">
      <c r="A409" s="1">
        <v>45211.098611111112</v>
      </c>
      <c r="B409" t="s">
        <v>336</v>
      </c>
      <c r="C409">
        <v>59</v>
      </c>
      <c r="D409" t="s">
        <v>10</v>
      </c>
      <c r="E409" t="str">
        <f>IFERROR(VLOOKUP(logos[[#This Row],[Cell_ID]],'registe maintenance'!A:B,2,FALSE)," non répertoriées")</f>
        <v>Sud-Ubangi</v>
      </c>
      <c r="F409">
        <f>IFERROR(VLOOKUP(logos[[#This Row],[Cell_ID]],'registe maintenance'!A:C,3,FALSE)," non répertoriées")</f>
        <v>-11.387295999999999</v>
      </c>
      <c r="G409">
        <f>IFERROR(VLOOKUP(logos[[#This Row],[Cell_ID]],'registe maintenance'!A:D,4,FALSE)," non répertoriées")</f>
        <v>19.384257999999999</v>
      </c>
      <c r="H409" t="str">
        <f>IFERROR(VLOOKUP(logos[[#This Row],[Cell_ID]],'registe maintenance'!A:E,5,FALSE)," non répertoriées")</f>
        <v>3G</v>
      </c>
      <c r="I409" t="str">
        <f>IFERROR(VLOOKUP(logos[[#This Row],[Cell_ID]],'registe maintenance'!A:F,6,FALSE)," non répertoriées")</f>
        <v>Huawei</v>
      </c>
      <c r="J409">
        <f>IFERROR(VLOOKUP(B409,'logos transformer '!A:B,2,FALSE),"na")</f>
        <v>2</v>
      </c>
      <c r="K409">
        <f>IFERROR(VLOOKUP(B409,'logos transformer '!A:C,3,FALSE),"na")</f>
        <v>122</v>
      </c>
      <c r="L409" s="1">
        <f>IFERROR(VLOOKUP(B409,'logos transformer '!A:D,4,FALSE),"na")</f>
        <v>45213.066666666666</v>
      </c>
    </row>
    <row r="410" spans="1:12" x14ac:dyDescent="0.3">
      <c r="A410" s="1">
        <v>45207.987500000003</v>
      </c>
      <c r="B410" t="s">
        <v>337</v>
      </c>
      <c r="C410">
        <v>15</v>
      </c>
      <c r="D410" t="s">
        <v>8</v>
      </c>
      <c r="E410" t="str">
        <f>IFERROR(VLOOKUP(logos[[#This Row],[Cell_ID]],'registe maintenance'!A:B,2,FALSE)," non répertoriées")</f>
        <v>Kwango</v>
      </c>
      <c r="F410">
        <f>IFERROR(VLOOKUP(logos[[#This Row],[Cell_ID]],'registe maintenance'!A:C,3,FALSE)," non répertoriées")</f>
        <v>-9.0798120000000004</v>
      </c>
      <c r="G410">
        <f>IFERROR(VLOOKUP(logos[[#This Row],[Cell_ID]],'registe maintenance'!A:D,4,FALSE)," non répertoriées")</f>
        <v>14.945484</v>
      </c>
      <c r="H410" t="str">
        <f>IFERROR(VLOOKUP(logos[[#This Row],[Cell_ID]],'registe maintenance'!A:E,5,FALSE)," non répertoriées")</f>
        <v>5G</v>
      </c>
      <c r="I410" t="str">
        <f>IFERROR(VLOOKUP(logos[[#This Row],[Cell_ID]],'registe maintenance'!A:F,6,FALSE)," non répertoriées")</f>
        <v>Ericsson</v>
      </c>
      <c r="J410">
        <f>IFERROR(VLOOKUP(B410,'logos transformer '!A:B,2,FALSE),"na")</f>
        <v>2</v>
      </c>
      <c r="K410">
        <f>IFERROR(VLOOKUP(B410,'logos transformer '!A:C,3,FALSE),"na")</f>
        <v>78</v>
      </c>
      <c r="L410" s="1">
        <f>IFERROR(VLOOKUP(B410,'logos transformer '!A:D,4,FALSE),"na")</f>
        <v>45210.03125</v>
      </c>
    </row>
    <row r="411" spans="1:12" x14ac:dyDescent="0.3">
      <c r="A411" s="1">
        <v>45220.15902777778</v>
      </c>
      <c r="B411" t="s">
        <v>338</v>
      </c>
      <c r="C411">
        <v>60</v>
      </c>
      <c r="D411" t="s">
        <v>10</v>
      </c>
      <c r="E411" t="str">
        <f>IFERROR(VLOOKUP(logos[[#This Row],[Cell_ID]],'registe maintenance'!A:B,2,FALSE)," non répertoriées")</f>
        <v>Tshopo</v>
      </c>
      <c r="F411">
        <f>IFERROR(VLOOKUP(logos[[#This Row],[Cell_ID]],'registe maintenance'!A:C,3,FALSE)," non répertoriées")</f>
        <v>-9.4133639999999996</v>
      </c>
      <c r="G411">
        <f>IFERROR(VLOOKUP(logos[[#This Row],[Cell_ID]],'registe maintenance'!A:D,4,FALSE)," non répertoriées")</f>
        <v>15.682482</v>
      </c>
      <c r="H411" t="str">
        <f>IFERROR(VLOOKUP(logos[[#This Row],[Cell_ID]],'registe maintenance'!A:E,5,FALSE)," non répertoriées")</f>
        <v>4G</v>
      </c>
      <c r="I411" t="str">
        <f>IFERROR(VLOOKUP(logos[[#This Row],[Cell_ID]],'registe maintenance'!A:F,6,FALSE)," non répertoriées")</f>
        <v>Huawei</v>
      </c>
      <c r="J411">
        <f>IFERROR(VLOOKUP(B411,'logos transformer '!A:B,2,FALSE),"na")</f>
        <v>1</v>
      </c>
      <c r="K411">
        <f>IFERROR(VLOOKUP(B411,'logos transformer '!A:C,3,FALSE),"na")</f>
        <v>60</v>
      </c>
      <c r="L411" s="1">
        <f>IFERROR(VLOOKUP(B411,'logos transformer '!A:D,4,FALSE),"na")</f>
        <v>45220.15902777778</v>
      </c>
    </row>
    <row r="412" spans="1:12" x14ac:dyDescent="0.3">
      <c r="A412" s="1">
        <v>45218.991666666669</v>
      </c>
      <c r="B412" t="s">
        <v>271</v>
      </c>
      <c r="C412">
        <v>82</v>
      </c>
      <c r="D412" t="s">
        <v>5</v>
      </c>
      <c r="E412" t="str">
        <f>IFERROR(VLOOKUP(logos[[#This Row],[Cell_ID]],'registe maintenance'!A:B,2,FALSE)," non répertoriées")</f>
        <v>Ituri</v>
      </c>
      <c r="F412">
        <f>IFERROR(VLOOKUP(logos[[#This Row],[Cell_ID]],'registe maintenance'!A:C,3,FALSE)," non répertoriées")</f>
        <v>-3.7720639999999999</v>
      </c>
      <c r="G412">
        <f>IFERROR(VLOOKUP(logos[[#This Row],[Cell_ID]],'registe maintenance'!A:D,4,FALSE)," non répertoriées")</f>
        <v>16.006277999999998</v>
      </c>
      <c r="H412" t="str">
        <f>IFERROR(VLOOKUP(logos[[#This Row],[Cell_ID]],'registe maintenance'!A:E,5,FALSE)," non répertoriées")</f>
        <v>5G</v>
      </c>
      <c r="I412" t="str">
        <f>IFERROR(VLOOKUP(logos[[#This Row],[Cell_ID]],'registe maintenance'!A:F,6,FALSE)," non répertoriées")</f>
        <v>ZTE</v>
      </c>
      <c r="J412">
        <f>IFERROR(VLOOKUP(B412,'logos transformer '!A:B,2,FALSE),"na")</f>
        <v>3</v>
      </c>
      <c r="K412">
        <f>IFERROR(VLOOKUP(B412,'logos transformer '!A:C,3,FALSE),"na")</f>
        <v>176</v>
      </c>
      <c r="L412" s="1">
        <f>IFERROR(VLOOKUP(B412,'logos transformer '!A:D,4,FALSE),"na")</f>
        <v>45227.915277777778</v>
      </c>
    </row>
    <row r="413" spans="1:12" x14ac:dyDescent="0.3">
      <c r="A413" s="1">
        <v>45210.168055555558</v>
      </c>
      <c r="B413" t="s">
        <v>339</v>
      </c>
      <c r="C413">
        <v>110</v>
      </c>
      <c r="D413" t="s">
        <v>5</v>
      </c>
      <c r="E413" t="str">
        <f>IFERROR(VLOOKUP(logos[[#This Row],[Cell_ID]],'registe maintenance'!A:B,2,FALSE)," non répertoriées")</f>
        <v>Tanganyika</v>
      </c>
      <c r="F413">
        <f>IFERROR(VLOOKUP(logos[[#This Row],[Cell_ID]],'registe maintenance'!A:C,3,FALSE)," non répertoriées")</f>
        <v>-9.9565739999999998</v>
      </c>
      <c r="G413">
        <f>IFERROR(VLOOKUP(logos[[#This Row],[Cell_ID]],'registe maintenance'!A:D,4,FALSE)," non répertoriées")</f>
        <v>21.017202000000001</v>
      </c>
      <c r="H413" t="str">
        <f>IFERROR(VLOOKUP(logos[[#This Row],[Cell_ID]],'registe maintenance'!A:E,5,FALSE)," non répertoriées")</f>
        <v>4G</v>
      </c>
      <c r="I413" t="str">
        <f>IFERROR(VLOOKUP(logos[[#This Row],[Cell_ID]],'registe maintenance'!A:F,6,FALSE)," non répertoriées")</f>
        <v>Huawei</v>
      </c>
      <c r="J413">
        <f>IFERROR(VLOOKUP(B413,'logos transformer '!A:B,2,FALSE),"na")</f>
        <v>1</v>
      </c>
      <c r="K413">
        <f>IFERROR(VLOOKUP(B413,'logos transformer '!A:C,3,FALSE),"na")</f>
        <v>110</v>
      </c>
      <c r="L413" s="1">
        <f>IFERROR(VLOOKUP(B413,'logos transformer '!A:D,4,FALSE),"na")</f>
        <v>45210.168055555558</v>
      </c>
    </row>
    <row r="414" spans="1:12" x14ac:dyDescent="0.3">
      <c r="A414" s="1">
        <v>45211.722916666673</v>
      </c>
      <c r="B414" t="s">
        <v>340</v>
      </c>
      <c r="C414">
        <v>28</v>
      </c>
      <c r="D414" t="s">
        <v>5</v>
      </c>
      <c r="E414" t="str">
        <f>IFERROR(VLOOKUP(logos[[#This Row],[Cell_ID]],'registe maintenance'!A:B,2,FALSE)," non répertoriées")</f>
        <v>Haut-Uele</v>
      </c>
      <c r="F414">
        <f>IFERROR(VLOOKUP(logos[[#This Row],[Cell_ID]],'registe maintenance'!A:C,3,FALSE)," non répertoriées")</f>
        <v>-6.9624990000000002</v>
      </c>
      <c r="G414">
        <f>IFERROR(VLOOKUP(logos[[#This Row],[Cell_ID]],'registe maintenance'!A:D,4,FALSE)," non répertoriées")</f>
        <v>20.759834999999999</v>
      </c>
      <c r="H414" t="str">
        <f>IFERROR(VLOOKUP(logos[[#This Row],[Cell_ID]],'registe maintenance'!A:E,5,FALSE)," non répertoriées")</f>
        <v>4G</v>
      </c>
      <c r="I414" t="str">
        <f>IFERROR(VLOOKUP(logos[[#This Row],[Cell_ID]],'registe maintenance'!A:F,6,FALSE)," non répertoriées")</f>
        <v>Huawei</v>
      </c>
      <c r="J414">
        <f>IFERROR(VLOOKUP(B414,'logos transformer '!A:B,2,FALSE),"na")</f>
        <v>1</v>
      </c>
      <c r="K414">
        <f>IFERROR(VLOOKUP(B414,'logos transformer '!A:C,3,FALSE),"na")</f>
        <v>28</v>
      </c>
      <c r="L414" s="1">
        <f>IFERROR(VLOOKUP(B414,'logos transformer '!A:D,4,FALSE),"na")</f>
        <v>45211.722916666666</v>
      </c>
    </row>
    <row r="415" spans="1:12" x14ac:dyDescent="0.3">
      <c r="A415" s="1">
        <v>45226.84097222222</v>
      </c>
      <c r="B415" t="s">
        <v>341</v>
      </c>
      <c r="C415">
        <v>74</v>
      </c>
      <c r="D415" t="s">
        <v>8</v>
      </c>
      <c r="E415" t="str">
        <f>IFERROR(VLOOKUP(logos[[#This Row],[Cell_ID]],'registe maintenance'!A:B,2,FALSE)," non répertoriées")</f>
        <v>Kinshasa</v>
      </c>
      <c r="F415">
        <f>IFERROR(VLOOKUP(logos[[#This Row],[Cell_ID]],'registe maintenance'!A:C,3,FALSE)," non répertoriées")</f>
        <v>-11.389362</v>
      </c>
      <c r="G415">
        <f>IFERROR(VLOOKUP(logos[[#This Row],[Cell_ID]],'registe maintenance'!A:D,4,FALSE)," non répertoriées")</f>
        <v>22.240174</v>
      </c>
      <c r="H415" t="str">
        <f>IFERROR(VLOOKUP(logos[[#This Row],[Cell_ID]],'registe maintenance'!A:E,5,FALSE)," non répertoriées")</f>
        <v>5G</v>
      </c>
      <c r="I415" t="str">
        <f>IFERROR(VLOOKUP(logos[[#This Row],[Cell_ID]],'registe maintenance'!A:F,6,FALSE)," non répertoriées")</f>
        <v>ZTE</v>
      </c>
      <c r="J415">
        <f>IFERROR(VLOOKUP(B415,'logos transformer '!A:B,2,FALSE),"na")</f>
        <v>3</v>
      </c>
      <c r="K415">
        <f>IFERROR(VLOOKUP(B415,'logos transformer '!A:C,3,FALSE),"na")</f>
        <v>109</v>
      </c>
      <c r="L415" s="1">
        <f>IFERROR(VLOOKUP(B415,'logos transformer '!A:D,4,FALSE),"na")</f>
        <v>45226.84097222222</v>
      </c>
    </row>
    <row r="416" spans="1:12" x14ac:dyDescent="0.3">
      <c r="A416" s="1">
        <v>45226.895138888889</v>
      </c>
      <c r="B416" t="s">
        <v>342</v>
      </c>
      <c r="C416">
        <v>42</v>
      </c>
      <c r="D416" t="s">
        <v>5</v>
      </c>
      <c r="E416" t="str">
        <f>IFERROR(VLOOKUP(logos[[#This Row],[Cell_ID]],'registe maintenance'!A:B,2,FALSE)," non répertoriées")</f>
        <v xml:space="preserve"> non répertoriées</v>
      </c>
      <c r="F416" t="str">
        <f>IFERROR(VLOOKUP(logos[[#This Row],[Cell_ID]],'registe maintenance'!A:C,3,FALSE)," non répertoriées")</f>
        <v xml:space="preserve"> non répertoriées</v>
      </c>
      <c r="G416" t="str">
        <f>IFERROR(VLOOKUP(logos[[#This Row],[Cell_ID]],'registe maintenance'!A:D,4,FALSE)," non répertoriées")</f>
        <v xml:space="preserve"> non répertoriées</v>
      </c>
      <c r="H416" t="str">
        <f>IFERROR(VLOOKUP(logos[[#This Row],[Cell_ID]],'registe maintenance'!A:E,5,FALSE)," non répertoriées")</f>
        <v xml:space="preserve"> non répertoriées</v>
      </c>
      <c r="I416" t="str">
        <f>IFERROR(VLOOKUP(logos[[#This Row],[Cell_ID]],'registe maintenance'!A:F,6,FALSE)," non répertoriées")</f>
        <v xml:space="preserve"> non répertoriées</v>
      </c>
      <c r="J416">
        <f>IFERROR(VLOOKUP(B416,'logos transformer '!A:B,2,FALSE),"na")</f>
        <v>3</v>
      </c>
      <c r="K416">
        <f>IFERROR(VLOOKUP(B416,'logos transformer '!A:C,3,FALSE),"na")</f>
        <v>210</v>
      </c>
      <c r="L416" s="1">
        <f>IFERROR(VLOOKUP(B416,'logos transformer '!A:D,4,FALSE),"na")</f>
        <v>45226.895138888889</v>
      </c>
    </row>
    <row r="417" spans="1:12" x14ac:dyDescent="0.3">
      <c r="A417" s="1">
        <v>45222.652777777781</v>
      </c>
      <c r="B417" t="s">
        <v>343</v>
      </c>
      <c r="C417">
        <v>46</v>
      </c>
      <c r="D417" t="s">
        <v>10</v>
      </c>
      <c r="E417" t="str">
        <f>IFERROR(VLOOKUP(logos[[#This Row],[Cell_ID]],'registe maintenance'!A:B,2,FALSE)," non répertoriées")</f>
        <v>Lomami</v>
      </c>
      <c r="F417">
        <f>IFERROR(VLOOKUP(logos[[#This Row],[Cell_ID]],'registe maintenance'!A:C,3,FALSE)," non répertoriées")</f>
        <v>-11.266565999999999</v>
      </c>
      <c r="G417">
        <f>IFERROR(VLOOKUP(logos[[#This Row],[Cell_ID]],'registe maintenance'!A:D,4,FALSE)," non répertoriées")</f>
        <v>26.245055000000001</v>
      </c>
      <c r="H417" t="str">
        <f>IFERROR(VLOOKUP(logos[[#This Row],[Cell_ID]],'registe maintenance'!A:E,5,FALSE)," non répertoriées")</f>
        <v>3G</v>
      </c>
      <c r="I417" t="str">
        <f>IFERROR(VLOOKUP(logos[[#This Row],[Cell_ID]],'registe maintenance'!A:F,6,FALSE)," non répertoriées")</f>
        <v>Ericsson</v>
      </c>
      <c r="J417">
        <f>IFERROR(VLOOKUP(B417,'logos transformer '!A:B,2,FALSE),"na")</f>
        <v>1</v>
      </c>
      <c r="K417">
        <f>IFERROR(VLOOKUP(B417,'logos transformer '!A:C,3,FALSE),"na")</f>
        <v>46</v>
      </c>
      <c r="L417" s="1">
        <f>IFERROR(VLOOKUP(B417,'logos transformer '!A:D,4,FALSE),"na")</f>
        <v>45222.652777777781</v>
      </c>
    </row>
    <row r="418" spans="1:12" x14ac:dyDescent="0.3">
      <c r="A418" s="1">
        <v>45205.169444444437</v>
      </c>
      <c r="B418" t="s">
        <v>344</v>
      </c>
      <c r="C418">
        <v>18</v>
      </c>
      <c r="D418" t="s">
        <v>8</v>
      </c>
      <c r="E418" t="str">
        <f>IFERROR(VLOOKUP(logos[[#This Row],[Cell_ID]],'registe maintenance'!A:B,2,FALSE)," non répertoriées")</f>
        <v>Kasai</v>
      </c>
      <c r="F418">
        <f>IFERROR(VLOOKUP(logos[[#This Row],[Cell_ID]],'registe maintenance'!A:C,3,FALSE)," non répertoriées")</f>
        <v>4.8689660000000003</v>
      </c>
      <c r="G418">
        <f>IFERROR(VLOOKUP(logos[[#This Row],[Cell_ID]],'registe maintenance'!A:D,4,FALSE)," non répertoriées")</f>
        <v>25.112373000000002</v>
      </c>
      <c r="H418" t="str">
        <f>IFERROR(VLOOKUP(logos[[#This Row],[Cell_ID]],'registe maintenance'!A:E,5,FALSE)," non répertoriées")</f>
        <v>3G</v>
      </c>
      <c r="I418" t="str">
        <f>IFERROR(VLOOKUP(logos[[#This Row],[Cell_ID]],'registe maintenance'!A:F,6,FALSE)," non répertoriées")</f>
        <v>Huawei</v>
      </c>
      <c r="J418">
        <f>IFERROR(VLOOKUP(B418,'logos transformer '!A:B,2,FALSE),"na")</f>
        <v>1</v>
      </c>
      <c r="K418">
        <f>IFERROR(VLOOKUP(B418,'logos transformer '!A:C,3,FALSE),"na")</f>
        <v>18</v>
      </c>
      <c r="L418" s="1">
        <f>IFERROR(VLOOKUP(B418,'logos transformer '!A:D,4,FALSE),"na")</f>
        <v>45205.169444444444</v>
      </c>
    </row>
    <row r="419" spans="1:12" x14ac:dyDescent="0.3">
      <c r="A419" s="1">
        <v>45222.584722222222</v>
      </c>
      <c r="B419" t="s">
        <v>345</v>
      </c>
      <c r="C419">
        <v>15</v>
      </c>
      <c r="D419" t="s">
        <v>10</v>
      </c>
      <c r="E419" t="str">
        <f>IFERROR(VLOOKUP(logos[[#This Row],[Cell_ID]],'registe maintenance'!A:B,2,FALSE)," non répertoriées")</f>
        <v>Equateur</v>
      </c>
      <c r="F419">
        <f>IFERROR(VLOOKUP(logos[[#This Row],[Cell_ID]],'registe maintenance'!A:C,3,FALSE)," non répertoriées")</f>
        <v>-9.1215879999999991</v>
      </c>
      <c r="G419">
        <f>IFERROR(VLOOKUP(logos[[#This Row],[Cell_ID]],'registe maintenance'!A:D,4,FALSE)," non répertoriées")</f>
        <v>16.457916999999998</v>
      </c>
      <c r="H419" t="str">
        <f>IFERROR(VLOOKUP(logos[[#This Row],[Cell_ID]],'registe maintenance'!A:E,5,FALSE)," non répertoriées")</f>
        <v>4G</v>
      </c>
      <c r="I419" t="str">
        <f>IFERROR(VLOOKUP(logos[[#This Row],[Cell_ID]],'registe maintenance'!A:F,6,FALSE)," non répertoriées")</f>
        <v>Nokia</v>
      </c>
      <c r="J419">
        <f>IFERROR(VLOOKUP(B419,'logos transformer '!A:B,2,FALSE),"na")</f>
        <v>1</v>
      </c>
      <c r="K419">
        <f>IFERROR(VLOOKUP(B419,'logos transformer '!A:C,3,FALSE),"na")</f>
        <v>15</v>
      </c>
      <c r="L419" s="1">
        <f>IFERROR(VLOOKUP(B419,'logos transformer '!A:D,4,FALSE),"na")</f>
        <v>45222.584722222222</v>
      </c>
    </row>
    <row r="420" spans="1:12" x14ac:dyDescent="0.3">
      <c r="A420" s="1">
        <v>45209.251388888893</v>
      </c>
      <c r="B420" t="s">
        <v>253</v>
      </c>
      <c r="C420">
        <v>46</v>
      </c>
      <c r="D420" t="s">
        <v>8</v>
      </c>
      <c r="E420" t="str">
        <f>IFERROR(VLOOKUP(logos[[#This Row],[Cell_ID]],'registe maintenance'!A:B,2,FALSE)," non répertoriées")</f>
        <v xml:space="preserve"> non répertoriées</v>
      </c>
      <c r="F420" t="str">
        <f>IFERROR(VLOOKUP(logos[[#This Row],[Cell_ID]],'registe maintenance'!A:C,3,FALSE)," non répertoriées")</f>
        <v xml:space="preserve"> non répertoriées</v>
      </c>
      <c r="G420" t="str">
        <f>IFERROR(VLOOKUP(logos[[#This Row],[Cell_ID]],'registe maintenance'!A:D,4,FALSE)," non répertoriées")</f>
        <v xml:space="preserve"> non répertoriées</v>
      </c>
      <c r="H420" t="str">
        <f>IFERROR(VLOOKUP(logos[[#This Row],[Cell_ID]],'registe maintenance'!A:E,5,FALSE)," non répertoriées")</f>
        <v xml:space="preserve"> non répertoriées</v>
      </c>
      <c r="I420" t="str">
        <f>IFERROR(VLOOKUP(logos[[#This Row],[Cell_ID]],'registe maintenance'!A:F,6,FALSE)," non répertoriées")</f>
        <v xml:space="preserve"> non répertoriées</v>
      </c>
      <c r="J420">
        <f>IFERROR(VLOOKUP(B420,'logos transformer '!A:B,2,FALSE),"na")</f>
        <v>3</v>
      </c>
      <c r="K420">
        <f>IFERROR(VLOOKUP(B420,'logos transformer '!A:C,3,FALSE),"na")</f>
        <v>120</v>
      </c>
      <c r="L420" s="1">
        <f>IFERROR(VLOOKUP(B420,'logos transformer '!A:D,4,FALSE),"na")</f>
        <v>45228.100694444445</v>
      </c>
    </row>
    <row r="421" spans="1:12" x14ac:dyDescent="0.3">
      <c r="A421" s="1">
        <v>45225.288888888892</v>
      </c>
      <c r="B421" t="s">
        <v>297</v>
      </c>
      <c r="C421">
        <v>89</v>
      </c>
      <c r="D421" t="s">
        <v>5</v>
      </c>
      <c r="E421" t="str">
        <f>IFERROR(VLOOKUP(logos[[#This Row],[Cell_ID]],'registe maintenance'!A:B,2,FALSE)," non répertoriées")</f>
        <v>Haut-Lomami</v>
      </c>
      <c r="F421">
        <f>IFERROR(VLOOKUP(logos[[#This Row],[Cell_ID]],'registe maintenance'!A:C,3,FALSE)," non répertoriées")</f>
        <v>0.16327700000000001</v>
      </c>
      <c r="G421">
        <f>IFERROR(VLOOKUP(logos[[#This Row],[Cell_ID]],'registe maintenance'!A:D,4,FALSE)," non répertoriées")</f>
        <v>14.871577</v>
      </c>
      <c r="H421" t="str">
        <f>IFERROR(VLOOKUP(logos[[#This Row],[Cell_ID]],'registe maintenance'!A:E,5,FALSE)," non répertoriées")</f>
        <v>4G</v>
      </c>
      <c r="I421" t="str">
        <f>IFERROR(VLOOKUP(logos[[#This Row],[Cell_ID]],'registe maintenance'!A:F,6,FALSE)," non répertoriées")</f>
        <v>Huawei</v>
      </c>
      <c r="J421">
        <f>IFERROR(VLOOKUP(B421,'logos transformer '!A:B,2,FALSE),"na")</f>
        <v>2</v>
      </c>
      <c r="K421">
        <f>IFERROR(VLOOKUP(B421,'logos transformer '!A:C,3,FALSE),"na")</f>
        <v>137</v>
      </c>
      <c r="L421" s="1">
        <f>IFERROR(VLOOKUP(B421,'logos transformer '!A:D,4,FALSE),"na")</f>
        <v>45225.288888888892</v>
      </c>
    </row>
    <row r="422" spans="1:12" x14ac:dyDescent="0.3">
      <c r="A422" s="1">
        <v>45201.457638888889</v>
      </c>
      <c r="B422" t="s">
        <v>346</v>
      </c>
      <c r="C422">
        <v>42</v>
      </c>
      <c r="D422" t="s">
        <v>10</v>
      </c>
      <c r="E422" t="str">
        <f>IFERROR(VLOOKUP(logos[[#This Row],[Cell_ID]],'registe maintenance'!A:B,2,FALSE)," non répertoriées")</f>
        <v xml:space="preserve"> non répertoriées</v>
      </c>
      <c r="F422" t="str">
        <f>IFERROR(VLOOKUP(logos[[#This Row],[Cell_ID]],'registe maintenance'!A:C,3,FALSE)," non répertoriées")</f>
        <v xml:space="preserve"> non répertoriées</v>
      </c>
      <c r="G422" t="str">
        <f>IFERROR(VLOOKUP(logos[[#This Row],[Cell_ID]],'registe maintenance'!A:D,4,FALSE)," non répertoriées")</f>
        <v xml:space="preserve"> non répertoriées</v>
      </c>
      <c r="H422" t="str">
        <f>IFERROR(VLOOKUP(logos[[#This Row],[Cell_ID]],'registe maintenance'!A:E,5,FALSE)," non répertoriées")</f>
        <v xml:space="preserve"> non répertoriées</v>
      </c>
      <c r="I422" t="str">
        <f>IFERROR(VLOOKUP(logos[[#This Row],[Cell_ID]],'registe maintenance'!A:F,6,FALSE)," non répertoriées")</f>
        <v xml:space="preserve"> non répertoriées</v>
      </c>
      <c r="J422">
        <f>IFERROR(VLOOKUP(B422,'logos transformer '!A:B,2,FALSE),"na")</f>
        <v>1</v>
      </c>
      <c r="K422">
        <f>IFERROR(VLOOKUP(B422,'logos transformer '!A:C,3,FALSE),"na")</f>
        <v>42</v>
      </c>
      <c r="L422" s="1">
        <f>IFERROR(VLOOKUP(B422,'logos transformer '!A:D,4,FALSE),"na")</f>
        <v>45201.457638888889</v>
      </c>
    </row>
    <row r="423" spans="1:12" x14ac:dyDescent="0.3">
      <c r="A423" s="1">
        <v>45209.684027777781</v>
      </c>
      <c r="B423" t="s">
        <v>200</v>
      </c>
      <c r="C423">
        <v>44</v>
      </c>
      <c r="D423" t="s">
        <v>10</v>
      </c>
      <c r="E423" t="str">
        <f>IFERROR(VLOOKUP(logos[[#This Row],[Cell_ID]],'registe maintenance'!A:B,2,FALSE)," non répertoriées")</f>
        <v xml:space="preserve"> non répertoriées</v>
      </c>
      <c r="F423" t="str">
        <f>IFERROR(VLOOKUP(logos[[#This Row],[Cell_ID]],'registe maintenance'!A:C,3,FALSE)," non répertoriées")</f>
        <v xml:space="preserve"> non répertoriées</v>
      </c>
      <c r="G423" t="str">
        <f>IFERROR(VLOOKUP(logos[[#This Row],[Cell_ID]],'registe maintenance'!A:D,4,FALSE)," non répertoriées")</f>
        <v xml:space="preserve"> non répertoriées</v>
      </c>
      <c r="H423" t="str">
        <f>IFERROR(VLOOKUP(logos[[#This Row],[Cell_ID]],'registe maintenance'!A:E,5,FALSE)," non répertoriées")</f>
        <v xml:space="preserve"> non répertoriées</v>
      </c>
      <c r="I423" t="str">
        <f>IFERROR(VLOOKUP(logos[[#This Row],[Cell_ID]],'registe maintenance'!A:F,6,FALSE)," non répertoriées")</f>
        <v xml:space="preserve"> non répertoriées</v>
      </c>
      <c r="J423">
        <f>IFERROR(VLOOKUP(B423,'logos transformer '!A:B,2,FALSE),"na")</f>
        <v>3</v>
      </c>
      <c r="K423">
        <f>IFERROR(VLOOKUP(B423,'logos transformer '!A:C,3,FALSE),"na")</f>
        <v>144</v>
      </c>
      <c r="L423" s="1">
        <f>IFERROR(VLOOKUP(B423,'logos transformer '!A:D,4,FALSE),"na")</f>
        <v>45217.68472222222</v>
      </c>
    </row>
    <row r="424" spans="1:12" x14ac:dyDescent="0.3">
      <c r="A424" s="1">
        <v>45226.729166666657</v>
      </c>
      <c r="B424" t="s">
        <v>347</v>
      </c>
      <c r="C424">
        <v>62</v>
      </c>
      <c r="D424" t="s">
        <v>8</v>
      </c>
      <c r="E424" t="str">
        <f>IFERROR(VLOOKUP(logos[[#This Row],[Cell_ID]],'registe maintenance'!A:B,2,FALSE)," non répertoriées")</f>
        <v xml:space="preserve"> non répertoriées</v>
      </c>
      <c r="F424" t="str">
        <f>IFERROR(VLOOKUP(logos[[#This Row],[Cell_ID]],'registe maintenance'!A:C,3,FALSE)," non répertoriées")</f>
        <v xml:space="preserve"> non répertoriées</v>
      </c>
      <c r="G424" t="str">
        <f>IFERROR(VLOOKUP(logos[[#This Row],[Cell_ID]],'registe maintenance'!A:D,4,FALSE)," non répertoriées")</f>
        <v xml:space="preserve"> non répertoriées</v>
      </c>
      <c r="H424" t="str">
        <f>IFERROR(VLOOKUP(logos[[#This Row],[Cell_ID]],'registe maintenance'!A:E,5,FALSE)," non répertoriées")</f>
        <v xml:space="preserve"> non répertoriées</v>
      </c>
      <c r="I424" t="str">
        <f>IFERROR(VLOOKUP(logos[[#This Row],[Cell_ID]],'registe maintenance'!A:F,6,FALSE)," non répertoriées")</f>
        <v xml:space="preserve"> non répertoriées</v>
      </c>
      <c r="J424">
        <f>IFERROR(VLOOKUP(B424,'logos transformer '!A:B,2,FALSE),"na")</f>
        <v>2</v>
      </c>
      <c r="K424">
        <f>IFERROR(VLOOKUP(B424,'logos transformer '!A:C,3,FALSE),"na")</f>
        <v>72</v>
      </c>
      <c r="L424" s="1">
        <f>IFERROR(VLOOKUP(B424,'logos transformer '!A:D,4,FALSE),"na")</f>
        <v>45226.729166666664</v>
      </c>
    </row>
    <row r="425" spans="1:12" x14ac:dyDescent="0.3">
      <c r="A425" s="1">
        <v>45208.074999999997</v>
      </c>
      <c r="B425" t="s">
        <v>255</v>
      </c>
      <c r="C425">
        <v>82</v>
      </c>
      <c r="D425" t="s">
        <v>10</v>
      </c>
      <c r="E425" t="str">
        <f>IFERROR(VLOOKUP(logos[[#This Row],[Cell_ID]],'registe maintenance'!A:B,2,FALSE)," non répertoriées")</f>
        <v xml:space="preserve"> non répertoriées</v>
      </c>
      <c r="F425" t="str">
        <f>IFERROR(VLOOKUP(logos[[#This Row],[Cell_ID]],'registe maintenance'!A:C,3,FALSE)," non répertoriées")</f>
        <v xml:space="preserve"> non répertoriées</v>
      </c>
      <c r="G425" t="str">
        <f>IFERROR(VLOOKUP(logos[[#This Row],[Cell_ID]],'registe maintenance'!A:D,4,FALSE)," non répertoriées")</f>
        <v xml:space="preserve"> non répertoriées</v>
      </c>
      <c r="H425" t="str">
        <f>IFERROR(VLOOKUP(logos[[#This Row],[Cell_ID]],'registe maintenance'!A:E,5,FALSE)," non répertoriées")</f>
        <v xml:space="preserve"> non répertoriées</v>
      </c>
      <c r="I425" t="str">
        <f>IFERROR(VLOOKUP(logos[[#This Row],[Cell_ID]],'registe maintenance'!A:F,6,FALSE)," non répertoriées")</f>
        <v xml:space="preserve"> non répertoriées</v>
      </c>
      <c r="J425">
        <f>IFERROR(VLOOKUP(B425,'logos transformer '!A:B,2,FALSE),"na")</f>
        <v>2</v>
      </c>
      <c r="K425">
        <f>IFERROR(VLOOKUP(B425,'logos transformer '!A:C,3,FALSE),"na")</f>
        <v>100</v>
      </c>
      <c r="L425" s="1">
        <f>IFERROR(VLOOKUP(B425,'logos transformer '!A:D,4,FALSE),"na")</f>
        <v>45228.848611111112</v>
      </c>
    </row>
    <row r="426" spans="1:12" x14ac:dyDescent="0.3">
      <c r="A426" s="1">
        <v>45220.262499999997</v>
      </c>
      <c r="B426" t="s">
        <v>348</v>
      </c>
      <c r="C426">
        <v>96</v>
      </c>
      <c r="D426" t="s">
        <v>5</v>
      </c>
      <c r="E426" t="str">
        <f>IFERROR(VLOOKUP(logos[[#This Row],[Cell_ID]],'registe maintenance'!A:B,2,FALSE)," non répertoriées")</f>
        <v xml:space="preserve"> non répertoriées</v>
      </c>
      <c r="F426" t="str">
        <f>IFERROR(VLOOKUP(logos[[#This Row],[Cell_ID]],'registe maintenance'!A:C,3,FALSE)," non répertoriées")</f>
        <v xml:space="preserve"> non répertoriées</v>
      </c>
      <c r="G426" t="str">
        <f>IFERROR(VLOOKUP(logos[[#This Row],[Cell_ID]],'registe maintenance'!A:D,4,FALSE)," non répertoriées")</f>
        <v xml:space="preserve"> non répertoriées</v>
      </c>
      <c r="H426" t="str">
        <f>IFERROR(VLOOKUP(logos[[#This Row],[Cell_ID]],'registe maintenance'!A:E,5,FALSE)," non répertoriées")</f>
        <v xml:space="preserve"> non répertoriées</v>
      </c>
      <c r="I426" t="str">
        <f>IFERROR(VLOOKUP(logos[[#This Row],[Cell_ID]],'registe maintenance'!A:F,6,FALSE)," non répertoriées")</f>
        <v xml:space="preserve"> non répertoriées</v>
      </c>
      <c r="J426">
        <f>IFERROR(VLOOKUP(B426,'logos transformer '!A:B,2,FALSE),"na")</f>
        <v>2</v>
      </c>
      <c r="K426">
        <f>IFERROR(VLOOKUP(B426,'logos transformer '!A:C,3,FALSE),"na")</f>
        <v>195</v>
      </c>
      <c r="L426" s="1">
        <f>IFERROR(VLOOKUP(B426,'logos transformer '!A:D,4,FALSE),"na")</f>
        <v>45220.262499999997</v>
      </c>
    </row>
    <row r="427" spans="1:12" x14ac:dyDescent="0.3">
      <c r="A427" s="1">
        <v>45211.079861111109</v>
      </c>
      <c r="B427" t="s">
        <v>349</v>
      </c>
      <c r="C427">
        <v>59</v>
      </c>
      <c r="D427" t="s">
        <v>8</v>
      </c>
      <c r="E427" t="str">
        <f>IFERROR(VLOOKUP(logos[[#This Row],[Cell_ID]],'registe maintenance'!A:B,2,FALSE)," non répertoriées")</f>
        <v xml:space="preserve"> non répertoriées</v>
      </c>
      <c r="F427" t="str">
        <f>IFERROR(VLOOKUP(logos[[#This Row],[Cell_ID]],'registe maintenance'!A:C,3,FALSE)," non répertoriées")</f>
        <v xml:space="preserve"> non répertoriées</v>
      </c>
      <c r="G427" t="str">
        <f>IFERROR(VLOOKUP(logos[[#This Row],[Cell_ID]],'registe maintenance'!A:D,4,FALSE)," non répertoriées")</f>
        <v xml:space="preserve"> non répertoriées</v>
      </c>
      <c r="H427" t="str">
        <f>IFERROR(VLOOKUP(logos[[#This Row],[Cell_ID]],'registe maintenance'!A:E,5,FALSE)," non répertoriées")</f>
        <v xml:space="preserve"> non répertoriées</v>
      </c>
      <c r="I427" t="str">
        <f>IFERROR(VLOOKUP(logos[[#This Row],[Cell_ID]],'registe maintenance'!A:F,6,FALSE)," non répertoriées")</f>
        <v xml:space="preserve"> non répertoriées</v>
      </c>
      <c r="J427">
        <f>IFERROR(VLOOKUP(B427,'logos transformer '!A:B,2,FALSE),"na")</f>
        <v>2</v>
      </c>
      <c r="K427">
        <f>IFERROR(VLOOKUP(B427,'logos transformer '!A:C,3,FALSE),"na")</f>
        <v>113</v>
      </c>
      <c r="L427" s="1">
        <f>IFERROR(VLOOKUP(B427,'logos transformer '!A:D,4,FALSE),"na")</f>
        <v>45212.240277777775</v>
      </c>
    </row>
    <row r="428" spans="1:12" x14ac:dyDescent="0.3">
      <c r="A428" s="1">
        <v>45220.428472222222</v>
      </c>
      <c r="B428" t="s">
        <v>32</v>
      </c>
      <c r="C428">
        <v>26</v>
      </c>
      <c r="D428" t="s">
        <v>10</v>
      </c>
      <c r="E428" t="str">
        <f>IFERROR(VLOOKUP(logos[[#This Row],[Cell_ID]],'registe maintenance'!A:B,2,FALSE)," non répertoriées")</f>
        <v xml:space="preserve"> non répertoriées</v>
      </c>
      <c r="F428" t="str">
        <f>IFERROR(VLOOKUP(logos[[#This Row],[Cell_ID]],'registe maintenance'!A:C,3,FALSE)," non répertoriées")</f>
        <v xml:space="preserve"> non répertoriées</v>
      </c>
      <c r="G428" t="str">
        <f>IFERROR(VLOOKUP(logos[[#This Row],[Cell_ID]],'registe maintenance'!A:D,4,FALSE)," non répertoriées")</f>
        <v xml:space="preserve"> non répertoriées</v>
      </c>
      <c r="H428" t="str">
        <f>IFERROR(VLOOKUP(logos[[#This Row],[Cell_ID]],'registe maintenance'!A:E,5,FALSE)," non répertoriées")</f>
        <v xml:space="preserve"> non répertoriées</v>
      </c>
      <c r="I428" t="str">
        <f>IFERROR(VLOOKUP(logos[[#This Row],[Cell_ID]],'registe maintenance'!A:F,6,FALSE)," non répertoriées")</f>
        <v xml:space="preserve"> non répertoriées</v>
      </c>
      <c r="J428">
        <f>IFERROR(VLOOKUP(B428,'logos transformer '!A:B,2,FALSE),"na")</f>
        <v>4</v>
      </c>
      <c r="K428">
        <f>IFERROR(VLOOKUP(B428,'logos transformer '!A:C,3,FALSE),"na")</f>
        <v>224</v>
      </c>
      <c r="L428" s="1">
        <f>IFERROR(VLOOKUP(B428,'logos transformer '!A:D,4,FALSE),"na")</f>
        <v>45227.329861111109</v>
      </c>
    </row>
    <row r="429" spans="1:12" x14ac:dyDescent="0.3">
      <c r="A429" s="1">
        <v>45203.477083333331</v>
      </c>
      <c r="B429" t="s">
        <v>350</v>
      </c>
      <c r="C429">
        <v>93</v>
      </c>
      <c r="D429" t="s">
        <v>8</v>
      </c>
      <c r="E429" t="str">
        <f>IFERROR(VLOOKUP(logos[[#This Row],[Cell_ID]],'registe maintenance'!A:B,2,FALSE)," non répertoriées")</f>
        <v xml:space="preserve"> non répertoriées</v>
      </c>
      <c r="F429" t="str">
        <f>IFERROR(VLOOKUP(logos[[#This Row],[Cell_ID]],'registe maintenance'!A:C,3,FALSE)," non répertoriées")</f>
        <v xml:space="preserve"> non répertoriées</v>
      </c>
      <c r="G429" t="str">
        <f>IFERROR(VLOOKUP(logos[[#This Row],[Cell_ID]],'registe maintenance'!A:D,4,FALSE)," non répertoriées")</f>
        <v xml:space="preserve"> non répertoriées</v>
      </c>
      <c r="H429" t="str">
        <f>IFERROR(VLOOKUP(logos[[#This Row],[Cell_ID]],'registe maintenance'!A:E,5,FALSE)," non répertoriées")</f>
        <v xml:space="preserve"> non répertoriées</v>
      </c>
      <c r="I429" t="str">
        <f>IFERROR(VLOOKUP(logos[[#This Row],[Cell_ID]],'registe maintenance'!A:F,6,FALSE)," non répertoriées")</f>
        <v xml:space="preserve"> non répertoriées</v>
      </c>
      <c r="J429">
        <f>IFERROR(VLOOKUP(B429,'logos transformer '!A:B,2,FALSE),"na")</f>
        <v>2</v>
      </c>
      <c r="K429">
        <f>IFERROR(VLOOKUP(B429,'logos transformer '!A:C,3,FALSE),"na")</f>
        <v>168</v>
      </c>
      <c r="L429" s="1">
        <f>IFERROR(VLOOKUP(B429,'logos transformer '!A:D,4,FALSE),"na")</f>
        <v>45208.711111111108</v>
      </c>
    </row>
    <row r="430" spans="1:12" x14ac:dyDescent="0.3">
      <c r="A430" s="1">
        <v>45202.912499999999</v>
      </c>
      <c r="B430" t="s">
        <v>351</v>
      </c>
      <c r="C430">
        <v>68</v>
      </c>
      <c r="D430" t="s">
        <v>10</v>
      </c>
      <c r="E430" t="str">
        <f>IFERROR(VLOOKUP(logos[[#This Row],[Cell_ID]],'registe maintenance'!A:B,2,FALSE)," non répertoriées")</f>
        <v xml:space="preserve"> non répertoriées</v>
      </c>
      <c r="F430" t="str">
        <f>IFERROR(VLOOKUP(logos[[#This Row],[Cell_ID]],'registe maintenance'!A:C,3,FALSE)," non répertoriées")</f>
        <v xml:space="preserve"> non répertoriées</v>
      </c>
      <c r="G430" t="str">
        <f>IFERROR(VLOOKUP(logos[[#This Row],[Cell_ID]],'registe maintenance'!A:D,4,FALSE)," non répertoriées")</f>
        <v xml:space="preserve"> non répertoriées</v>
      </c>
      <c r="H430" t="str">
        <f>IFERROR(VLOOKUP(logos[[#This Row],[Cell_ID]],'registe maintenance'!A:E,5,FALSE)," non répertoriées")</f>
        <v xml:space="preserve"> non répertoriées</v>
      </c>
      <c r="I430" t="str">
        <f>IFERROR(VLOOKUP(logos[[#This Row],[Cell_ID]],'registe maintenance'!A:F,6,FALSE)," non répertoriées")</f>
        <v xml:space="preserve"> non répertoriées</v>
      </c>
      <c r="J430">
        <f>IFERROR(VLOOKUP(B430,'logos transformer '!A:B,2,FALSE),"na")</f>
        <v>1</v>
      </c>
      <c r="K430">
        <f>IFERROR(VLOOKUP(B430,'logos transformer '!A:C,3,FALSE),"na")</f>
        <v>68</v>
      </c>
      <c r="L430" s="1">
        <f>IFERROR(VLOOKUP(B430,'logos transformer '!A:D,4,FALSE),"na")</f>
        <v>45202.912499999999</v>
      </c>
    </row>
    <row r="431" spans="1:12" x14ac:dyDescent="0.3">
      <c r="A431" s="1">
        <v>45210.890277777777</v>
      </c>
      <c r="B431" t="s">
        <v>195</v>
      </c>
      <c r="C431">
        <v>118</v>
      </c>
      <c r="D431" t="s">
        <v>5</v>
      </c>
      <c r="E431" t="str">
        <f>IFERROR(VLOOKUP(logos[[#This Row],[Cell_ID]],'registe maintenance'!A:B,2,FALSE)," non répertoriées")</f>
        <v xml:space="preserve"> non répertoriées</v>
      </c>
      <c r="F431" t="str">
        <f>IFERROR(VLOOKUP(logos[[#This Row],[Cell_ID]],'registe maintenance'!A:C,3,FALSE)," non répertoriées")</f>
        <v xml:space="preserve"> non répertoriées</v>
      </c>
      <c r="G431" t="str">
        <f>IFERROR(VLOOKUP(logos[[#This Row],[Cell_ID]],'registe maintenance'!A:D,4,FALSE)," non répertoriées")</f>
        <v xml:space="preserve"> non répertoriées</v>
      </c>
      <c r="H431" t="str">
        <f>IFERROR(VLOOKUP(logos[[#This Row],[Cell_ID]],'registe maintenance'!A:E,5,FALSE)," non répertoriées")</f>
        <v xml:space="preserve"> non répertoriées</v>
      </c>
      <c r="I431" t="str">
        <f>IFERROR(VLOOKUP(logos[[#This Row],[Cell_ID]],'registe maintenance'!A:F,6,FALSE)," non répertoriées")</f>
        <v xml:space="preserve"> non répertoriées</v>
      </c>
      <c r="J431">
        <f>IFERROR(VLOOKUP(B431,'logos transformer '!A:B,2,FALSE),"na")</f>
        <v>3</v>
      </c>
      <c r="K431">
        <f>IFERROR(VLOOKUP(B431,'logos transformer '!A:C,3,FALSE),"na")</f>
        <v>221</v>
      </c>
      <c r="L431" s="1">
        <f>IFERROR(VLOOKUP(B431,'logos transformer '!A:D,4,FALSE),"na")</f>
        <v>45225.859027777777</v>
      </c>
    </row>
    <row r="432" spans="1:12" x14ac:dyDescent="0.3">
      <c r="A432" s="1">
        <v>45222.107638888891</v>
      </c>
      <c r="B432" t="s">
        <v>116</v>
      </c>
      <c r="C432">
        <v>85</v>
      </c>
      <c r="D432" t="s">
        <v>5</v>
      </c>
      <c r="E432" t="str">
        <f>IFERROR(VLOOKUP(logos[[#This Row],[Cell_ID]],'registe maintenance'!A:B,2,FALSE)," non répertoriées")</f>
        <v xml:space="preserve"> non répertoriées</v>
      </c>
      <c r="F432" t="str">
        <f>IFERROR(VLOOKUP(logos[[#This Row],[Cell_ID]],'registe maintenance'!A:C,3,FALSE)," non répertoriées")</f>
        <v xml:space="preserve"> non répertoriées</v>
      </c>
      <c r="G432" t="str">
        <f>IFERROR(VLOOKUP(logos[[#This Row],[Cell_ID]],'registe maintenance'!A:D,4,FALSE)," non répertoriées")</f>
        <v xml:space="preserve"> non répertoriées</v>
      </c>
      <c r="H432" t="str">
        <f>IFERROR(VLOOKUP(logos[[#This Row],[Cell_ID]],'registe maintenance'!A:E,5,FALSE)," non répertoriées")</f>
        <v xml:space="preserve"> non répertoriées</v>
      </c>
      <c r="I432" t="str">
        <f>IFERROR(VLOOKUP(logos[[#This Row],[Cell_ID]],'registe maintenance'!A:F,6,FALSE)," non répertoriées")</f>
        <v xml:space="preserve"> non répertoriées</v>
      </c>
      <c r="J432">
        <f>IFERROR(VLOOKUP(B432,'logos transformer '!A:B,2,FALSE),"na")</f>
        <v>3</v>
      </c>
      <c r="K432">
        <f>IFERROR(VLOOKUP(B432,'logos transformer '!A:C,3,FALSE),"na")</f>
        <v>221</v>
      </c>
      <c r="L432" s="1">
        <f>IFERROR(VLOOKUP(B432,'logos transformer '!A:D,4,FALSE),"na")</f>
        <v>45222.107638888891</v>
      </c>
    </row>
    <row r="433" spans="1:12" x14ac:dyDescent="0.3">
      <c r="A433" s="1">
        <v>45217.414583333331</v>
      </c>
      <c r="B433" t="s">
        <v>119</v>
      </c>
      <c r="C433">
        <v>74</v>
      </c>
      <c r="D433" t="s">
        <v>10</v>
      </c>
      <c r="E433" t="str">
        <f>IFERROR(VLOOKUP(logos[[#This Row],[Cell_ID]],'registe maintenance'!A:B,2,FALSE)," non répertoriées")</f>
        <v xml:space="preserve"> non répertoriées</v>
      </c>
      <c r="F433" t="str">
        <f>IFERROR(VLOOKUP(logos[[#This Row],[Cell_ID]],'registe maintenance'!A:C,3,FALSE)," non répertoriées")</f>
        <v xml:space="preserve"> non répertoriées</v>
      </c>
      <c r="G433" t="str">
        <f>IFERROR(VLOOKUP(logos[[#This Row],[Cell_ID]],'registe maintenance'!A:D,4,FALSE)," non répertoriées")</f>
        <v xml:space="preserve"> non répertoriées</v>
      </c>
      <c r="H433" t="str">
        <f>IFERROR(VLOOKUP(logos[[#This Row],[Cell_ID]],'registe maintenance'!A:E,5,FALSE)," non répertoriées")</f>
        <v xml:space="preserve"> non répertoriées</v>
      </c>
      <c r="I433" t="str">
        <f>IFERROR(VLOOKUP(logos[[#This Row],[Cell_ID]],'registe maintenance'!A:F,6,FALSE)," non répertoriées")</f>
        <v xml:space="preserve"> non répertoriées</v>
      </c>
      <c r="J433">
        <f>IFERROR(VLOOKUP(B433,'logos transformer '!A:B,2,FALSE),"na")</f>
        <v>4</v>
      </c>
      <c r="K433">
        <f>IFERROR(VLOOKUP(B433,'logos transformer '!A:C,3,FALSE),"na")</f>
        <v>329</v>
      </c>
      <c r="L433" s="1">
        <f>IFERROR(VLOOKUP(B433,'logos transformer '!A:D,4,FALSE),"na")</f>
        <v>45226.013194444444</v>
      </c>
    </row>
    <row r="434" spans="1:12" x14ac:dyDescent="0.3">
      <c r="A434" s="1">
        <v>45209.239583333343</v>
      </c>
      <c r="B434" t="s">
        <v>352</v>
      </c>
      <c r="C434">
        <v>42</v>
      </c>
      <c r="D434" t="s">
        <v>10</v>
      </c>
      <c r="E434" t="str">
        <f>IFERROR(VLOOKUP(logos[[#This Row],[Cell_ID]],'registe maintenance'!A:B,2,FALSE)," non répertoriées")</f>
        <v xml:space="preserve"> non répertoriées</v>
      </c>
      <c r="F434" t="str">
        <f>IFERROR(VLOOKUP(logos[[#This Row],[Cell_ID]],'registe maintenance'!A:C,3,FALSE)," non répertoriées")</f>
        <v xml:space="preserve"> non répertoriées</v>
      </c>
      <c r="G434" t="str">
        <f>IFERROR(VLOOKUP(logos[[#This Row],[Cell_ID]],'registe maintenance'!A:D,4,FALSE)," non répertoriées")</f>
        <v xml:space="preserve"> non répertoriées</v>
      </c>
      <c r="H434" t="str">
        <f>IFERROR(VLOOKUP(logos[[#This Row],[Cell_ID]],'registe maintenance'!A:E,5,FALSE)," non répertoriées")</f>
        <v xml:space="preserve"> non répertoriées</v>
      </c>
      <c r="I434" t="str">
        <f>IFERROR(VLOOKUP(logos[[#This Row],[Cell_ID]],'registe maintenance'!A:F,6,FALSE)," non répertoriées")</f>
        <v xml:space="preserve"> non répertoriées</v>
      </c>
      <c r="J434">
        <f>IFERROR(VLOOKUP(B434,'logos transformer '!A:B,2,FALSE),"na")</f>
        <v>1</v>
      </c>
      <c r="K434">
        <f>IFERROR(VLOOKUP(B434,'logos transformer '!A:C,3,FALSE),"na")</f>
        <v>42</v>
      </c>
      <c r="L434" s="1">
        <f>IFERROR(VLOOKUP(B434,'logos transformer '!A:D,4,FALSE),"na")</f>
        <v>45209.239583333336</v>
      </c>
    </row>
    <row r="435" spans="1:12" x14ac:dyDescent="0.3">
      <c r="A435" s="1">
        <v>45222.944444444453</v>
      </c>
      <c r="B435" t="s">
        <v>214</v>
      </c>
      <c r="C435">
        <v>87</v>
      </c>
      <c r="D435" t="s">
        <v>8</v>
      </c>
      <c r="E435" t="str">
        <f>IFERROR(VLOOKUP(logos[[#This Row],[Cell_ID]],'registe maintenance'!A:B,2,FALSE)," non répertoriées")</f>
        <v xml:space="preserve"> non répertoriées</v>
      </c>
      <c r="F435" t="str">
        <f>IFERROR(VLOOKUP(logos[[#This Row],[Cell_ID]],'registe maintenance'!A:C,3,FALSE)," non répertoriées")</f>
        <v xml:space="preserve"> non répertoriées</v>
      </c>
      <c r="G435" t="str">
        <f>IFERROR(VLOOKUP(logos[[#This Row],[Cell_ID]],'registe maintenance'!A:D,4,FALSE)," non répertoriées")</f>
        <v xml:space="preserve"> non répertoriées</v>
      </c>
      <c r="H435" t="str">
        <f>IFERROR(VLOOKUP(logos[[#This Row],[Cell_ID]],'registe maintenance'!A:E,5,FALSE)," non répertoriées")</f>
        <v xml:space="preserve"> non répertoriées</v>
      </c>
      <c r="I435" t="str">
        <f>IFERROR(VLOOKUP(logos[[#This Row],[Cell_ID]],'registe maintenance'!A:F,6,FALSE)," non répertoriées")</f>
        <v xml:space="preserve"> non répertoriées</v>
      </c>
      <c r="J435">
        <f>IFERROR(VLOOKUP(B435,'logos transformer '!A:B,2,FALSE),"na")</f>
        <v>3</v>
      </c>
      <c r="K435">
        <f>IFERROR(VLOOKUP(B435,'logos transformer '!A:C,3,FALSE),"na")</f>
        <v>211</v>
      </c>
      <c r="L435" s="1">
        <f>IFERROR(VLOOKUP(B435,'logos transformer '!A:D,4,FALSE),"na")</f>
        <v>45229.801388888889</v>
      </c>
    </row>
    <row r="436" spans="1:12" x14ac:dyDescent="0.3">
      <c r="A436" s="1">
        <v>45205.480555555558</v>
      </c>
      <c r="B436" t="s">
        <v>353</v>
      </c>
      <c r="C436">
        <v>43</v>
      </c>
      <c r="D436" t="s">
        <v>8</v>
      </c>
      <c r="E436" t="str">
        <f>IFERROR(VLOOKUP(logos[[#This Row],[Cell_ID]],'registe maintenance'!A:B,2,FALSE)," non répertoriées")</f>
        <v xml:space="preserve"> non répertoriées</v>
      </c>
      <c r="F436" t="str">
        <f>IFERROR(VLOOKUP(logos[[#This Row],[Cell_ID]],'registe maintenance'!A:C,3,FALSE)," non répertoriées")</f>
        <v xml:space="preserve"> non répertoriées</v>
      </c>
      <c r="G436" t="str">
        <f>IFERROR(VLOOKUP(logos[[#This Row],[Cell_ID]],'registe maintenance'!A:D,4,FALSE)," non répertoriées")</f>
        <v xml:space="preserve"> non répertoriées</v>
      </c>
      <c r="H436" t="str">
        <f>IFERROR(VLOOKUP(logos[[#This Row],[Cell_ID]],'registe maintenance'!A:E,5,FALSE)," non répertoriées")</f>
        <v xml:space="preserve"> non répertoriées</v>
      </c>
      <c r="I436" t="str">
        <f>IFERROR(VLOOKUP(logos[[#This Row],[Cell_ID]],'registe maintenance'!A:F,6,FALSE)," non répertoriées")</f>
        <v xml:space="preserve"> non répertoriées</v>
      </c>
      <c r="J436">
        <f>IFERROR(VLOOKUP(B436,'logos transformer '!A:B,2,FALSE),"na")</f>
        <v>2</v>
      </c>
      <c r="K436">
        <f>IFERROR(VLOOKUP(B436,'logos transformer '!A:C,3,FALSE),"na")</f>
        <v>88</v>
      </c>
      <c r="L436" s="1">
        <f>IFERROR(VLOOKUP(B436,'logos transformer '!A:D,4,FALSE),"na")</f>
        <v>45205.480555555558</v>
      </c>
    </row>
    <row r="437" spans="1:12" x14ac:dyDescent="0.3">
      <c r="A437" s="1">
        <v>45207.133333333331</v>
      </c>
      <c r="B437" t="s">
        <v>354</v>
      </c>
      <c r="C437">
        <v>66</v>
      </c>
      <c r="D437" t="s">
        <v>8</v>
      </c>
      <c r="E437" t="str">
        <f>IFERROR(VLOOKUP(logos[[#This Row],[Cell_ID]],'registe maintenance'!A:B,2,FALSE)," non répertoriées")</f>
        <v>Kasai-Oriental</v>
      </c>
      <c r="F437">
        <f>IFERROR(VLOOKUP(logos[[#This Row],[Cell_ID]],'registe maintenance'!A:C,3,FALSE)," non répertoriées")</f>
        <v>-5.4073029999999997</v>
      </c>
      <c r="G437">
        <f>IFERROR(VLOOKUP(logos[[#This Row],[Cell_ID]],'registe maintenance'!A:D,4,FALSE)," non répertoriées")</f>
        <v>29.762294000000001</v>
      </c>
      <c r="H437" t="str">
        <f>IFERROR(VLOOKUP(logos[[#This Row],[Cell_ID]],'registe maintenance'!A:E,5,FALSE)," non répertoriées")</f>
        <v>3G</v>
      </c>
      <c r="I437" t="str">
        <f>IFERROR(VLOOKUP(logos[[#This Row],[Cell_ID]],'registe maintenance'!A:F,6,FALSE)," non répertoriées")</f>
        <v>Ericsson</v>
      </c>
      <c r="J437">
        <f>IFERROR(VLOOKUP(B437,'logos transformer '!A:B,2,FALSE),"na")</f>
        <v>2</v>
      </c>
      <c r="K437">
        <f>IFERROR(VLOOKUP(B437,'logos transformer '!A:C,3,FALSE),"na")</f>
        <v>97</v>
      </c>
      <c r="L437" s="1">
        <f>IFERROR(VLOOKUP(B437,'logos transformer '!A:D,4,FALSE),"na")</f>
        <v>45214.850694444445</v>
      </c>
    </row>
    <row r="438" spans="1:12" x14ac:dyDescent="0.3">
      <c r="A438" s="1">
        <v>45225.177083333343</v>
      </c>
      <c r="B438" t="s">
        <v>355</v>
      </c>
      <c r="C438">
        <v>36</v>
      </c>
      <c r="D438" t="s">
        <v>10</v>
      </c>
      <c r="E438" t="str">
        <f>IFERROR(VLOOKUP(logos[[#This Row],[Cell_ID]],'registe maintenance'!A:B,2,FALSE)," non répertoriées")</f>
        <v xml:space="preserve"> non répertoriées</v>
      </c>
      <c r="F438" t="str">
        <f>IFERROR(VLOOKUP(logos[[#This Row],[Cell_ID]],'registe maintenance'!A:C,3,FALSE)," non répertoriées")</f>
        <v xml:space="preserve"> non répertoriées</v>
      </c>
      <c r="G438" t="str">
        <f>IFERROR(VLOOKUP(logos[[#This Row],[Cell_ID]],'registe maintenance'!A:D,4,FALSE)," non répertoriées")</f>
        <v xml:space="preserve"> non répertoriées</v>
      </c>
      <c r="H438" t="str">
        <f>IFERROR(VLOOKUP(logos[[#This Row],[Cell_ID]],'registe maintenance'!A:E,5,FALSE)," non répertoriées")</f>
        <v xml:space="preserve"> non répertoriées</v>
      </c>
      <c r="I438" t="str">
        <f>IFERROR(VLOOKUP(logos[[#This Row],[Cell_ID]],'registe maintenance'!A:F,6,FALSE)," non répertoriées")</f>
        <v xml:space="preserve"> non répertoriées</v>
      </c>
      <c r="J438">
        <f>IFERROR(VLOOKUP(B438,'logos transformer '!A:B,2,FALSE),"na")</f>
        <v>1</v>
      </c>
      <c r="K438">
        <f>IFERROR(VLOOKUP(B438,'logos transformer '!A:C,3,FALSE),"na")</f>
        <v>36</v>
      </c>
      <c r="L438" s="1">
        <f>IFERROR(VLOOKUP(B438,'logos transformer '!A:D,4,FALSE),"na")</f>
        <v>45225.177083333336</v>
      </c>
    </row>
    <row r="439" spans="1:12" x14ac:dyDescent="0.3">
      <c r="A439" s="1">
        <v>45225.625694444447</v>
      </c>
      <c r="B439" t="s">
        <v>356</v>
      </c>
      <c r="C439">
        <v>108</v>
      </c>
      <c r="D439" t="s">
        <v>10</v>
      </c>
      <c r="E439" t="str">
        <f>IFERROR(VLOOKUP(logos[[#This Row],[Cell_ID]],'registe maintenance'!A:B,2,FALSE)," non répertoriées")</f>
        <v>Sud-Ubangi</v>
      </c>
      <c r="F439">
        <f>IFERROR(VLOOKUP(logos[[#This Row],[Cell_ID]],'registe maintenance'!A:C,3,FALSE)," non répertoriées")</f>
        <v>-10.611184</v>
      </c>
      <c r="G439">
        <f>IFERROR(VLOOKUP(logos[[#This Row],[Cell_ID]],'registe maintenance'!A:D,4,FALSE)," non répertoriées")</f>
        <v>23.022268</v>
      </c>
      <c r="H439" t="str">
        <f>IFERROR(VLOOKUP(logos[[#This Row],[Cell_ID]],'registe maintenance'!A:E,5,FALSE)," non répertoriées")</f>
        <v>5G</v>
      </c>
      <c r="I439" t="str">
        <f>IFERROR(VLOOKUP(logos[[#This Row],[Cell_ID]],'registe maintenance'!A:F,6,FALSE)," non répertoriées")</f>
        <v>ZTE</v>
      </c>
      <c r="J439">
        <f>IFERROR(VLOOKUP(B439,'logos transformer '!A:B,2,FALSE),"na")</f>
        <v>1</v>
      </c>
      <c r="K439">
        <f>IFERROR(VLOOKUP(B439,'logos transformer '!A:C,3,FALSE),"na")</f>
        <v>108</v>
      </c>
      <c r="L439" s="1">
        <f>IFERROR(VLOOKUP(B439,'logos transformer '!A:D,4,FALSE),"na")</f>
        <v>45225.625694444447</v>
      </c>
    </row>
    <row r="440" spans="1:12" x14ac:dyDescent="0.3">
      <c r="A440" s="1">
        <v>45211.73333333333</v>
      </c>
      <c r="B440" t="s">
        <v>357</v>
      </c>
      <c r="C440">
        <v>108</v>
      </c>
      <c r="D440" t="s">
        <v>8</v>
      </c>
      <c r="E440" t="str">
        <f>IFERROR(VLOOKUP(logos[[#This Row],[Cell_ID]],'registe maintenance'!A:B,2,FALSE)," non répertoriées")</f>
        <v xml:space="preserve"> non répertoriées</v>
      </c>
      <c r="F440" t="str">
        <f>IFERROR(VLOOKUP(logos[[#This Row],[Cell_ID]],'registe maintenance'!A:C,3,FALSE)," non répertoriées")</f>
        <v xml:space="preserve"> non répertoriées</v>
      </c>
      <c r="G440" t="str">
        <f>IFERROR(VLOOKUP(logos[[#This Row],[Cell_ID]],'registe maintenance'!A:D,4,FALSE)," non répertoriées")</f>
        <v xml:space="preserve"> non répertoriées</v>
      </c>
      <c r="H440" t="str">
        <f>IFERROR(VLOOKUP(logos[[#This Row],[Cell_ID]],'registe maintenance'!A:E,5,FALSE)," non répertoriées")</f>
        <v xml:space="preserve"> non répertoriées</v>
      </c>
      <c r="I440" t="str">
        <f>IFERROR(VLOOKUP(logos[[#This Row],[Cell_ID]],'registe maintenance'!A:F,6,FALSE)," non répertoriées")</f>
        <v xml:space="preserve"> non répertoriées</v>
      </c>
      <c r="J440">
        <f>IFERROR(VLOOKUP(B440,'logos transformer '!A:B,2,FALSE),"na")</f>
        <v>1</v>
      </c>
      <c r="K440">
        <f>IFERROR(VLOOKUP(B440,'logos transformer '!A:C,3,FALSE),"na")</f>
        <v>108</v>
      </c>
      <c r="L440" s="1">
        <f>IFERROR(VLOOKUP(B440,'logos transformer '!A:D,4,FALSE),"na")</f>
        <v>45211.73333333333</v>
      </c>
    </row>
    <row r="441" spans="1:12" x14ac:dyDescent="0.3">
      <c r="A441" s="1">
        <v>45211.618750000001</v>
      </c>
      <c r="B441" t="s">
        <v>358</v>
      </c>
      <c r="C441">
        <v>92</v>
      </c>
      <c r="D441" t="s">
        <v>5</v>
      </c>
      <c r="E441" t="str">
        <f>IFERROR(VLOOKUP(logos[[#This Row],[Cell_ID]],'registe maintenance'!A:B,2,FALSE)," non répertoriées")</f>
        <v>Tshopo</v>
      </c>
      <c r="F441">
        <f>IFERROR(VLOOKUP(logos[[#This Row],[Cell_ID]],'registe maintenance'!A:C,3,FALSE)," non répertoriées")</f>
        <v>-0.85624699999999998</v>
      </c>
      <c r="G441">
        <f>IFERROR(VLOOKUP(logos[[#This Row],[Cell_ID]],'registe maintenance'!A:D,4,FALSE)," non répertoriées")</f>
        <v>28.624870000000001</v>
      </c>
      <c r="H441" t="str">
        <f>IFERROR(VLOOKUP(logos[[#This Row],[Cell_ID]],'registe maintenance'!A:E,5,FALSE)," non répertoriées")</f>
        <v>3G</v>
      </c>
      <c r="I441" t="str">
        <f>IFERROR(VLOOKUP(logos[[#This Row],[Cell_ID]],'registe maintenance'!A:F,6,FALSE)," non répertoriées")</f>
        <v>Ericsson</v>
      </c>
      <c r="J441">
        <f>IFERROR(VLOOKUP(B441,'logos transformer '!A:B,2,FALSE),"na")</f>
        <v>2</v>
      </c>
      <c r="K441">
        <f>IFERROR(VLOOKUP(B441,'logos transformer '!A:C,3,FALSE),"na")</f>
        <v>187</v>
      </c>
      <c r="L441" s="1">
        <f>IFERROR(VLOOKUP(B441,'logos transformer '!A:D,4,FALSE),"na")</f>
        <v>45215.775000000001</v>
      </c>
    </row>
    <row r="442" spans="1:12" x14ac:dyDescent="0.3">
      <c r="A442" s="1">
        <v>45217.193749999999</v>
      </c>
      <c r="B442" t="s">
        <v>305</v>
      </c>
      <c r="C442">
        <v>56</v>
      </c>
      <c r="D442" t="s">
        <v>5</v>
      </c>
      <c r="E442" t="str">
        <f>IFERROR(VLOOKUP(logos[[#This Row],[Cell_ID]],'registe maintenance'!A:B,2,FALSE)," non répertoriées")</f>
        <v xml:space="preserve"> non répertoriées</v>
      </c>
      <c r="F442" t="str">
        <f>IFERROR(VLOOKUP(logos[[#This Row],[Cell_ID]],'registe maintenance'!A:C,3,FALSE)," non répertoriées")</f>
        <v xml:space="preserve"> non répertoriées</v>
      </c>
      <c r="G442" t="str">
        <f>IFERROR(VLOOKUP(logos[[#This Row],[Cell_ID]],'registe maintenance'!A:D,4,FALSE)," non répertoriées")</f>
        <v xml:space="preserve"> non répertoriées</v>
      </c>
      <c r="H442" t="str">
        <f>IFERROR(VLOOKUP(logos[[#This Row],[Cell_ID]],'registe maintenance'!A:E,5,FALSE)," non répertoriées")</f>
        <v xml:space="preserve"> non répertoriées</v>
      </c>
      <c r="I442" t="str">
        <f>IFERROR(VLOOKUP(logos[[#This Row],[Cell_ID]],'registe maintenance'!A:F,6,FALSE)," non répertoriées")</f>
        <v xml:space="preserve"> non répertoriées</v>
      </c>
      <c r="J442">
        <f>IFERROR(VLOOKUP(B442,'logos transformer '!A:B,2,FALSE),"na")</f>
        <v>3</v>
      </c>
      <c r="K442">
        <f>IFERROR(VLOOKUP(B442,'logos transformer '!A:C,3,FALSE),"na")</f>
        <v>204</v>
      </c>
      <c r="L442" s="1">
        <f>IFERROR(VLOOKUP(B442,'logos transformer '!A:D,4,FALSE),"na")</f>
        <v>45219.076388888891</v>
      </c>
    </row>
    <row r="443" spans="1:12" x14ac:dyDescent="0.3">
      <c r="A443" s="1">
        <v>45228.086111111108</v>
      </c>
      <c r="B443" t="s">
        <v>359</v>
      </c>
      <c r="C443">
        <v>43</v>
      </c>
      <c r="D443" t="s">
        <v>10</v>
      </c>
      <c r="E443" t="str">
        <f>IFERROR(VLOOKUP(logos[[#This Row],[Cell_ID]],'registe maintenance'!A:B,2,FALSE)," non répertoriées")</f>
        <v>Sankuru</v>
      </c>
      <c r="F443">
        <f>IFERROR(VLOOKUP(logos[[#This Row],[Cell_ID]],'registe maintenance'!A:C,3,FALSE)," non répertoriées")</f>
        <v>-6.4883290000000002</v>
      </c>
      <c r="G443">
        <f>IFERROR(VLOOKUP(logos[[#This Row],[Cell_ID]],'registe maintenance'!A:D,4,FALSE)," non répertoriées")</f>
        <v>25.103404000000001</v>
      </c>
      <c r="H443" t="str">
        <f>IFERROR(VLOOKUP(logos[[#This Row],[Cell_ID]],'registe maintenance'!A:E,5,FALSE)," non répertoriées")</f>
        <v>5G</v>
      </c>
      <c r="I443" t="str">
        <f>IFERROR(VLOOKUP(logos[[#This Row],[Cell_ID]],'registe maintenance'!A:F,6,FALSE)," non répertoriées")</f>
        <v>ZTE</v>
      </c>
      <c r="J443">
        <f>IFERROR(VLOOKUP(B443,'logos transformer '!A:B,2,FALSE),"na")</f>
        <v>1</v>
      </c>
      <c r="K443">
        <f>IFERROR(VLOOKUP(B443,'logos transformer '!A:C,3,FALSE),"na")</f>
        <v>43</v>
      </c>
      <c r="L443" s="1">
        <f>IFERROR(VLOOKUP(B443,'logos transformer '!A:D,4,FALSE),"na")</f>
        <v>45228.086111111108</v>
      </c>
    </row>
    <row r="444" spans="1:12" x14ac:dyDescent="0.3">
      <c r="A444" s="1">
        <v>45209.53125</v>
      </c>
      <c r="B444" t="s">
        <v>360</v>
      </c>
      <c r="C444">
        <v>63</v>
      </c>
      <c r="D444" t="s">
        <v>5</v>
      </c>
      <c r="E444" t="str">
        <f>IFERROR(VLOOKUP(logos[[#This Row],[Cell_ID]],'registe maintenance'!A:B,2,FALSE)," non répertoriées")</f>
        <v>Maniema</v>
      </c>
      <c r="F444">
        <f>IFERROR(VLOOKUP(logos[[#This Row],[Cell_ID]],'registe maintenance'!A:C,3,FALSE)," non répertoriées")</f>
        <v>1.727095</v>
      </c>
      <c r="G444">
        <f>IFERROR(VLOOKUP(logos[[#This Row],[Cell_ID]],'registe maintenance'!A:D,4,FALSE)," non répertoriées")</f>
        <v>22.099651999999999</v>
      </c>
      <c r="H444" t="str">
        <f>IFERROR(VLOOKUP(logos[[#This Row],[Cell_ID]],'registe maintenance'!A:E,5,FALSE)," non répertoriées")</f>
        <v>4G</v>
      </c>
      <c r="I444" t="str">
        <f>IFERROR(VLOOKUP(logos[[#This Row],[Cell_ID]],'registe maintenance'!A:F,6,FALSE)," non répertoriées")</f>
        <v>Huawei</v>
      </c>
      <c r="J444">
        <f>IFERROR(VLOOKUP(B444,'logos transformer '!A:B,2,FALSE),"na")</f>
        <v>1</v>
      </c>
      <c r="K444">
        <f>IFERROR(VLOOKUP(B444,'logos transformer '!A:C,3,FALSE),"na")</f>
        <v>63</v>
      </c>
      <c r="L444" s="1">
        <f>IFERROR(VLOOKUP(B444,'logos transformer '!A:D,4,FALSE),"na")</f>
        <v>45209.53125</v>
      </c>
    </row>
    <row r="445" spans="1:12" x14ac:dyDescent="0.3">
      <c r="A445" s="1">
        <v>45223.647916666669</v>
      </c>
      <c r="B445" t="s">
        <v>361</v>
      </c>
      <c r="C445">
        <v>14</v>
      </c>
      <c r="D445" t="s">
        <v>10</v>
      </c>
      <c r="E445" t="str">
        <f>IFERROR(VLOOKUP(logos[[#This Row],[Cell_ID]],'registe maintenance'!A:B,2,FALSE)," non répertoriées")</f>
        <v xml:space="preserve"> non répertoriées</v>
      </c>
      <c r="F445" t="str">
        <f>IFERROR(VLOOKUP(logos[[#This Row],[Cell_ID]],'registe maintenance'!A:C,3,FALSE)," non répertoriées")</f>
        <v xml:space="preserve"> non répertoriées</v>
      </c>
      <c r="G445" t="str">
        <f>IFERROR(VLOOKUP(logos[[#This Row],[Cell_ID]],'registe maintenance'!A:D,4,FALSE)," non répertoriées")</f>
        <v xml:space="preserve"> non répertoriées</v>
      </c>
      <c r="H445" t="str">
        <f>IFERROR(VLOOKUP(logos[[#This Row],[Cell_ID]],'registe maintenance'!A:E,5,FALSE)," non répertoriées")</f>
        <v xml:space="preserve"> non répertoriées</v>
      </c>
      <c r="I445" t="str">
        <f>IFERROR(VLOOKUP(logos[[#This Row],[Cell_ID]],'registe maintenance'!A:F,6,FALSE)," non répertoriées")</f>
        <v xml:space="preserve"> non répertoriées</v>
      </c>
      <c r="J445">
        <f>IFERROR(VLOOKUP(B445,'logos transformer '!A:B,2,FALSE),"na")</f>
        <v>1</v>
      </c>
      <c r="K445">
        <f>IFERROR(VLOOKUP(B445,'logos transformer '!A:C,3,FALSE),"na")</f>
        <v>14</v>
      </c>
      <c r="L445" s="1">
        <f>IFERROR(VLOOKUP(B445,'logos transformer '!A:D,4,FALSE),"na")</f>
        <v>45223.647916666669</v>
      </c>
    </row>
    <row r="446" spans="1:12" x14ac:dyDescent="0.3">
      <c r="A446" s="1">
        <v>45213.577777777777</v>
      </c>
      <c r="B446" t="s">
        <v>362</v>
      </c>
      <c r="C446">
        <v>93</v>
      </c>
      <c r="D446" t="s">
        <v>8</v>
      </c>
      <c r="E446" t="str">
        <f>IFERROR(VLOOKUP(logos[[#This Row],[Cell_ID]],'registe maintenance'!A:B,2,FALSE)," non répertoriées")</f>
        <v xml:space="preserve"> non répertoriées</v>
      </c>
      <c r="F446" t="str">
        <f>IFERROR(VLOOKUP(logos[[#This Row],[Cell_ID]],'registe maintenance'!A:C,3,FALSE)," non répertoriées")</f>
        <v xml:space="preserve"> non répertoriées</v>
      </c>
      <c r="G446" t="str">
        <f>IFERROR(VLOOKUP(logos[[#This Row],[Cell_ID]],'registe maintenance'!A:D,4,FALSE)," non répertoriées")</f>
        <v xml:space="preserve"> non répertoriées</v>
      </c>
      <c r="H446" t="str">
        <f>IFERROR(VLOOKUP(logos[[#This Row],[Cell_ID]],'registe maintenance'!A:E,5,FALSE)," non répertoriées")</f>
        <v xml:space="preserve"> non répertoriées</v>
      </c>
      <c r="I446" t="str">
        <f>IFERROR(VLOOKUP(logos[[#This Row],[Cell_ID]],'registe maintenance'!A:F,6,FALSE)," non répertoriées")</f>
        <v xml:space="preserve"> non répertoriées</v>
      </c>
      <c r="J446">
        <f>IFERROR(VLOOKUP(B446,'logos transformer '!A:B,2,FALSE),"na")</f>
        <v>1</v>
      </c>
      <c r="K446">
        <f>IFERROR(VLOOKUP(B446,'logos transformer '!A:C,3,FALSE),"na")</f>
        <v>93</v>
      </c>
      <c r="L446" s="1">
        <f>IFERROR(VLOOKUP(B446,'logos transformer '!A:D,4,FALSE),"na")</f>
        <v>45213.577777777777</v>
      </c>
    </row>
    <row r="447" spans="1:12" x14ac:dyDescent="0.3">
      <c r="A447" s="1">
        <v>45218.088888888888</v>
      </c>
      <c r="B447" t="s">
        <v>341</v>
      </c>
      <c r="C447">
        <v>12</v>
      </c>
      <c r="D447" t="s">
        <v>10</v>
      </c>
      <c r="E447" t="str">
        <f>IFERROR(VLOOKUP(logos[[#This Row],[Cell_ID]],'registe maintenance'!A:B,2,FALSE)," non répertoriées")</f>
        <v>Kinshasa</v>
      </c>
      <c r="F447">
        <f>IFERROR(VLOOKUP(logos[[#This Row],[Cell_ID]],'registe maintenance'!A:C,3,FALSE)," non répertoriées")</f>
        <v>-11.389362</v>
      </c>
      <c r="G447">
        <f>IFERROR(VLOOKUP(logos[[#This Row],[Cell_ID]],'registe maintenance'!A:D,4,FALSE)," non répertoriées")</f>
        <v>22.240174</v>
      </c>
      <c r="H447" t="str">
        <f>IFERROR(VLOOKUP(logos[[#This Row],[Cell_ID]],'registe maintenance'!A:E,5,FALSE)," non répertoriées")</f>
        <v>5G</v>
      </c>
      <c r="I447" t="str">
        <f>IFERROR(VLOOKUP(logos[[#This Row],[Cell_ID]],'registe maintenance'!A:F,6,FALSE)," non répertoriées")</f>
        <v>ZTE</v>
      </c>
      <c r="J447">
        <f>IFERROR(VLOOKUP(B447,'logos transformer '!A:B,2,FALSE),"na")</f>
        <v>3</v>
      </c>
      <c r="K447">
        <f>IFERROR(VLOOKUP(B447,'logos transformer '!A:C,3,FALSE),"na")</f>
        <v>109</v>
      </c>
      <c r="L447" s="1">
        <f>IFERROR(VLOOKUP(B447,'logos transformer '!A:D,4,FALSE),"na")</f>
        <v>45226.84097222222</v>
      </c>
    </row>
    <row r="448" spans="1:12" x14ac:dyDescent="0.3">
      <c r="A448" s="1">
        <v>45210.836111111108</v>
      </c>
      <c r="B448" t="s">
        <v>363</v>
      </c>
      <c r="C448">
        <v>25</v>
      </c>
      <c r="D448" t="s">
        <v>10</v>
      </c>
      <c r="E448" t="str">
        <f>IFERROR(VLOOKUP(logos[[#This Row],[Cell_ID]],'registe maintenance'!A:B,2,FALSE)," non répertoriées")</f>
        <v xml:space="preserve"> non répertoriées</v>
      </c>
      <c r="F448" t="str">
        <f>IFERROR(VLOOKUP(logos[[#This Row],[Cell_ID]],'registe maintenance'!A:C,3,FALSE)," non répertoriées")</f>
        <v xml:space="preserve"> non répertoriées</v>
      </c>
      <c r="G448" t="str">
        <f>IFERROR(VLOOKUP(logos[[#This Row],[Cell_ID]],'registe maintenance'!A:D,4,FALSE)," non répertoriées")</f>
        <v xml:space="preserve"> non répertoriées</v>
      </c>
      <c r="H448" t="str">
        <f>IFERROR(VLOOKUP(logos[[#This Row],[Cell_ID]],'registe maintenance'!A:E,5,FALSE)," non répertoriées")</f>
        <v xml:space="preserve"> non répertoriées</v>
      </c>
      <c r="I448" t="str">
        <f>IFERROR(VLOOKUP(logos[[#This Row],[Cell_ID]],'registe maintenance'!A:F,6,FALSE)," non répertoriées")</f>
        <v xml:space="preserve"> non répertoriées</v>
      </c>
      <c r="J448">
        <f>IFERROR(VLOOKUP(B448,'logos transformer '!A:B,2,FALSE),"na")</f>
        <v>1</v>
      </c>
      <c r="K448">
        <f>IFERROR(VLOOKUP(B448,'logos transformer '!A:C,3,FALSE),"na")</f>
        <v>25</v>
      </c>
      <c r="L448" s="1">
        <f>IFERROR(VLOOKUP(B448,'logos transformer '!A:D,4,FALSE),"na")</f>
        <v>45210.836111111108</v>
      </c>
    </row>
    <row r="449" spans="1:12" x14ac:dyDescent="0.3">
      <c r="A449" s="1">
        <v>45214.613194444442</v>
      </c>
      <c r="B449" t="s">
        <v>364</v>
      </c>
      <c r="C449">
        <v>61</v>
      </c>
      <c r="D449" t="s">
        <v>10</v>
      </c>
      <c r="E449" t="str">
        <f>IFERROR(VLOOKUP(logos[[#This Row],[Cell_ID]],'registe maintenance'!A:B,2,FALSE)," non répertoriées")</f>
        <v xml:space="preserve"> non répertoriées</v>
      </c>
      <c r="F449" t="str">
        <f>IFERROR(VLOOKUP(logos[[#This Row],[Cell_ID]],'registe maintenance'!A:C,3,FALSE)," non répertoriées")</f>
        <v xml:space="preserve"> non répertoriées</v>
      </c>
      <c r="G449" t="str">
        <f>IFERROR(VLOOKUP(logos[[#This Row],[Cell_ID]],'registe maintenance'!A:D,4,FALSE)," non répertoriées")</f>
        <v xml:space="preserve"> non répertoriées</v>
      </c>
      <c r="H449" t="str">
        <f>IFERROR(VLOOKUP(logos[[#This Row],[Cell_ID]],'registe maintenance'!A:E,5,FALSE)," non répertoriées")</f>
        <v xml:space="preserve"> non répertoriées</v>
      </c>
      <c r="I449" t="str">
        <f>IFERROR(VLOOKUP(logos[[#This Row],[Cell_ID]],'registe maintenance'!A:F,6,FALSE)," non répertoriées")</f>
        <v xml:space="preserve"> non répertoriées</v>
      </c>
      <c r="J449">
        <f>IFERROR(VLOOKUP(B449,'logos transformer '!A:B,2,FALSE),"na")</f>
        <v>1</v>
      </c>
      <c r="K449">
        <f>IFERROR(VLOOKUP(B449,'logos transformer '!A:C,3,FALSE),"na")</f>
        <v>61</v>
      </c>
      <c r="L449" s="1">
        <f>IFERROR(VLOOKUP(B449,'logos transformer '!A:D,4,FALSE),"na")</f>
        <v>45214.613194444442</v>
      </c>
    </row>
    <row r="450" spans="1:12" x14ac:dyDescent="0.3">
      <c r="A450" s="1">
        <v>45216.463888888888</v>
      </c>
      <c r="B450" t="s">
        <v>317</v>
      </c>
      <c r="C450">
        <v>58</v>
      </c>
      <c r="D450" t="s">
        <v>5</v>
      </c>
      <c r="E450" t="str">
        <f>IFERROR(VLOOKUP(logos[[#This Row],[Cell_ID]],'registe maintenance'!A:B,2,FALSE)," non répertoriées")</f>
        <v>Haut-Lomami</v>
      </c>
      <c r="F450">
        <f>IFERROR(VLOOKUP(logos[[#This Row],[Cell_ID]],'registe maintenance'!A:C,3,FALSE)," non répertoriées")</f>
        <v>-7.1785899999999998</v>
      </c>
      <c r="G450">
        <f>IFERROR(VLOOKUP(logos[[#This Row],[Cell_ID]],'registe maintenance'!A:D,4,FALSE)," non répertoriées")</f>
        <v>24.4404</v>
      </c>
      <c r="H450" t="str">
        <f>IFERROR(VLOOKUP(logos[[#This Row],[Cell_ID]],'registe maintenance'!A:E,5,FALSE)," non répertoriées")</f>
        <v>4G</v>
      </c>
      <c r="I450" t="str">
        <f>IFERROR(VLOOKUP(logos[[#This Row],[Cell_ID]],'registe maintenance'!A:F,6,FALSE)," non répertoriées")</f>
        <v>Nokia</v>
      </c>
      <c r="J450">
        <f>IFERROR(VLOOKUP(B450,'logos transformer '!A:B,2,FALSE),"na")</f>
        <v>3</v>
      </c>
      <c r="K450">
        <f>IFERROR(VLOOKUP(B450,'logos transformer '!A:C,3,FALSE),"na")</f>
        <v>114</v>
      </c>
      <c r="L450" s="1">
        <f>IFERROR(VLOOKUP(B450,'logos transformer '!A:D,4,FALSE),"na")</f>
        <v>45229.670138888891</v>
      </c>
    </row>
    <row r="451" spans="1:12" x14ac:dyDescent="0.3">
      <c r="A451" s="1">
        <v>45228.736111111109</v>
      </c>
      <c r="B451" t="s">
        <v>365</v>
      </c>
      <c r="C451">
        <v>66</v>
      </c>
      <c r="D451" t="s">
        <v>10</v>
      </c>
      <c r="E451" t="str">
        <f>IFERROR(VLOOKUP(logos[[#This Row],[Cell_ID]],'registe maintenance'!A:B,2,FALSE)," non répertoriées")</f>
        <v>Kasai-Oriental</v>
      </c>
      <c r="F451">
        <f>IFERROR(VLOOKUP(logos[[#This Row],[Cell_ID]],'registe maintenance'!A:C,3,FALSE)," non répertoriées")</f>
        <v>-4.4831099999999999</v>
      </c>
      <c r="G451">
        <f>IFERROR(VLOOKUP(logos[[#This Row],[Cell_ID]],'registe maintenance'!A:D,4,FALSE)," non répertoriées")</f>
        <v>25.406548000000001</v>
      </c>
      <c r="H451" t="str">
        <f>IFERROR(VLOOKUP(logos[[#This Row],[Cell_ID]],'registe maintenance'!A:E,5,FALSE)," non répertoriées")</f>
        <v>5G</v>
      </c>
      <c r="I451" t="str">
        <f>IFERROR(VLOOKUP(logos[[#This Row],[Cell_ID]],'registe maintenance'!A:F,6,FALSE)," non répertoriées")</f>
        <v>Nokia</v>
      </c>
      <c r="J451">
        <f>IFERROR(VLOOKUP(B451,'logos transformer '!A:B,2,FALSE),"na")</f>
        <v>1</v>
      </c>
      <c r="K451">
        <f>IFERROR(VLOOKUP(B451,'logos transformer '!A:C,3,FALSE),"na")</f>
        <v>66</v>
      </c>
      <c r="L451" s="1">
        <f>IFERROR(VLOOKUP(B451,'logos transformer '!A:D,4,FALSE),"na")</f>
        <v>45228.736111111109</v>
      </c>
    </row>
    <row r="452" spans="1:12" x14ac:dyDescent="0.3">
      <c r="A452" s="1">
        <v>45218.242361111108</v>
      </c>
      <c r="B452" t="s">
        <v>208</v>
      </c>
      <c r="C452">
        <v>64</v>
      </c>
      <c r="D452" t="s">
        <v>5</v>
      </c>
      <c r="E452" t="str">
        <f>IFERROR(VLOOKUP(logos[[#This Row],[Cell_ID]],'registe maintenance'!A:B,2,FALSE)," non répertoriées")</f>
        <v xml:space="preserve"> non répertoriées</v>
      </c>
      <c r="F452" t="str">
        <f>IFERROR(VLOOKUP(logos[[#This Row],[Cell_ID]],'registe maintenance'!A:C,3,FALSE)," non répertoriées")</f>
        <v xml:space="preserve"> non répertoriées</v>
      </c>
      <c r="G452" t="str">
        <f>IFERROR(VLOOKUP(logos[[#This Row],[Cell_ID]],'registe maintenance'!A:D,4,FALSE)," non répertoriées")</f>
        <v xml:space="preserve"> non répertoriées</v>
      </c>
      <c r="H452" t="str">
        <f>IFERROR(VLOOKUP(logos[[#This Row],[Cell_ID]],'registe maintenance'!A:E,5,FALSE)," non répertoriées")</f>
        <v xml:space="preserve"> non répertoriées</v>
      </c>
      <c r="I452" t="str">
        <f>IFERROR(VLOOKUP(logos[[#This Row],[Cell_ID]],'registe maintenance'!A:F,6,FALSE)," non répertoriées")</f>
        <v xml:space="preserve"> non répertoriées</v>
      </c>
      <c r="J452">
        <f>IFERROR(VLOOKUP(B452,'logos transformer '!A:B,2,FALSE),"na")</f>
        <v>3</v>
      </c>
      <c r="K452">
        <f>IFERROR(VLOOKUP(B452,'logos transformer '!A:C,3,FALSE),"na")</f>
        <v>268</v>
      </c>
      <c r="L452" s="1">
        <f>IFERROR(VLOOKUP(B452,'logos transformer '!A:D,4,FALSE),"na")</f>
        <v>45218.242361111108</v>
      </c>
    </row>
    <row r="453" spans="1:12" x14ac:dyDescent="0.3">
      <c r="A453" s="1">
        <v>45230.185416666667</v>
      </c>
      <c r="B453" t="s">
        <v>366</v>
      </c>
      <c r="C453">
        <v>31</v>
      </c>
      <c r="D453" t="s">
        <v>8</v>
      </c>
      <c r="E453" t="str">
        <f>IFERROR(VLOOKUP(logos[[#This Row],[Cell_ID]],'registe maintenance'!A:B,2,FALSE)," non répertoriées")</f>
        <v xml:space="preserve"> non répertoriées</v>
      </c>
      <c r="F453" t="str">
        <f>IFERROR(VLOOKUP(logos[[#This Row],[Cell_ID]],'registe maintenance'!A:C,3,FALSE)," non répertoriées")</f>
        <v xml:space="preserve"> non répertoriées</v>
      </c>
      <c r="G453" t="str">
        <f>IFERROR(VLOOKUP(logos[[#This Row],[Cell_ID]],'registe maintenance'!A:D,4,FALSE)," non répertoriées")</f>
        <v xml:space="preserve"> non répertoriées</v>
      </c>
      <c r="H453" t="str">
        <f>IFERROR(VLOOKUP(logos[[#This Row],[Cell_ID]],'registe maintenance'!A:E,5,FALSE)," non répertoriées")</f>
        <v xml:space="preserve"> non répertoriées</v>
      </c>
      <c r="I453" t="str">
        <f>IFERROR(VLOOKUP(logos[[#This Row],[Cell_ID]],'registe maintenance'!A:F,6,FALSE)," non répertoriées")</f>
        <v xml:space="preserve"> non répertoriées</v>
      </c>
      <c r="J453">
        <f>IFERROR(VLOOKUP(B453,'logos transformer '!A:B,2,FALSE),"na")</f>
        <v>1</v>
      </c>
      <c r="K453">
        <f>IFERROR(VLOOKUP(B453,'logos transformer '!A:C,3,FALSE),"na")</f>
        <v>31</v>
      </c>
      <c r="L453" s="1">
        <f>IFERROR(VLOOKUP(B453,'logos transformer '!A:D,4,FALSE),"na")</f>
        <v>45230.185416666667</v>
      </c>
    </row>
    <row r="454" spans="1:12" x14ac:dyDescent="0.3">
      <c r="A454" s="1">
        <v>45216.078472222223</v>
      </c>
      <c r="B454" t="s">
        <v>367</v>
      </c>
      <c r="C454">
        <v>48</v>
      </c>
      <c r="D454" t="s">
        <v>8</v>
      </c>
      <c r="E454" t="str">
        <f>IFERROR(VLOOKUP(logos[[#This Row],[Cell_ID]],'registe maintenance'!A:B,2,FALSE)," non répertoriées")</f>
        <v>Sud-Ubangi</v>
      </c>
      <c r="F454">
        <f>IFERROR(VLOOKUP(logos[[#This Row],[Cell_ID]],'registe maintenance'!A:C,3,FALSE)," non répertoriées")</f>
        <v>-8.0864899999999995</v>
      </c>
      <c r="G454">
        <f>IFERROR(VLOOKUP(logos[[#This Row],[Cell_ID]],'registe maintenance'!A:D,4,FALSE)," non répertoriées")</f>
        <v>14.555277</v>
      </c>
      <c r="H454" t="str">
        <f>IFERROR(VLOOKUP(logos[[#This Row],[Cell_ID]],'registe maintenance'!A:E,5,FALSE)," non répertoriées")</f>
        <v>3G</v>
      </c>
      <c r="I454" t="str">
        <f>IFERROR(VLOOKUP(logos[[#This Row],[Cell_ID]],'registe maintenance'!A:F,6,FALSE)," non répertoriées")</f>
        <v>Ericsson</v>
      </c>
      <c r="J454">
        <f>IFERROR(VLOOKUP(B454,'logos transformer '!A:B,2,FALSE),"na")</f>
        <v>1</v>
      </c>
      <c r="K454">
        <f>IFERROR(VLOOKUP(B454,'logos transformer '!A:C,3,FALSE),"na")</f>
        <v>48</v>
      </c>
      <c r="L454" s="1">
        <f>IFERROR(VLOOKUP(B454,'logos transformer '!A:D,4,FALSE),"na")</f>
        <v>45216.078472222223</v>
      </c>
    </row>
    <row r="455" spans="1:12" x14ac:dyDescent="0.3">
      <c r="A455" s="1">
        <v>45203.67291666667</v>
      </c>
      <c r="B455" t="s">
        <v>368</v>
      </c>
      <c r="C455">
        <v>82</v>
      </c>
      <c r="D455" t="s">
        <v>5</v>
      </c>
      <c r="E455" t="str">
        <f>IFERROR(VLOOKUP(logos[[#This Row],[Cell_ID]],'registe maintenance'!A:B,2,FALSE)," non répertoriées")</f>
        <v xml:space="preserve"> non répertoriées</v>
      </c>
      <c r="F455" t="str">
        <f>IFERROR(VLOOKUP(logos[[#This Row],[Cell_ID]],'registe maintenance'!A:C,3,FALSE)," non répertoriées")</f>
        <v xml:space="preserve"> non répertoriées</v>
      </c>
      <c r="G455" t="str">
        <f>IFERROR(VLOOKUP(logos[[#This Row],[Cell_ID]],'registe maintenance'!A:D,4,FALSE)," non répertoriées")</f>
        <v xml:space="preserve"> non répertoriées</v>
      </c>
      <c r="H455" t="str">
        <f>IFERROR(VLOOKUP(logos[[#This Row],[Cell_ID]],'registe maintenance'!A:E,5,FALSE)," non répertoriées")</f>
        <v xml:space="preserve"> non répertoriées</v>
      </c>
      <c r="I455" t="str">
        <f>IFERROR(VLOOKUP(logos[[#This Row],[Cell_ID]],'registe maintenance'!A:F,6,FALSE)," non répertoriées")</f>
        <v xml:space="preserve"> non répertoriées</v>
      </c>
      <c r="J455">
        <f>IFERROR(VLOOKUP(B455,'logos transformer '!A:B,2,FALSE),"na")</f>
        <v>1</v>
      </c>
      <c r="K455">
        <f>IFERROR(VLOOKUP(B455,'logos transformer '!A:C,3,FALSE),"na")</f>
        <v>82</v>
      </c>
      <c r="L455" s="1">
        <f>IFERROR(VLOOKUP(B455,'logos transformer '!A:D,4,FALSE),"na")</f>
        <v>45203.67291666667</v>
      </c>
    </row>
    <row r="456" spans="1:12" x14ac:dyDescent="0.3">
      <c r="A456" s="1">
        <v>45209.215277777781</v>
      </c>
      <c r="B456" t="s">
        <v>341</v>
      </c>
      <c r="C456">
        <v>23</v>
      </c>
      <c r="D456" t="s">
        <v>10</v>
      </c>
      <c r="E456" t="str">
        <f>IFERROR(VLOOKUP(logos[[#This Row],[Cell_ID]],'registe maintenance'!A:B,2,FALSE)," non répertoriées")</f>
        <v>Kinshasa</v>
      </c>
      <c r="F456">
        <f>IFERROR(VLOOKUP(logos[[#This Row],[Cell_ID]],'registe maintenance'!A:C,3,FALSE)," non répertoriées")</f>
        <v>-11.389362</v>
      </c>
      <c r="G456">
        <f>IFERROR(VLOOKUP(logos[[#This Row],[Cell_ID]],'registe maintenance'!A:D,4,FALSE)," non répertoriées")</f>
        <v>22.240174</v>
      </c>
      <c r="H456" t="str">
        <f>IFERROR(VLOOKUP(logos[[#This Row],[Cell_ID]],'registe maintenance'!A:E,5,FALSE)," non répertoriées")</f>
        <v>5G</v>
      </c>
      <c r="I456" t="str">
        <f>IFERROR(VLOOKUP(logos[[#This Row],[Cell_ID]],'registe maintenance'!A:F,6,FALSE)," non répertoriées")</f>
        <v>ZTE</v>
      </c>
      <c r="J456">
        <f>IFERROR(VLOOKUP(B456,'logos transformer '!A:B,2,FALSE),"na")</f>
        <v>3</v>
      </c>
      <c r="K456">
        <f>IFERROR(VLOOKUP(B456,'logos transformer '!A:C,3,FALSE),"na")</f>
        <v>109</v>
      </c>
      <c r="L456" s="1">
        <f>IFERROR(VLOOKUP(B456,'logos transformer '!A:D,4,FALSE),"na")</f>
        <v>45226.84097222222</v>
      </c>
    </row>
    <row r="457" spans="1:12" x14ac:dyDescent="0.3">
      <c r="A457" s="1">
        <v>45210.926388888889</v>
      </c>
      <c r="B457" t="s">
        <v>192</v>
      </c>
      <c r="C457">
        <v>45</v>
      </c>
      <c r="D457" t="s">
        <v>8</v>
      </c>
      <c r="E457" t="str">
        <f>IFERROR(VLOOKUP(logos[[#This Row],[Cell_ID]],'registe maintenance'!A:B,2,FALSE)," non répertoriées")</f>
        <v>Haut-Lomami</v>
      </c>
      <c r="F457">
        <f>IFERROR(VLOOKUP(logos[[#This Row],[Cell_ID]],'registe maintenance'!A:C,3,FALSE)," non répertoriées")</f>
        <v>1.210869</v>
      </c>
      <c r="G457">
        <f>IFERROR(VLOOKUP(logos[[#This Row],[Cell_ID]],'registe maintenance'!A:D,4,FALSE)," non répertoriées")</f>
        <v>25.598741</v>
      </c>
      <c r="H457" t="str">
        <f>IFERROR(VLOOKUP(logos[[#This Row],[Cell_ID]],'registe maintenance'!A:E,5,FALSE)," non répertoriées")</f>
        <v>4G</v>
      </c>
      <c r="I457" t="str">
        <f>IFERROR(VLOOKUP(logos[[#This Row],[Cell_ID]],'registe maintenance'!A:F,6,FALSE)," non répertoriées")</f>
        <v>Ericsson</v>
      </c>
      <c r="J457">
        <f>IFERROR(VLOOKUP(B457,'logos transformer '!A:B,2,FALSE),"na")</f>
        <v>3</v>
      </c>
      <c r="K457">
        <f>IFERROR(VLOOKUP(B457,'logos transformer '!A:C,3,FALSE),"na")</f>
        <v>106</v>
      </c>
      <c r="L457" s="1">
        <f>IFERROR(VLOOKUP(B457,'logos transformer '!A:D,4,FALSE),"na")</f>
        <v>45214.943055555559</v>
      </c>
    </row>
    <row r="458" spans="1:12" x14ac:dyDescent="0.3">
      <c r="A458" s="1">
        <v>45211.706250000003</v>
      </c>
      <c r="B458" t="s">
        <v>369</v>
      </c>
      <c r="C458">
        <v>115</v>
      </c>
      <c r="D458" t="s">
        <v>10</v>
      </c>
      <c r="E458" t="str">
        <f>IFERROR(VLOOKUP(logos[[#This Row],[Cell_ID]],'registe maintenance'!A:B,2,FALSE)," non répertoriées")</f>
        <v xml:space="preserve"> non répertoriées</v>
      </c>
      <c r="F458" t="str">
        <f>IFERROR(VLOOKUP(logos[[#This Row],[Cell_ID]],'registe maintenance'!A:C,3,FALSE)," non répertoriées")</f>
        <v xml:space="preserve"> non répertoriées</v>
      </c>
      <c r="G458" t="str">
        <f>IFERROR(VLOOKUP(logos[[#This Row],[Cell_ID]],'registe maintenance'!A:D,4,FALSE)," non répertoriées")</f>
        <v xml:space="preserve"> non répertoriées</v>
      </c>
      <c r="H458" t="str">
        <f>IFERROR(VLOOKUP(logos[[#This Row],[Cell_ID]],'registe maintenance'!A:E,5,FALSE)," non répertoriées")</f>
        <v xml:space="preserve"> non répertoriées</v>
      </c>
      <c r="I458" t="str">
        <f>IFERROR(VLOOKUP(logos[[#This Row],[Cell_ID]],'registe maintenance'!A:F,6,FALSE)," non répertoriées")</f>
        <v xml:space="preserve"> non répertoriées</v>
      </c>
      <c r="J458">
        <f>IFERROR(VLOOKUP(B458,'logos transformer '!A:B,2,FALSE),"na")</f>
        <v>1</v>
      </c>
      <c r="K458">
        <f>IFERROR(VLOOKUP(B458,'logos transformer '!A:C,3,FALSE),"na")</f>
        <v>115</v>
      </c>
      <c r="L458" s="1">
        <f>IFERROR(VLOOKUP(B458,'logos transformer '!A:D,4,FALSE),"na")</f>
        <v>45211.706250000003</v>
      </c>
    </row>
    <row r="459" spans="1:12" x14ac:dyDescent="0.3">
      <c r="A459" s="1">
        <v>45209.094444444447</v>
      </c>
      <c r="B459" t="s">
        <v>370</v>
      </c>
      <c r="C459">
        <v>96</v>
      </c>
      <c r="D459" t="s">
        <v>5</v>
      </c>
      <c r="E459" t="str">
        <f>IFERROR(VLOOKUP(logos[[#This Row],[Cell_ID]],'registe maintenance'!A:B,2,FALSE)," non répertoriées")</f>
        <v xml:space="preserve"> non répertoriées</v>
      </c>
      <c r="F459" t="str">
        <f>IFERROR(VLOOKUP(logos[[#This Row],[Cell_ID]],'registe maintenance'!A:C,3,FALSE)," non répertoriées")</f>
        <v xml:space="preserve"> non répertoriées</v>
      </c>
      <c r="G459" t="str">
        <f>IFERROR(VLOOKUP(logos[[#This Row],[Cell_ID]],'registe maintenance'!A:D,4,FALSE)," non répertoriées")</f>
        <v xml:space="preserve"> non répertoriées</v>
      </c>
      <c r="H459" t="str">
        <f>IFERROR(VLOOKUP(logos[[#This Row],[Cell_ID]],'registe maintenance'!A:E,5,FALSE)," non répertoriées")</f>
        <v xml:space="preserve"> non répertoriées</v>
      </c>
      <c r="I459" t="str">
        <f>IFERROR(VLOOKUP(logos[[#This Row],[Cell_ID]],'registe maintenance'!A:F,6,FALSE)," non répertoriées")</f>
        <v xml:space="preserve"> non répertoriées</v>
      </c>
      <c r="J459">
        <f>IFERROR(VLOOKUP(B459,'logos transformer '!A:B,2,FALSE),"na")</f>
        <v>1</v>
      </c>
      <c r="K459">
        <f>IFERROR(VLOOKUP(B459,'logos transformer '!A:C,3,FALSE),"na")</f>
        <v>96</v>
      </c>
      <c r="L459" s="1">
        <f>IFERROR(VLOOKUP(B459,'logos transformer '!A:D,4,FALSE),"na")</f>
        <v>45209.094444444447</v>
      </c>
    </row>
    <row r="460" spans="1:12" x14ac:dyDescent="0.3">
      <c r="A460" s="1">
        <v>45206.857638888891</v>
      </c>
      <c r="B460" t="s">
        <v>192</v>
      </c>
      <c r="C460">
        <v>45</v>
      </c>
      <c r="D460" t="s">
        <v>10</v>
      </c>
      <c r="E460" t="str">
        <f>IFERROR(VLOOKUP(logos[[#This Row],[Cell_ID]],'registe maintenance'!A:B,2,FALSE)," non répertoriées")</f>
        <v>Haut-Lomami</v>
      </c>
      <c r="F460">
        <f>IFERROR(VLOOKUP(logos[[#This Row],[Cell_ID]],'registe maintenance'!A:C,3,FALSE)," non répertoriées")</f>
        <v>1.210869</v>
      </c>
      <c r="G460">
        <f>IFERROR(VLOOKUP(logos[[#This Row],[Cell_ID]],'registe maintenance'!A:D,4,FALSE)," non répertoriées")</f>
        <v>25.598741</v>
      </c>
      <c r="H460" t="str">
        <f>IFERROR(VLOOKUP(logos[[#This Row],[Cell_ID]],'registe maintenance'!A:E,5,FALSE)," non répertoriées")</f>
        <v>4G</v>
      </c>
      <c r="I460" t="str">
        <f>IFERROR(VLOOKUP(logos[[#This Row],[Cell_ID]],'registe maintenance'!A:F,6,FALSE)," non répertoriées")</f>
        <v>Ericsson</v>
      </c>
      <c r="J460">
        <f>IFERROR(VLOOKUP(B460,'logos transformer '!A:B,2,FALSE),"na")</f>
        <v>3</v>
      </c>
      <c r="K460">
        <f>IFERROR(VLOOKUP(B460,'logos transformer '!A:C,3,FALSE),"na")</f>
        <v>106</v>
      </c>
      <c r="L460" s="1">
        <f>IFERROR(VLOOKUP(B460,'logos transformer '!A:D,4,FALSE),"na")</f>
        <v>45214.943055555559</v>
      </c>
    </row>
    <row r="461" spans="1:12" x14ac:dyDescent="0.3">
      <c r="A461" s="1">
        <v>45208.194444444453</v>
      </c>
      <c r="B461" t="s">
        <v>371</v>
      </c>
      <c r="C461">
        <v>98</v>
      </c>
      <c r="D461" t="s">
        <v>8</v>
      </c>
      <c r="E461" t="str">
        <f>IFERROR(VLOOKUP(logos[[#This Row],[Cell_ID]],'registe maintenance'!A:B,2,FALSE)," non répertoriées")</f>
        <v xml:space="preserve"> non répertoriées</v>
      </c>
      <c r="F461" t="str">
        <f>IFERROR(VLOOKUP(logos[[#This Row],[Cell_ID]],'registe maintenance'!A:C,3,FALSE)," non répertoriées")</f>
        <v xml:space="preserve"> non répertoriées</v>
      </c>
      <c r="G461" t="str">
        <f>IFERROR(VLOOKUP(logos[[#This Row],[Cell_ID]],'registe maintenance'!A:D,4,FALSE)," non répertoriées")</f>
        <v xml:space="preserve"> non répertoriées</v>
      </c>
      <c r="H461" t="str">
        <f>IFERROR(VLOOKUP(logos[[#This Row],[Cell_ID]],'registe maintenance'!A:E,5,FALSE)," non répertoriées")</f>
        <v xml:space="preserve"> non répertoriées</v>
      </c>
      <c r="I461" t="str">
        <f>IFERROR(VLOOKUP(logos[[#This Row],[Cell_ID]],'registe maintenance'!A:F,6,FALSE)," non répertoriées")</f>
        <v xml:space="preserve"> non répertoriées</v>
      </c>
      <c r="J461">
        <f>IFERROR(VLOOKUP(B461,'logos transformer '!A:B,2,FALSE),"na")</f>
        <v>1</v>
      </c>
      <c r="K461">
        <f>IFERROR(VLOOKUP(B461,'logos transformer '!A:C,3,FALSE),"na")</f>
        <v>98</v>
      </c>
      <c r="L461" s="1">
        <f>IFERROR(VLOOKUP(B461,'logos transformer '!A:D,4,FALSE),"na")</f>
        <v>45208.194444444445</v>
      </c>
    </row>
    <row r="462" spans="1:12" x14ac:dyDescent="0.3">
      <c r="A462" s="1">
        <v>45209.81527777778</v>
      </c>
      <c r="B462" t="s">
        <v>94</v>
      </c>
      <c r="C462">
        <v>115</v>
      </c>
      <c r="D462" t="s">
        <v>10</v>
      </c>
      <c r="E462" t="str">
        <f>IFERROR(VLOOKUP(logos[[#This Row],[Cell_ID]],'registe maintenance'!A:B,2,FALSE)," non répertoriées")</f>
        <v xml:space="preserve"> non répertoriées</v>
      </c>
      <c r="F462" t="str">
        <f>IFERROR(VLOOKUP(logos[[#This Row],[Cell_ID]],'registe maintenance'!A:C,3,FALSE)," non répertoriées")</f>
        <v xml:space="preserve"> non répertoriées</v>
      </c>
      <c r="G462" t="str">
        <f>IFERROR(VLOOKUP(logos[[#This Row],[Cell_ID]],'registe maintenance'!A:D,4,FALSE)," non répertoriées")</f>
        <v xml:space="preserve"> non répertoriées</v>
      </c>
      <c r="H462" t="str">
        <f>IFERROR(VLOOKUP(logos[[#This Row],[Cell_ID]],'registe maintenance'!A:E,5,FALSE)," non répertoriées")</f>
        <v xml:space="preserve"> non répertoriées</v>
      </c>
      <c r="I462" t="str">
        <f>IFERROR(VLOOKUP(logos[[#This Row],[Cell_ID]],'registe maintenance'!A:F,6,FALSE)," non répertoriées")</f>
        <v xml:space="preserve"> non répertoriées</v>
      </c>
      <c r="J462">
        <f>IFERROR(VLOOKUP(B462,'logos transformer '!A:B,2,FALSE),"na")</f>
        <v>2</v>
      </c>
      <c r="K462">
        <f>IFERROR(VLOOKUP(B462,'logos transformer '!A:C,3,FALSE),"na")</f>
        <v>207</v>
      </c>
      <c r="L462" s="1">
        <f>IFERROR(VLOOKUP(B462,'logos transformer '!A:D,4,FALSE),"na")</f>
        <v>45214.816666666666</v>
      </c>
    </row>
    <row r="463" spans="1:12" x14ac:dyDescent="0.3">
      <c r="A463" s="1">
        <v>45202.695138888892</v>
      </c>
      <c r="B463" t="s">
        <v>372</v>
      </c>
      <c r="C463">
        <v>49</v>
      </c>
      <c r="D463" t="s">
        <v>8</v>
      </c>
      <c r="E463" t="str">
        <f>IFERROR(VLOOKUP(logos[[#This Row],[Cell_ID]],'registe maintenance'!A:B,2,FALSE)," non répertoriées")</f>
        <v xml:space="preserve"> non répertoriées</v>
      </c>
      <c r="F463" t="str">
        <f>IFERROR(VLOOKUP(logos[[#This Row],[Cell_ID]],'registe maintenance'!A:C,3,FALSE)," non répertoriées")</f>
        <v xml:space="preserve"> non répertoriées</v>
      </c>
      <c r="G463" t="str">
        <f>IFERROR(VLOOKUP(logos[[#This Row],[Cell_ID]],'registe maintenance'!A:D,4,FALSE)," non répertoriées")</f>
        <v xml:space="preserve"> non répertoriées</v>
      </c>
      <c r="H463" t="str">
        <f>IFERROR(VLOOKUP(logos[[#This Row],[Cell_ID]],'registe maintenance'!A:E,5,FALSE)," non répertoriées")</f>
        <v xml:space="preserve"> non répertoriées</v>
      </c>
      <c r="I463" t="str">
        <f>IFERROR(VLOOKUP(logos[[#This Row],[Cell_ID]],'registe maintenance'!A:F,6,FALSE)," non répertoriées")</f>
        <v xml:space="preserve"> non répertoriées</v>
      </c>
      <c r="J463">
        <f>IFERROR(VLOOKUP(B463,'logos transformer '!A:B,2,FALSE),"na")</f>
        <v>1</v>
      </c>
      <c r="K463">
        <f>IFERROR(VLOOKUP(B463,'logos transformer '!A:C,3,FALSE),"na")</f>
        <v>49</v>
      </c>
      <c r="L463" s="1">
        <f>IFERROR(VLOOKUP(B463,'logos transformer '!A:D,4,FALSE),"na")</f>
        <v>45202.695138888892</v>
      </c>
    </row>
    <row r="464" spans="1:12" x14ac:dyDescent="0.3">
      <c r="A464" s="1">
        <v>45205.775694444441</v>
      </c>
      <c r="B464" t="s">
        <v>373</v>
      </c>
      <c r="C464">
        <v>56</v>
      </c>
      <c r="D464" t="s">
        <v>10</v>
      </c>
      <c r="E464" t="str">
        <f>IFERROR(VLOOKUP(logos[[#This Row],[Cell_ID]],'registe maintenance'!A:B,2,FALSE)," non répertoriées")</f>
        <v xml:space="preserve"> non répertoriées</v>
      </c>
      <c r="F464" t="str">
        <f>IFERROR(VLOOKUP(logos[[#This Row],[Cell_ID]],'registe maintenance'!A:C,3,FALSE)," non répertoriées")</f>
        <v xml:space="preserve"> non répertoriées</v>
      </c>
      <c r="G464" t="str">
        <f>IFERROR(VLOOKUP(logos[[#This Row],[Cell_ID]],'registe maintenance'!A:D,4,FALSE)," non répertoriées")</f>
        <v xml:space="preserve"> non répertoriées</v>
      </c>
      <c r="H464" t="str">
        <f>IFERROR(VLOOKUP(logos[[#This Row],[Cell_ID]],'registe maintenance'!A:E,5,FALSE)," non répertoriées")</f>
        <v xml:space="preserve"> non répertoriées</v>
      </c>
      <c r="I464" t="str">
        <f>IFERROR(VLOOKUP(logos[[#This Row],[Cell_ID]],'registe maintenance'!A:F,6,FALSE)," non répertoriées")</f>
        <v xml:space="preserve"> non répertoriées</v>
      </c>
      <c r="J464">
        <f>IFERROR(VLOOKUP(B464,'logos transformer '!A:B,2,FALSE),"na")</f>
        <v>2</v>
      </c>
      <c r="K464">
        <f>IFERROR(VLOOKUP(B464,'logos transformer '!A:C,3,FALSE),"na")</f>
        <v>69</v>
      </c>
      <c r="L464" s="1">
        <f>IFERROR(VLOOKUP(B464,'logos transformer '!A:D,4,FALSE),"na")</f>
        <v>45220.390972222223</v>
      </c>
    </row>
    <row r="465" spans="1:12" x14ac:dyDescent="0.3">
      <c r="A465" s="1">
        <v>45204.237500000003</v>
      </c>
      <c r="B465" t="s">
        <v>224</v>
      </c>
      <c r="C465">
        <v>21</v>
      </c>
      <c r="D465" t="s">
        <v>8</v>
      </c>
      <c r="E465" t="str">
        <f>IFERROR(VLOOKUP(logos[[#This Row],[Cell_ID]],'registe maintenance'!A:B,2,FALSE)," non répertoriées")</f>
        <v>Kongo-Central</v>
      </c>
      <c r="F465">
        <f>IFERROR(VLOOKUP(logos[[#This Row],[Cell_ID]],'registe maintenance'!A:C,3,FALSE)," non répertoriées")</f>
        <v>2.975352</v>
      </c>
      <c r="G465">
        <f>IFERROR(VLOOKUP(logos[[#This Row],[Cell_ID]],'registe maintenance'!A:D,4,FALSE)," non répertoriées")</f>
        <v>22.535886000000001</v>
      </c>
      <c r="H465" t="str">
        <f>IFERROR(VLOOKUP(logos[[#This Row],[Cell_ID]],'registe maintenance'!A:E,5,FALSE)," non répertoriées")</f>
        <v>4G</v>
      </c>
      <c r="I465" t="str">
        <f>IFERROR(VLOOKUP(logos[[#This Row],[Cell_ID]],'registe maintenance'!A:F,6,FALSE)," non répertoriées")</f>
        <v>Huawei</v>
      </c>
      <c r="J465">
        <f>IFERROR(VLOOKUP(B465,'logos transformer '!A:B,2,FALSE),"na")</f>
        <v>3</v>
      </c>
      <c r="K465">
        <f>IFERROR(VLOOKUP(B465,'logos transformer '!A:C,3,FALSE),"na")</f>
        <v>140</v>
      </c>
      <c r="L465" s="1">
        <f>IFERROR(VLOOKUP(B465,'logos transformer '!A:D,4,FALSE),"na")</f>
        <v>45222.663194444445</v>
      </c>
    </row>
    <row r="466" spans="1:12" x14ac:dyDescent="0.3">
      <c r="A466" s="1">
        <v>45219.997916666667</v>
      </c>
      <c r="B466" t="s">
        <v>79</v>
      </c>
      <c r="C466">
        <v>102</v>
      </c>
      <c r="D466" t="s">
        <v>8</v>
      </c>
      <c r="E466" t="str">
        <f>IFERROR(VLOOKUP(logos[[#This Row],[Cell_ID]],'registe maintenance'!A:B,2,FALSE)," non répertoriées")</f>
        <v xml:space="preserve"> non répertoriées</v>
      </c>
      <c r="F466" t="str">
        <f>IFERROR(VLOOKUP(logos[[#This Row],[Cell_ID]],'registe maintenance'!A:C,3,FALSE)," non répertoriées")</f>
        <v xml:space="preserve"> non répertoriées</v>
      </c>
      <c r="G466" t="str">
        <f>IFERROR(VLOOKUP(logos[[#This Row],[Cell_ID]],'registe maintenance'!A:D,4,FALSE)," non répertoriées")</f>
        <v xml:space="preserve"> non répertoriées</v>
      </c>
      <c r="H466" t="str">
        <f>IFERROR(VLOOKUP(logos[[#This Row],[Cell_ID]],'registe maintenance'!A:E,5,FALSE)," non répertoriées")</f>
        <v xml:space="preserve"> non répertoriées</v>
      </c>
      <c r="I466" t="str">
        <f>IFERROR(VLOOKUP(logos[[#This Row],[Cell_ID]],'registe maintenance'!A:F,6,FALSE)," non répertoriées")</f>
        <v xml:space="preserve"> non répertoriées</v>
      </c>
      <c r="J466">
        <f>IFERROR(VLOOKUP(B466,'logos transformer '!A:B,2,FALSE),"na")</f>
        <v>2</v>
      </c>
      <c r="K466">
        <f>IFERROR(VLOOKUP(B466,'logos transformer '!A:C,3,FALSE),"na")</f>
        <v>124</v>
      </c>
      <c r="L466" s="1">
        <f>IFERROR(VLOOKUP(B466,'logos transformer '!A:D,4,FALSE),"na")</f>
        <v>45219.997916666667</v>
      </c>
    </row>
    <row r="467" spans="1:12" x14ac:dyDescent="0.3">
      <c r="A467" s="1">
        <v>45219.453472222223</v>
      </c>
      <c r="B467" t="s">
        <v>374</v>
      </c>
      <c r="C467">
        <v>52</v>
      </c>
      <c r="D467" t="s">
        <v>8</v>
      </c>
      <c r="E467" t="str">
        <f>IFERROR(VLOOKUP(logos[[#This Row],[Cell_ID]],'registe maintenance'!A:B,2,FALSE)," non répertoriées")</f>
        <v xml:space="preserve"> non répertoriées</v>
      </c>
      <c r="F467" t="str">
        <f>IFERROR(VLOOKUP(logos[[#This Row],[Cell_ID]],'registe maintenance'!A:C,3,FALSE)," non répertoriées")</f>
        <v xml:space="preserve"> non répertoriées</v>
      </c>
      <c r="G467" t="str">
        <f>IFERROR(VLOOKUP(logos[[#This Row],[Cell_ID]],'registe maintenance'!A:D,4,FALSE)," non répertoriées")</f>
        <v xml:space="preserve"> non répertoriées</v>
      </c>
      <c r="H467" t="str">
        <f>IFERROR(VLOOKUP(logos[[#This Row],[Cell_ID]],'registe maintenance'!A:E,5,FALSE)," non répertoriées")</f>
        <v xml:space="preserve"> non répertoriées</v>
      </c>
      <c r="I467" t="str">
        <f>IFERROR(VLOOKUP(logos[[#This Row],[Cell_ID]],'registe maintenance'!A:F,6,FALSE)," non répertoriées")</f>
        <v xml:space="preserve"> non répertoriées</v>
      </c>
      <c r="J467">
        <f>IFERROR(VLOOKUP(B467,'logos transformer '!A:B,2,FALSE),"na")</f>
        <v>3</v>
      </c>
      <c r="K467">
        <f>IFERROR(VLOOKUP(B467,'logos transformer '!A:C,3,FALSE),"na")</f>
        <v>105</v>
      </c>
      <c r="L467" s="1">
        <f>IFERROR(VLOOKUP(B467,'logos transformer '!A:D,4,FALSE),"na")</f>
        <v>45219.453472222223</v>
      </c>
    </row>
    <row r="468" spans="1:12" x14ac:dyDescent="0.3">
      <c r="A468" s="1">
        <v>45229.751388888893</v>
      </c>
      <c r="B468" t="s">
        <v>375</v>
      </c>
      <c r="C468">
        <v>70</v>
      </c>
      <c r="D468" t="s">
        <v>5</v>
      </c>
      <c r="E468" t="str">
        <f>IFERROR(VLOOKUP(logos[[#This Row],[Cell_ID]],'registe maintenance'!A:B,2,FALSE)," non répertoriées")</f>
        <v xml:space="preserve"> non répertoriées</v>
      </c>
      <c r="F468" t="str">
        <f>IFERROR(VLOOKUP(logos[[#This Row],[Cell_ID]],'registe maintenance'!A:C,3,FALSE)," non répertoriées")</f>
        <v xml:space="preserve"> non répertoriées</v>
      </c>
      <c r="G468" t="str">
        <f>IFERROR(VLOOKUP(logos[[#This Row],[Cell_ID]],'registe maintenance'!A:D,4,FALSE)," non répertoriées")</f>
        <v xml:space="preserve"> non répertoriées</v>
      </c>
      <c r="H468" t="str">
        <f>IFERROR(VLOOKUP(logos[[#This Row],[Cell_ID]],'registe maintenance'!A:E,5,FALSE)," non répertoriées")</f>
        <v xml:space="preserve"> non répertoriées</v>
      </c>
      <c r="I468" t="str">
        <f>IFERROR(VLOOKUP(logos[[#This Row],[Cell_ID]],'registe maintenance'!A:F,6,FALSE)," non répertoriées")</f>
        <v xml:space="preserve"> non répertoriées</v>
      </c>
      <c r="J468">
        <f>IFERROR(VLOOKUP(B468,'logos transformer '!A:B,2,FALSE),"na")</f>
        <v>3</v>
      </c>
      <c r="K468">
        <f>IFERROR(VLOOKUP(B468,'logos transformer '!A:C,3,FALSE),"na")</f>
        <v>205</v>
      </c>
      <c r="L468" s="1">
        <f>IFERROR(VLOOKUP(B468,'logos transformer '!A:D,4,FALSE),"na")</f>
        <v>45208.172222222223</v>
      </c>
    </row>
    <row r="469" spans="1:12" x14ac:dyDescent="0.3">
      <c r="A469" s="1">
        <v>45226.003472222219</v>
      </c>
      <c r="B469" t="s">
        <v>376</v>
      </c>
      <c r="C469">
        <v>76</v>
      </c>
      <c r="D469" t="s">
        <v>5</v>
      </c>
      <c r="E469" t="str">
        <f>IFERROR(VLOOKUP(logos[[#This Row],[Cell_ID]],'registe maintenance'!A:B,2,FALSE)," non répertoriées")</f>
        <v xml:space="preserve"> non répertoriées</v>
      </c>
      <c r="F469" t="str">
        <f>IFERROR(VLOOKUP(logos[[#This Row],[Cell_ID]],'registe maintenance'!A:C,3,FALSE)," non répertoriées")</f>
        <v xml:space="preserve"> non répertoriées</v>
      </c>
      <c r="G469" t="str">
        <f>IFERROR(VLOOKUP(logos[[#This Row],[Cell_ID]],'registe maintenance'!A:D,4,FALSE)," non répertoriées")</f>
        <v xml:space="preserve"> non répertoriées</v>
      </c>
      <c r="H469" t="str">
        <f>IFERROR(VLOOKUP(logos[[#This Row],[Cell_ID]],'registe maintenance'!A:E,5,FALSE)," non répertoriées")</f>
        <v xml:space="preserve"> non répertoriées</v>
      </c>
      <c r="I469" t="str">
        <f>IFERROR(VLOOKUP(logos[[#This Row],[Cell_ID]],'registe maintenance'!A:F,6,FALSE)," non répertoriées")</f>
        <v xml:space="preserve"> non répertoriées</v>
      </c>
      <c r="J469">
        <f>IFERROR(VLOOKUP(B469,'logos transformer '!A:B,2,FALSE),"na")</f>
        <v>2</v>
      </c>
      <c r="K469">
        <f>IFERROR(VLOOKUP(B469,'logos transformer '!A:C,3,FALSE),"na")</f>
        <v>163</v>
      </c>
      <c r="L469" s="1">
        <f>IFERROR(VLOOKUP(B469,'logos transformer '!A:D,4,FALSE),"na")</f>
        <v>45230.088194444441</v>
      </c>
    </row>
    <row r="470" spans="1:12" x14ac:dyDescent="0.3">
      <c r="A470" s="1">
        <v>45201.867361111108</v>
      </c>
      <c r="B470" t="s">
        <v>269</v>
      </c>
      <c r="C470">
        <v>18</v>
      </c>
      <c r="D470" t="s">
        <v>5</v>
      </c>
      <c r="E470" t="str">
        <f>IFERROR(VLOOKUP(logos[[#This Row],[Cell_ID]],'registe maintenance'!A:B,2,FALSE)," non répertoriées")</f>
        <v>Kongo-Central</v>
      </c>
      <c r="F470">
        <f>IFERROR(VLOOKUP(logos[[#This Row],[Cell_ID]],'registe maintenance'!A:C,3,FALSE)," non répertoriées")</f>
        <v>-12.112399999999999</v>
      </c>
      <c r="G470">
        <f>IFERROR(VLOOKUP(logos[[#This Row],[Cell_ID]],'registe maintenance'!A:D,4,FALSE)," non répertoriées")</f>
        <v>15.872226</v>
      </c>
      <c r="H470" t="str">
        <f>IFERROR(VLOOKUP(logos[[#This Row],[Cell_ID]],'registe maintenance'!A:E,5,FALSE)," non répertoriées")</f>
        <v>4G</v>
      </c>
      <c r="I470" t="str">
        <f>IFERROR(VLOOKUP(logos[[#This Row],[Cell_ID]],'registe maintenance'!A:F,6,FALSE)," non répertoriées")</f>
        <v>Nokia</v>
      </c>
      <c r="J470">
        <f>IFERROR(VLOOKUP(B470,'logos transformer '!A:B,2,FALSE),"na")</f>
        <v>4</v>
      </c>
      <c r="K470">
        <f>IFERROR(VLOOKUP(B470,'logos transformer '!A:C,3,FALSE),"na")</f>
        <v>237</v>
      </c>
      <c r="L470" s="1">
        <f>IFERROR(VLOOKUP(B470,'logos transformer '!A:D,4,FALSE),"na")</f>
        <v>45220.847916666666</v>
      </c>
    </row>
    <row r="471" spans="1:12" x14ac:dyDescent="0.3">
      <c r="A471" s="1">
        <v>45218.361805555563</v>
      </c>
      <c r="B471" t="s">
        <v>49</v>
      </c>
      <c r="C471">
        <v>45</v>
      </c>
      <c r="D471" t="s">
        <v>10</v>
      </c>
      <c r="E471" t="str">
        <f>IFERROR(VLOOKUP(logos[[#This Row],[Cell_ID]],'registe maintenance'!A:B,2,FALSE)," non répertoriées")</f>
        <v xml:space="preserve"> non répertoriées</v>
      </c>
      <c r="F471" t="str">
        <f>IFERROR(VLOOKUP(logos[[#This Row],[Cell_ID]],'registe maintenance'!A:C,3,FALSE)," non répertoriées")</f>
        <v xml:space="preserve"> non répertoriées</v>
      </c>
      <c r="G471" t="str">
        <f>IFERROR(VLOOKUP(logos[[#This Row],[Cell_ID]],'registe maintenance'!A:D,4,FALSE)," non répertoriées")</f>
        <v xml:space="preserve"> non répertoriées</v>
      </c>
      <c r="H471" t="str">
        <f>IFERROR(VLOOKUP(logos[[#This Row],[Cell_ID]],'registe maintenance'!A:E,5,FALSE)," non répertoriées")</f>
        <v xml:space="preserve"> non répertoriées</v>
      </c>
      <c r="I471" t="str">
        <f>IFERROR(VLOOKUP(logos[[#This Row],[Cell_ID]],'registe maintenance'!A:F,6,FALSE)," non répertoriées")</f>
        <v xml:space="preserve"> non répertoriées</v>
      </c>
      <c r="J471">
        <f>IFERROR(VLOOKUP(B471,'logos transformer '!A:B,2,FALSE),"na")</f>
        <v>6</v>
      </c>
      <c r="K471">
        <f>IFERROR(VLOOKUP(B471,'logos transformer '!A:C,3,FALSE),"na")</f>
        <v>330</v>
      </c>
      <c r="L471" s="1">
        <f>IFERROR(VLOOKUP(B471,'logos transformer '!A:D,4,FALSE),"na")</f>
        <v>45230.834722222222</v>
      </c>
    </row>
    <row r="472" spans="1:12" x14ac:dyDescent="0.3">
      <c r="A472" s="1">
        <v>45206.768055555563</v>
      </c>
      <c r="B472" t="s">
        <v>377</v>
      </c>
      <c r="C472">
        <v>35</v>
      </c>
      <c r="D472" t="s">
        <v>10</v>
      </c>
      <c r="E472" t="str">
        <f>IFERROR(VLOOKUP(logos[[#This Row],[Cell_ID]],'registe maintenance'!A:B,2,FALSE)," non répertoriées")</f>
        <v xml:space="preserve"> non répertoriées</v>
      </c>
      <c r="F472" t="str">
        <f>IFERROR(VLOOKUP(logos[[#This Row],[Cell_ID]],'registe maintenance'!A:C,3,FALSE)," non répertoriées")</f>
        <v xml:space="preserve"> non répertoriées</v>
      </c>
      <c r="G472" t="str">
        <f>IFERROR(VLOOKUP(logos[[#This Row],[Cell_ID]],'registe maintenance'!A:D,4,FALSE)," non répertoriées")</f>
        <v xml:space="preserve"> non répertoriées</v>
      </c>
      <c r="H472" t="str">
        <f>IFERROR(VLOOKUP(logos[[#This Row],[Cell_ID]],'registe maintenance'!A:E,5,FALSE)," non répertoriées")</f>
        <v xml:space="preserve"> non répertoriées</v>
      </c>
      <c r="I472" t="str">
        <f>IFERROR(VLOOKUP(logos[[#This Row],[Cell_ID]],'registe maintenance'!A:F,6,FALSE)," non répertoriées")</f>
        <v xml:space="preserve"> non répertoriées</v>
      </c>
      <c r="J472">
        <f>IFERROR(VLOOKUP(B472,'logos transformer '!A:B,2,FALSE),"na")</f>
        <v>1</v>
      </c>
      <c r="K472">
        <f>IFERROR(VLOOKUP(B472,'logos transformer '!A:C,3,FALSE),"na")</f>
        <v>35</v>
      </c>
      <c r="L472" s="1">
        <f>IFERROR(VLOOKUP(B472,'logos transformer '!A:D,4,FALSE),"na")</f>
        <v>45206.768055555556</v>
      </c>
    </row>
    <row r="473" spans="1:12" x14ac:dyDescent="0.3">
      <c r="A473" s="1">
        <v>45219.834027777782</v>
      </c>
      <c r="B473" t="s">
        <v>378</v>
      </c>
      <c r="C473">
        <v>64</v>
      </c>
      <c r="D473" t="s">
        <v>10</v>
      </c>
      <c r="E473" t="str">
        <f>IFERROR(VLOOKUP(logos[[#This Row],[Cell_ID]],'registe maintenance'!A:B,2,FALSE)," non répertoriées")</f>
        <v xml:space="preserve"> non répertoriées</v>
      </c>
      <c r="F473" t="str">
        <f>IFERROR(VLOOKUP(logos[[#This Row],[Cell_ID]],'registe maintenance'!A:C,3,FALSE)," non répertoriées")</f>
        <v xml:space="preserve"> non répertoriées</v>
      </c>
      <c r="G473" t="str">
        <f>IFERROR(VLOOKUP(logos[[#This Row],[Cell_ID]],'registe maintenance'!A:D,4,FALSE)," non répertoriées")</f>
        <v xml:space="preserve"> non répertoriées</v>
      </c>
      <c r="H473" t="str">
        <f>IFERROR(VLOOKUP(logos[[#This Row],[Cell_ID]],'registe maintenance'!A:E,5,FALSE)," non répertoriées")</f>
        <v xml:space="preserve"> non répertoriées</v>
      </c>
      <c r="I473" t="str">
        <f>IFERROR(VLOOKUP(logos[[#This Row],[Cell_ID]],'registe maintenance'!A:F,6,FALSE)," non répertoriées")</f>
        <v xml:space="preserve"> non répertoriées</v>
      </c>
      <c r="J473">
        <f>IFERROR(VLOOKUP(B473,'logos transformer '!A:B,2,FALSE),"na")</f>
        <v>1</v>
      </c>
      <c r="K473">
        <f>IFERROR(VLOOKUP(B473,'logos transformer '!A:C,3,FALSE),"na")</f>
        <v>64</v>
      </c>
      <c r="L473" s="1">
        <f>IFERROR(VLOOKUP(B473,'logos transformer '!A:D,4,FALSE),"na")</f>
        <v>45219.834027777775</v>
      </c>
    </row>
    <row r="474" spans="1:12" x14ac:dyDescent="0.3">
      <c r="A474" s="1">
        <v>45201.043055555558</v>
      </c>
      <c r="B474" t="s">
        <v>353</v>
      </c>
      <c r="C474">
        <v>45</v>
      </c>
      <c r="D474" t="s">
        <v>8</v>
      </c>
      <c r="E474" t="str">
        <f>IFERROR(VLOOKUP(logos[[#This Row],[Cell_ID]],'registe maintenance'!A:B,2,FALSE)," non répertoriées")</f>
        <v xml:space="preserve"> non répertoriées</v>
      </c>
      <c r="F474" t="str">
        <f>IFERROR(VLOOKUP(logos[[#This Row],[Cell_ID]],'registe maintenance'!A:C,3,FALSE)," non répertoriées")</f>
        <v xml:space="preserve"> non répertoriées</v>
      </c>
      <c r="G474" t="str">
        <f>IFERROR(VLOOKUP(logos[[#This Row],[Cell_ID]],'registe maintenance'!A:D,4,FALSE)," non répertoriées")</f>
        <v xml:space="preserve"> non répertoriées</v>
      </c>
      <c r="H474" t="str">
        <f>IFERROR(VLOOKUP(logos[[#This Row],[Cell_ID]],'registe maintenance'!A:E,5,FALSE)," non répertoriées")</f>
        <v xml:space="preserve"> non répertoriées</v>
      </c>
      <c r="I474" t="str">
        <f>IFERROR(VLOOKUP(logos[[#This Row],[Cell_ID]],'registe maintenance'!A:F,6,FALSE)," non répertoriées")</f>
        <v xml:space="preserve"> non répertoriées</v>
      </c>
      <c r="J474">
        <f>IFERROR(VLOOKUP(B474,'logos transformer '!A:B,2,FALSE),"na")</f>
        <v>2</v>
      </c>
      <c r="K474">
        <f>IFERROR(VLOOKUP(B474,'logos transformer '!A:C,3,FALSE),"na")</f>
        <v>88</v>
      </c>
      <c r="L474" s="1">
        <f>IFERROR(VLOOKUP(B474,'logos transformer '!A:D,4,FALSE),"na")</f>
        <v>45205.480555555558</v>
      </c>
    </row>
    <row r="475" spans="1:12" x14ac:dyDescent="0.3">
      <c r="A475" s="1">
        <v>45204.931250000001</v>
      </c>
      <c r="B475" t="s">
        <v>379</v>
      </c>
      <c r="C475">
        <v>66</v>
      </c>
      <c r="D475" t="s">
        <v>5</v>
      </c>
      <c r="E475" t="str">
        <f>IFERROR(VLOOKUP(logos[[#This Row],[Cell_ID]],'registe maintenance'!A:B,2,FALSE)," non répertoriées")</f>
        <v xml:space="preserve"> non répertoriées</v>
      </c>
      <c r="F475" t="str">
        <f>IFERROR(VLOOKUP(logos[[#This Row],[Cell_ID]],'registe maintenance'!A:C,3,FALSE)," non répertoriées")</f>
        <v xml:space="preserve"> non répertoriées</v>
      </c>
      <c r="G475" t="str">
        <f>IFERROR(VLOOKUP(logos[[#This Row],[Cell_ID]],'registe maintenance'!A:D,4,FALSE)," non répertoriées")</f>
        <v xml:space="preserve"> non répertoriées</v>
      </c>
      <c r="H475" t="str">
        <f>IFERROR(VLOOKUP(logos[[#This Row],[Cell_ID]],'registe maintenance'!A:E,5,FALSE)," non répertoriées")</f>
        <v xml:space="preserve"> non répertoriées</v>
      </c>
      <c r="I475" t="str">
        <f>IFERROR(VLOOKUP(logos[[#This Row],[Cell_ID]],'registe maintenance'!A:F,6,FALSE)," non répertoriées")</f>
        <v xml:space="preserve"> non répertoriées</v>
      </c>
      <c r="J475">
        <f>IFERROR(VLOOKUP(B475,'logos transformer '!A:B,2,FALSE),"na")</f>
        <v>1</v>
      </c>
      <c r="K475">
        <f>IFERROR(VLOOKUP(B475,'logos transformer '!A:C,3,FALSE),"na")</f>
        <v>66</v>
      </c>
      <c r="L475" s="1">
        <f>IFERROR(VLOOKUP(B475,'logos transformer '!A:D,4,FALSE),"na")</f>
        <v>45204.931250000001</v>
      </c>
    </row>
    <row r="476" spans="1:12" x14ac:dyDescent="0.3">
      <c r="A476" s="1">
        <v>45225.647916666669</v>
      </c>
      <c r="B476" t="s">
        <v>380</v>
      </c>
      <c r="C476">
        <v>49</v>
      </c>
      <c r="D476" t="s">
        <v>5</v>
      </c>
      <c r="E476" t="str">
        <f>IFERROR(VLOOKUP(logos[[#This Row],[Cell_ID]],'registe maintenance'!A:B,2,FALSE)," non répertoriées")</f>
        <v xml:space="preserve"> non répertoriées</v>
      </c>
      <c r="F476" t="str">
        <f>IFERROR(VLOOKUP(logos[[#This Row],[Cell_ID]],'registe maintenance'!A:C,3,FALSE)," non répertoriées")</f>
        <v xml:space="preserve"> non répertoriées</v>
      </c>
      <c r="G476" t="str">
        <f>IFERROR(VLOOKUP(logos[[#This Row],[Cell_ID]],'registe maintenance'!A:D,4,FALSE)," non répertoriées")</f>
        <v xml:space="preserve"> non répertoriées</v>
      </c>
      <c r="H476" t="str">
        <f>IFERROR(VLOOKUP(logos[[#This Row],[Cell_ID]],'registe maintenance'!A:E,5,FALSE)," non répertoriées")</f>
        <v xml:space="preserve"> non répertoriées</v>
      </c>
      <c r="I476" t="str">
        <f>IFERROR(VLOOKUP(logos[[#This Row],[Cell_ID]],'registe maintenance'!A:F,6,FALSE)," non répertoriées")</f>
        <v xml:space="preserve"> non répertoriées</v>
      </c>
      <c r="J476">
        <f>IFERROR(VLOOKUP(B476,'logos transformer '!A:B,2,FALSE),"na")</f>
        <v>1</v>
      </c>
      <c r="K476">
        <f>IFERROR(VLOOKUP(B476,'logos transformer '!A:C,3,FALSE),"na")</f>
        <v>49</v>
      </c>
      <c r="L476" s="1">
        <f>IFERROR(VLOOKUP(B476,'logos transformer '!A:D,4,FALSE),"na")</f>
        <v>45225.647916666669</v>
      </c>
    </row>
    <row r="477" spans="1:12" x14ac:dyDescent="0.3">
      <c r="A477" s="1">
        <v>45214.193055555559</v>
      </c>
      <c r="B477" t="s">
        <v>34</v>
      </c>
      <c r="C477">
        <v>76</v>
      </c>
      <c r="D477" t="s">
        <v>10</v>
      </c>
      <c r="E477" t="str">
        <f>IFERROR(VLOOKUP(logos[[#This Row],[Cell_ID]],'registe maintenance'!A:B,2,FALSE)," non répertoriées")</f>
        <v xml:space="preserve"> non répertoriées</v>
      </c>
      <c r="F477" t="str">
        <f>IFERROR(VLOOKUP(logos[[#This Row],[Cell_ID]],'registe maintenance'!A:C,3,FALSE)," non répertoriées")</f>
        <v xml:space="preserve"> non répertoriées</v>
      </c>
      <c r="G477" t="str">
        <f>IFERROR(VLOOKUP(logos[[#This Row],[Cell_ID]],'registe maintenance'!A:D,4,FALSE)," non répertoriées")</f>
        <v xml:space="preserve"> non répertoriées</v>
      </c>
      <c r="H477" t="str">
        <f>IFERROR(VLOOKUP(logos[[#This Row],[Cell_ID]],'registe maintenance'!A:E,5,FALSE)," non répertoriées")</f>
        <v xml:space="preserve"> non répertoriées</v>
      </c>
      <c r="I477" t="str">
        <f>IFERROR(VLOOKUP(logos[[#This Row],[Cell_ID]],'registe maintenance'!A:F,6,FALSE)," non répertoriées")</f>
        <v xml:space="preserve"> non répertoriées</v>
      </c>
      <c r="J477">
        <f>IFERROR(VLOOKUP(B477,'logos transformer '!A:B,2,FALSE),"na")</f>
        <v>5</v>
      </c>
      <c r="K477">
        <f>IFERROR(VLOOKUP(B477,'logos transformer '!A:C,3,FALSE),"na")</f>
        <v>390</v>
      </c>
      <c r="L477" s="1">
        <f>IFERROR(VLOOKUP(B477,'logos transformer '!A:D,4,FALSE),"na")</f>
        <v>45227.306250000001</v>
      </c>
    </row>
    <row r="478" spans="1:12" x14ac:dyDescent="0.3">
      <c r="A478" s="1">
        <v>45228.672222222223</v>
      </c>
      <c r="B478" t="s">
        <v>381</v>
      </c>
      <c r="C478">
        <v>106</v>
      </c>
      <c r="D478" t="s">
        <v>5</v>
      </c>
      <c r="E478" t="str">
        <f>IFERROR(VLOOKUP(logos[[#This Row],[Cell_ID]],'registe maintenance'!A:B,2,FALSE)," non répertoriées")</f>
        <v>Lualaba</v>
      </c>
      <c r="F478">
        <f>IFERROR(VLOOKUP(logos[[#This Row],[Cell_ID]],'registe maintenance'!A:C,3,FALSE)," non répertoriées")</f>
        <v>2.0392079999999999</v>
      </c>
      <c r="G478">
        <f>IFERROR(VLOOKUP(logos[[#This Row],[Cell_ID]],'registe maintenance'!A:D,4,FALSE)," non répertoriées")</f>
        <v>19.090841999999999</v>
      </c>
      <c r="H478" t="str">
        <f>IFERROR(VLOOKUP(logos[[#This Row],[Cell_ID]],'registe maintenance'!A:E,5,FALSE)," non répertoriées")</f>
        <v>4G</v>
      </c>
      <c r="I478" t="str">
        <f>IFERROR(VLOOKUP(logos[[#This Row],[Cell_ID]],'registe maintenance'!A:F,6,FALSE)," non répertoriées")</f>
        <v>Nokia</v>
      </c>
      <c r="J478">
        <f>IFERROR(VLOOKUP(B478,'logos transformer '!A:B,2,FALSE),"na")</f>
        <v>2</v>
      </c>
      <c r="K478">
        <f>IFERROR(VLOOKUP(B478,'logos transformer '!A:C,3,FALSE),"na")</f>
        <v>196</v>
      </c>
      <c r="L478" s="1">
        <f>IFERROR(VLOOKUP(B478,'logos transformer '!A:D,4,FALSE),"na")</f>
        <v>45228.672222222223</v>
      </c>
    </row>
    <row r="479" spans="1:12" x14ac:dyDescent="0.3">
      <c r="A479" s="1">
        <v>45210.805555555547</v>
      </c>
      <c r="B479" t="s">
        <v>382</v>
      </c>
      <c r="C479">
        <v>97</v>
      </c>
      <c r="D479" t="s">
        <v>5</v>
      </c>
      <c r="E479" t="str">
        <f>IFERROR(VLOOKUP(logos[[#This Row],[Cell_ID]],'registe maintenance'!A:B,2,FALSE)," non répertoriées")</f>
        <v xml:space="preserve"> non répertoriées</v>
      </c>
      <c r="F479" t="str">
        <f>IFERROR(VLOOKUP(logos[[#This Row],[Cell_ID]],'registe maintenance'!A:C,3,FALSE)," non répertoriées")</f>
        <v xml:space="preserve"> non répertoriées</v>
      </c>
      <c r="G479" t="str">
        <f>IFERROR(VLOOKUP(logos[[#This Row],[Cell_ID]],'registe maintenance'!A:D,4,FALSE)," non répertoriées")</f>
        <v xml:space="preserve"> non répertoriées</v>
      </c>
      <c r="H479" t="str">
        <f>IFERROR(VLOOKUP(logos[[#This Row],[Cell_ID]],'registe maintenance'!A:E,5,FALSE)," non répertoriées")</f>
        <v xml:space="preserve"> non répertoriées</v>
      </c>
      <c r="I479" t="str">
        <f>IFERROR(VLOOKUP(logos[[#This Row],[Cell_ID]],'registe maintenance'!A:F,6,FALSE)," non répertoriées")</f>
        <v xml:space="preserve"> non répertoriées</v>
      </c>
      <c r="J479">
        <f>IFERROR(VLOOKUP(B479,'logos transformer '!A:B,2,FALSE),"na")</f>
        <v>2</v>
      </c>
      <c r="K479">
        <f>IFERROR(VLOOKUP(B479,'logos transformer '!A:C,3,FALSE),"na")</f>
        <v>156</v>
      </c>
      <c r="L479" s="1">
        <f>IFERROR(VLOOKUP(B479,'logos transformer '!A:D,4,FALSE),"na")</f>
        <v>45215.088888888888</v>
      </c>
    </row>
    <row r="480" spans="1:12" x14ac:dyDescent="0.3">
      <c r="A480" s="1">
        <v>45205.527083333327</v>
      </c>
      <c r="B480" t="s">
        <v>383</v>
      </c>
      <c r="C480">
        <v>40</v>
      </c>
      <c r="D480" t="s">
        <v>10</v>
      </c>
      <c r="E480" t="str">
        <f>IFERROR(VLOOKUP(logos[[#This Row],[Cell_ID]],'registe maintenance'!A:B,2,FALSE)," non répertoriées")</f>
        <v>Nord-Kivu</v>
      </c>
      <c r="F480">
        <f>IFERROR(VLOOKUP(logos[[#This Row],[Cell_ID]],'registe maintenance'!A:C,3,FALSE)," non répertoriées")</f>
        <v>-5.42171</v>
      </c>
      <c r="G480">
        <f>IFERROR(VLOOKUP(logos[[#This Row],[Cell_ID]],'registe maintenance'!A:D,4,FALSE)," non répertoriées")</f>
        <v>24.202960999999998</v>
      </c>
      <c r="H480" t="str">
        <f>IFERROR(VLOOKUP(logos[[#This Row],[Cell_ID]],'registe maintenance'!A:E,5,FALSE)," non répertoriées")</f>
        <v>5G</v>
      </c>
      <c r="I480" t="str">
        <f>IFERROR(VLOOKUP(logos[[#This Row],[Cell_ID]],'registe maintenance'!A:F,6,FALSE)," non répertoriées")</f>
        <v>Ericsson</v>
      </c>
      <c r="J480">
        <f>IFERROR(VLOOKUP(B480,'logos transformer '!A:B,2,FALSE),"na")</f>
        <v>2</v>
      </c>
      <c r="K480">
        <f>IFERROR(VLOOKUP(B480,'logos transformer '!A:C,3,FALSE),"na")</f>
        <v>94</v>
      </c>
      <c r="L480" s="1">
        <f>IFERROR(VLOOKUP(B480,'logos transformer '!A:D,4,FALSE),"na")</f>
        <v>45220.743055555555</v>
      </c>
    </row>
    <row r="481" spans="1:12" x14ac:dyDescent="0.3">
      <c r="A481" s="1">
        <v>45223.400694444441</v>
      </c>
      <c r="B481" t="s">
        <v>311</v>
      </c>
      <c r="C481">
        <v>41</v>
      </c>
      <c r="D481" t="s">
        <v>10</v>
      </c>
      <c r="E481" t="str">
        <f>IFERROR(VLOOKUP(logos[[#This Row],[Cell_ID]],'registe maintenance'!A:B,2,FALSE)," non répertoriées")</f>
        <v>Mongala</v>
      </c>
      <c r="F481">
        <f>IFERROR(VLOOKUP(logos[[#This Row],[Cell_ID]],'registe maintenance'!A:C,3,FALSE)," non répertoriées")</f>
        <v>-1.231033</v>
      </c>
      <c r="G481">
        <f>IFERROR(VLOOKUP(logos[[#This Row],[Cell_ID]],'registe maintenance'!A:D,4,FALSE)," non répertoriées")</f>
        <v>28.851388</v>
      </c>
      <c r="H481" t="str">
        <f>IFERROR(VLOOKUP(logos[[#This Row],[Cell_ID]],'registe maintenance'!A:E,5,FALSE)," non répertoriées")</f>
        <v>3G</v>
      </c>
      <c r="I481" t="str">
        <f>IFERROR(VLOOKUP(logos[[#This Row],[Cell_ID]],'registe maintenance'!A:F,6,FALSE)," non répertoriées")</f>
        <v>Ericsson</v>
      </c>
      <c r="J481">
        <f>IFERROR(VLOOKUP(B481,'logos transformer '!A:B,2,FALSE),"na")</f>
        <v>2</v>
      </c>
      <c r="K481">
        <f>IFERROR(VLOOKUP(B481,'logos transformer '!A:C,3,FALSE),"na")</f>
        <v>92</v>
      </c>
      <c r="L481" s="1">
        <f>IFERROR(VLOOKUP(B481,'logos transformer '!A:D,4,FALSE),"na")</f>
        <v>45223.400694444441</v>
      </c>
    </row>
    <row r="482" spans="1:12" x14ac:dyDescent="0.3">
      <c r="A482" s="1">
        <v>45210.703472222223</v>
      </c>
      <c r="B482" t="s">
        <v>384</v>
      </c>
      <c r="C482">
        <v>20</v>
      </c>
      <c r="D482" t="s">
        <v>5</v>
      </c>
      <c r="E482" t="str">
        <f>IFERROR(VLOOKUP(logos[[#This Row],[Cell_ID]],'registe maintenance'!A:B,2,FALSE)," non répertoriées")</f>
        <v>Equateur</v>
      </c>
      <c r="F482">
        <f>IFERROR(VLOOKUP(logos[[#This Row],[Cell_ID]],'registe maintenance'!A:C,3,FALSE)," non répertoriées")</f>
        <v>-0.79459900000000006</v>
      </c>
      <c r="G482">
        <f>IFERROR(VLOOKUP(logos[[#This Row],[Cell_ID]],'registe maintenance'!A:D,4,FALSE)," non répertoriées")</f>
        <v>26.775570999999999</v>
      </c>
      <c r="H482" t="str">
        <f>IFERROR(VLOOKUP(logos[[#This Row],[Cell_ID]],'registe maintenance'!A:E,5,FALSE)," non répertoriées")</f>
        <v>5G</v>
      </c>
      <c r="I482" t="str">
        <f>IFERROR(VLOOKUP(logos[[#This Row],[Cell_ID]],'registe maintenance'!A:F,6,FALSE)," non répertoriées")</f>
        <v>Huawei</v>
      </c>
      <c r="J482">
        <f>IFERROR(VLOOKUP(B482,'logos transformer '!A:B,2,FALSE),"na")</f>
        <v>3</v>
      </c>
      <c r="K482">
        <f>IFERROR(VLOOKUP(B482,'logos transformer '!A:C,3,FALSE),"na")</f>
        <v>222</v>
      </c>
      <c r="L482" s="1">
        <f>IFERROR(VLOOKUP(B482,'logos transformer '!A:D,4,FALSE),"na")</f>
        <v>45230.839583333334</v>
      </c>
    </row>
    <row r="483" spans="1:12" x14ac:dyDescent="0.3">
      <c r="A483" s="1">
        <v>45216.729861111111</v>
      </c>
      <c r="B483" t="s">
        <v>185</v>
      </c>
      <c r="C483">
        <v>78</v>
      </c>
      <c r="D483" t="s">
        <v>8</v>
      </c>
      <c r="E483" t="str">
        <f>IFERROR(VLOOKUP(logos[[#This Row],[Cell_ID]],'registe maintenance'!A:B,2,FALSE)," non répertoriées")</f>
        <v>Lualaba</v>
      </c>
      <c r="F483">
        <f>IFERROR(VLOOKUP(logos[[#This Row],[Cell_ID]],'registe maintenance'!A:C,3,FALSE)," non répertoriées")</f>
        <v>-9.5243310000000001</v>
      </c>
      <c r="G483">
        <f>IFERROR(VLOOKUP(logos[[#This Row],[Cell_ID]],'registe maintenance'!A:D,4,FALSE)," non répertoriées")</f>
        <v>30.541212000000002</v>
      </c>
      <c r="H483" t="str">
        <f>IFERROR(VLOOKUP(logos[[#This Row],[Cell_ID]],'registe maintenance'!A:E,5,FALSE)," non répertoriées")</f>
        <v>3G</v>
      </c>
      <c r="I483" t="str">
        <f>IFERROR(VLOOKUP(logos[[#This Row],[Cell_ID]],'registe maintenance'!A:F,6,FALSE)," non répertoriées")</f>
        <v>Ericsson</v>
      </c>
      <c r="J483">
        <f>IFERROR(VLOOKUP(B483,'logos transformer '!A:B,2,FALSE),"na")</f>
        <v>3</v>
      </c>
      <c r="K483">
        <f>IFERROR(VLOOKUP(B483,'logos transformer '!A:C,3,FALSE),"na")</f>
        <v>126</v>
      </c>
      <c r="L483" s="1">
        <f>IFERROR(VLOOKUP(B483,'logos transformer '!A:D,4,FALSE),"na")</f>
        <v>45230.119444444441</v>
      </c>
    </row>
    <row r="484" spans="1:12" x14ac:dyDescent="0.3">
      <c r="A484" s="1">
        <v>45222.763194444437</v>
      </c>
      <c r="B484" t="s">
        <v>171</v>
      </c>
      <c r="C484">
        <v>91</v>
      </c>
      <c r="D484" t="s">
        <v>10</v>
      </c>
      <c r="E484" t="str">
        <f>IFERROR(VLOOKUP(logos[[#This Row],[Cell_ID]],'registe maintenance'!A:B,2,FALSE)," non répertoriées")</f>
        <v>Bas-Uele</v>
      </c>
      <c r="F484">
        <f>IFERROR(VLOOKUP(logos[[#This Row],[Cell_ID]],'registe maintenance'!A:C,3,FALSE)," non répertoriées")</f>
        <v>-3.6945459999999999</v>
      </c>
      <c r="G484">
        <f>IFERROR(VLOOKUP(logos[[#This Row],[Cell_ID]],'registe maintenance'!A:D,4,FALSE)," non répertoriées")</f>
        <v>16.809108999999999</v>
      </c>
      <c r="H484" t="str">
        <f>IFERROR(VLOOKUP(logos[[#This Row],[Cell_ID]],'registe maintenance'!A:E,5,FALSE)," non répertoriées")</f>
        <v>5G</v>
      </c>
      <c r="I484" t="str">
        <f>IFERROR(VLOOKUP(logos[[#This Row],[Cell_ID]],'registe maintenance'!A:F,6,FALSE)," non répertoriées")</f>
        <v>ZTE</v>
      </c>
      <c r="J484">
        <f>IFERROR(VLOOKUP(B484,'logos transformer '!A:B,2,FALSE),"na")</f>
        <v>4</v>
      </c>
      <c r="K484">
        <f>IFERROR(VLOOKUP(B484,'logos transformer '!A:C,3,FALSE),"na")</f>
        <v>258</v>
      </c>
      <c r="L484" s="1">
        <f>IFERROR(VLOOKUP(B484,'logos transformer '!A:D,4,FALSE),"na")</f>
        <v>45228.614583333336</v>
      </c>
    </row>
    <row r="485" spans="1:12" x14ac:dyDescent="0.3">
      <c r="A485" s="1">
        <v>45215.015972222223</v>
      </c>
      <c r="B485" t="s">
        <v>385</v>
      </c>
      <c r="C485">
        <v>74</v>
      </c>
      <c r="D485" t="s">
        <v>5</v>
      </c>
      <c r="E485" t="str">
        <f>IFERROR(VLOOKUP(logos[[#This Row],[Cell_ID]],'registe maintenance'!A:B,2,FALSE)," non répertoriées")</f>
        <v>Kasai-Central</v>
      </c>
      <c r="F485">
        <f>IFERROR(VLOOKUP(logos[[#This Row],[Cell_ID]],'registe maintenance'!A:C,3,FALSE)," non répertoriées")</f>
        <v>-5.8352820000000003</v>
      </c>
      <c r="G485">
        <f>IFERROR(VLOOKUP(logos[[#This Row],[Cell_ID]],'registe maintenance'!A:D,4,FALSE)," non répertoriées")</f>
        <v>26.603978000000001</v>
      </c>
      <c r="H485" t="str">
        <f>IFERROR(VLOOKUP(logos[[#This Row],[Cell_ID]],'registe maintenance'!A:E,5,FALSE)," non répertoriées")</f>
        <v>4G</v>
      </c>
      <c r="I485" t="str">
        <f>IFERROR(VLOOKUP(logos[[#This Row],[Cell_ID]],'registe maintenance'!A:F,6,FALSE)," non répertoriées")</f>
        <v>Huawei</v>
      </c>
      <c r="J485">
        <f>IFERROR(VLOOKUP(B485,'logos transformer '!A:B,2,FALSE),"na")</f>
        <v>1</v>
      </c>
      <c r="K485">
        <f>IFERROR(VLOOKUP(B485,'logos transformer '!A:C,3,FALSE),"na")</f>
        <v>74</v>
      </c>
      <c r="L485" s="1">
        <f>IFERROR(VLOOKUP(B485,'logos transformer '!A:D,4,FALSE),"na")</f>
        <v>45215.015972222223</v>
      </c>
    </row>
    <row r="486" spans="1:12" x14ac:dyDescent="0.3">
      <c r="A486" s="1">
        <v>45210.879861111112</v>
      </c>
      <c r="B486" t="s">
        <v>386</v>
      </c>
      <c r="C486">
        <v>53</v>
      </c>
      <c r="D486" t="s">
        <v>5</v>
      </c>
      <c r="E486" t="str">
        <f>IFERROR(VLOOKUP(logos[[#This Row],[Cell_ID]],'registe maintenance'!A:B,2,FALSE)," non répertoriées")</f>
        <v>Lomami</v>
      </c>
      <c r="F486">
        <f>IFERROR(VLOOKUP(logos[[#This Row],[Cell_ID]],'registe maintenance'!A:C,3,FALSE)," non répertoriées")</f>
        <v>-7.8770429999999996</v>
      </c>
      <c r="G486">
        <f>IFERROR(VLOOKUP(logos[[#This Row],[Cell_ID]],'registe maintenance'!A:D,4,FALSE)," non répertoriées")</f>
        <v>16.357762999999998</v>
      </c>
      <c r="H486" t="str">
        <f>IFERROR(VLOOKUP(logos[[#This Row],[Cell_ID]],'registe maintenance'!A:E,5,FALSE)," non répertoriées")</f>
        <v>4G</v>
      </c>
      <c r="I486" t="str">
        <f>IFERROR(VLOOKUP(logos[[#This Row],[Cell_ID]],'registe maintenance'!A:F,6,FALSE)," non répertoriées")</f>
        <v>Ericsson</v>
      </c>
      <c r="J486">
        <f>IFERROR(VLOOKUP(B486,'logos transformer '!A:B,2,FALSE),"na")</f>
        <v>1</v>
      </c>
      <c r="K486">
        <f>IFERROR(VLOOKUP(B486,'logos transformer '!A:C,3,FALSE),"na")</f>
        <v>53</v>
      </c>
      <c r="L486" s="1">
        <f>IFERROR(VLOOKUP(B486,'logos transformer '!A:D,4,FALSE),"na")</f>
        <v>45210.879861111112</v>
      </c>
    </row>
    <row r="487" spans="1:12" x14ac:dyDescent="0.3">
      <c r="A487" s="1">
        <v>45213.763194444437</v>
      </c>
      <c r="B487" t="s">
        <v>384</v>
      </c>
      <c r="C487">
        <v>119</v>
      </c>
      <c r="D487" t="s">
        <v>10</v>
      </c>
      <c r="E487" t="str">
        <f>IFERROR(VLOOKUP(logos[[#This Row],[Cell_ID]],'registe maintenance'!A:B,2,FALSE)," non répertoriées")</f>
        <v>Equateur</v>
      </c>
      <c r="F487">
        <f>IFERROR(VLOOKUP(logos[[#This Row],[Cell_ID]],'registe maintenance'!A:C,3,FALSE)," non répertoriées")</f>
        <v>-0.79459900000000006</v>
      </c>
      <c r="G487">
        <f>IFERROR(VLOOKUP(logos[[#This Row],[Cell_ID]],'registe maintenance'!A:D,4,FALSE)," non répertoriées")</f>
        <v>26.775570999999999</v>
      </c>
      <c r="H487" t="str">
        <f>IFERROR(VLOOKUP(logos[[#This Row],[Cell_ID]],'registe maintenance'!A:E,5,FALSE)," non répertoriées")</f>
        <v>5G</v>
      </c>
      <c r="I487" t="str">
        <f>IFERROR(VLOOKUP(logos[[#This Row],[Cell_ID]],'registe maintenance'!A:F,6,FALSE)," non répertoriées")</f>
        <v>Huawei</v>
      </c>
      <c r="J487">
        <f>IFERROR(VLOOKUP(B487,'logos transformer '!A:B,2,FALSE),"na")</f>
        <v>3</v>
      </c>
      <c r="K487">
        <f>IFERROR(VLOOKUP(B487,'logos transformer '!A:C,3,FALSE),"na")</f>
        <v>222</v>
      </c>
      <c r="L487" s="1">
        <f>IFERROR(VLOOKUP(B487,'logos transformer '!A:D,4,FALSE),"na")</f>
        <v>45230.839583333334</v>
      </c>
    </row>
    <row r="488" spans="1:12" x14ac:dyDescent="0.3">
      <c r="A488" s="1">
        <v>45225.996527777781</v>
      </c>
      <c r="B488" t="s">
        <v>210</v>
      </c>
      <c r="C488">
        <v>55</v>
      </c>
      <c r="D488" t="s">
        <v>8</v>
      </c>
      <c r="E488" t="str">
        <f>IFERROR(VLOOKUP(logos[[#This Row],[Cell_ID]],'registe maintenance'!A:B,2,FALSE)," non répertoriées")</f>
        <v xml:space="preserve"> non répertoriées</v>
      </c>
      <c r="F488" t="str">
        <f>IFERROR(VLOOKUP(logos[[#This Row],[Cell_ID]],'registe maintenance'!A:C,3,FALSE)," non répertoriées")</f>
        <v xml:space="preserve"> non répertoriées</v>
      </c>
      <c r="G488" t="str">
        <f>IFERROR(VLOOKUP(logos[[#This Row],[Cell_ID]],'registe maintenance'!A:D,4,FALSE)," non répertoriées")</f>
        <v xml:space="preserve"> non répertoriées</v>
      </c>
      <c r="H488" t="str">
        <f>IFERROR(VLOOKUP(logos[[#This Row],[Cell_ID]],'registe maintenance'!A:E,5,FALSE)," non répertoriées")</f>
        <v xml:space="preserve"> non répertoriées</v>
      </c>
      <c r="I488" t="str">
        <f>IFERROR(VLOOKUP(logos[[#This Row],[Cell_ID]],'registe maintenance'!A:F,6,FALSE)," non répertoriées")</f>
        <v xml:space="preserve"> non répertoriées</v>
      </c>
      <c r="J488">
        <f>IFERROR(VLOOKUP(B488,'logos transformer '!A:B,2,FALSE),"na")</f>
        <v>2</v>
      </c>
      <c r="K488">
        <f>IFERROR(VLOOKUP(B488,'logos transformer '!A:C,3,FALSE),"na")</f>
        <v>109</v>
      </c>
      <c r="L488" s="1">
        <f>IFERROR(VLOOKUP(B488,'logos transformer '!A:D,4,FALSE),"na")</f>
        <v>45225.996527777781</v>
      </c>
    </row>
    <row r="489" spans="1:12" x14ac:dyDescent="0.3">
      <c r="A489" s="1">
        <v>45222.834027777782</v>
      </c>
      <c r="B489" t="s">
        <v>67</v>
      </c>
      <c r="C489">
        <v>109</v>
      </c>
      <c r="D489" t="s">
        <v>8</v>
      </c>
      <c r="E489" t="str">
        <f>IFERROR(VLOOKUP(logos[[#This Row],[Cell_ID]],'registe maintenance'!A:B,2,FALSE)," non répertoriées")</f>
        <v>Haut-Katanga</v>
      </c>
      <c r="F489">
        <f>IFERROR(VLOOKUP(logos[[#This Row],[Cell_ID]],'registe maintenance'!A:C,3,FALSE)," non répertoriées")</f>
        <v>-2.9417719999999998</v>
      </c>
      <c r="G489">
        <f>IFERROR(VLOOKUP(logos[[#This Row],[Cell_ID]],'registe maintenance'!A:D,4,FALSE)," non répertoriées")</f>
        <v>18.587305000000001</v>
      </c>
      <c r="H489" t="str">
        <f>IFERROR(VLOOKUP(logos[[#This Row],[Cell_ID]],'registe maintenance'!A:E,5,FALSE)," non répertoriées")</f>
        <v>5G</v>
      </c>
      <c r="I489" t="str">
        <f>IFERROR(VLOOKUP(logos[[#This Row],[Cell_ID]],'registe maintenance'!A:F,6,FALSE)," non répertoriées")</f>
        <v>Ericsson</v>
      </c>
      <c r="J489">
        <f>IFERROR(VLOOKUP(B489,'logos transformer '!A:B,2,FALSE),"na")</f>
        <v>2</v>
      </c>
      <c r="K489">
        <f>IFERROR(VLOOKUP(B489,'logos transformer '!A:C,3,FALSE),"na")</f>
        <v>204</v>
      </c>
      <c r="L489" s="1">
        <f>IFERROR(VLOOKUP(B489,'logos transformer '!A:D,4,FALSE),"na")</f>
        <v>45222.834027777775</v>
      </c>
    </row>
    <row r="490" spans="1:12" x14ac:dyDescent="0.3">
      <c r="A490" s="1">
        <v>45219.636111111111</v>
      </c>
      <c r="B490" t="s">
        <v>212</v>
      </c>
      <c r="C490">
        <v>49</v>
      </c>
      <c r="D490" t="s">
        <v>5</v>
      </c>
      <c r="E490" t="str">
        <f>IFERROR(VLOOKUP(logos[[#This Row],[Cell_ID]],'registe maintenance'!A:B,2,FALSE)," non répertoriées")</f>
        <v xml:space="preserve"> non répertoriées</v>
      </c>
      <c r="F490" t="str">
        <f>IFERROR(VLOOKUP(logos[[#This Row],[Cell_ID]],'registe maintenance'!A:C,3,FALSE)," non répertoriées")</f>
        <v xml:space="preserve"> non répertoriées</v>
      </c>
      <c r="G490" t="str">
        <f>IFERROR(VLOOKUP(logos[[#This Row],[Cell_ID]],'registe maintenance'!A:D,4,FALSE)," non répertoriées")</f>
        <v xml:space="preserve"> non répertoriées</v>
      </c>
      <c r="H490" t="str">
        <f>IFERROR(VLOOKUP(logos[[#This Row],[Cell_ID]],'registe maintenance'!A:E,5,FALSE)," non répertoriées")</f>
        <v xml:space="preserve"> non répertoriées</v>
      </c>
      <c r="I490" t="str">
        <f>IFERROR(VLOOKUP(logos[[#This Row],[Cell_ID]],'registe maintenance'!A:F,6,FALSE)," non répertoriées")</f>
        <v xml:space="preserve"> non répertoriées</v>
      </c>
      <c r="J490">
        <f>IFERROR(VLOOKUP(B490,'logos transformer '!A:B,2,FALSE),"na")</f>
        <v>3</v>
      </c>
      <c r="K490">
        <f>IFERROR(VLOOKUP(B490,'logos transformer '!A:C,3,FALSE),"na")</f>
        <v>201</v>
      </c>
      <c r="L490" s="1">
        <f>IFERROR(VLOOKUP(B490,'logos transformer '!A:D,4,FALSE),"na")</f>
        <v>45222.51666666667</v>
      </c>
    </row>
    <row r="491" spans="1:12" x14ac:dyDescent="0.3">
      <c r="A491" s="1">
        <v>45230.868055555547</v>
      </c>
      <c r="B491" t="s">
        <v>387</v>
      </c>
      <c r="C491">
        <v>103</v>
      </c>
      <c r="D491" t="s">
        <v>10</v>
      </c>
      <c r="E491" t="str">
        <f>IFERROR(VLOOKUP(logos[[#This Row],[Cell_ID]],'registe maintenance'!A:B,2,FALSE)," non répertoriées")</f>
        <v>Bas-Uele</v>
      </c>
      <c r="F491">
        <f>IFERROR(VLOOKUP(logos[[#This Row],[Cell_ID]],'registe maintenance'!A:C,3,FALSE)," non répertoriées")</f>
        <v>-2.8532869999999999</v>
      </c>
      <c r="G491">
        <f>IFERROR(VLOOKUP(logos[[#This Row],[Cell_ID]],'registe maintenance'!A:D,4,FALSE)," non répertoriées")</f>
        <v>22.117896000000002</v>
      </c>
      <c r="H491" t="str">
        <f>IFERROR(VLOOKUP(logos[[#This Row],[Cell_ID]],'registe maintenance'!A:E,5,FALSE)," non répertoriées")</f>
        <v>5G</v>
      </c>
      <c r="I491" t="str">
        <f>IFERROR(VLOOKUP(logos[[#This Row],[Cell_ID]],'registe maintenance'!A:F,6,FALSE)," non répertoriées")</f>
        <v>Huawei</v>
      </c>
      <c r="J491">
        <f>IFERROR(VLOOKUP(B491,'logos transformer '!A:B,2,FALSE),"na")</f>
        <v>2</v>
      </c>
      <c r="K491">
        <f>IFERROR(VLOOKUP(B491,'logos transformer '!A:C,3,FALSE),"na")</f>
        <v>114</v>
      </c>
      <c r="L491" s="1">
        <f>IFERROR(VLOOKUP(B491,'logos transformer '!A:D,4,FALSE),"na")</f>
        <v>45230.868055555555</v>
      </c>
    </row>
    <row r="492" spans="1:12" x14ac:dyDescent="0.3">
      <c r="A492" s="1">
        <v>45224.775000000001</v>
      </c>
      <c r="B492" t="s">
        <v>388</v>
      </c>
      <c r="C492">
        <v>107</v>
      </c>
      <c r="D492" t="s">
        <v>10</v>
      </c>
      <c r="E492" t="str">
        <f>IFERROR(VLOOKUP(logos[[#This Row],[Cell_ID]],'registe maintenance'!A:B,2,FALSE)," non répertoriées")</f>
        <v>Equateur</v>
      </c>
      <c r="F492">
        <f>IFERROR(VLOOKUP(logos[[#This Row],[Cell_ID]],'registe maintenance'!A:C,3,FALSE)," non répertoriées")</f>
        <v>-5.7200150000000001</v>
      </c>
      <c r="G492">
        <f>IFERROR(VLOOKUP(logos[[#This Row],[Cell_ID]],'registe maintenance'!A:D,4,FALSE)," non répertoriées")</f>
        <v>25.022109</v>
      </c>
      <c r="H492" t="str">
        <f>IFERROR(VLOOKUP(logos[[#This Row],[Cell_ID]],'registe maintenance'!A:E,5,FALSE)," non répertoriées")</f>
        <v>5G</v>
      </c>
      <c r="I492" t="str">
        <f>IFERROR(VLOOKUP(logos[[#This Row],[Cell_ID]],'registe maintenance'!A:F,6,FALSE)," non répertoriées")</f>
        <v>ZTE</v>
      </c>
      <c r="J492">
        <f>IFERROR(VLOOKUP(B492,'logos transformer '!A:B,2,FALSE),"na")</f>
        <v>3</v>
      </c>
      <c r="K492">
        <f>IFERROR(VLOOKUP(B492,'logos transformer '!A:C,3,FALSE),"na")</f>
        <v>236</v>
      </c>
      <c r="L492" s="1">
        <f>IFERROR(VLOOKUP(B492,'logos transformer '!A:D,4,FALSE),"na")</f>
        <v>45230.50277777778</v>
      </c>
    </row>
    <row r="493" spans="1:12" x14ac:dyDescent="0.3">
      <c r="A493" s="1">
        <v>45207.960416666669</v>
      </c>
      <c r="B493" t="s">
        <v>170</v>
      </c>
      <c r="C493">
        <v>23</v>
      </c>
      <c r="D493" t="s">
        <v>10</v>
      </c>
      <c r="E493" t="str">
        <f>IFERROR(VLOOKUP(logos[[#This Row],[Cell_ID]],'registe maintenance'!A:B,2,FALSE)," non répertoriées")</f>
        <v>Nord-Kivu</v>
      </c>
      <c r="F493">
        <f>IFERROR(VLOOKUP(logos[[#This Row],[Cell_ID]],'registe maintenance'!A:C,3,FALSE)," non répertoriées")</f>
        <v>-12.336202</v>
      </c>
      <c r="G493">
        <f>IFERROR(VLOOKUP(logos[[#This Row],[Cell_ID]],'registe maintenance'!A:D,4,FALSE)," non répertoriées")</f>
        <v>13.693683999999999</v>
      </c>
      <c r="H493" t="str">
        <f>IFERROR(VLOOKUP(logos[[#This Row],[Cell_ID]],'registe maintenance'!A:E,5,FALSE)," non répertoriées")</f>
        <v>5G</v>
      </c>
      <c r="I493" t="str">
        <f>IFERROR(VLOOKUP(logos[[#This Row],[Cell_ID]],'registe maintenance'!A:F,6,FALSE)," non répertoriées")</f>
        <v>Huawei</v>
      </c>
      <c r="J493">
        <f>IFERROR(VLOOKUP(B493,'logos transformer '!A:B,2,FALSE),"na")</f>
        <v>4</v>
      </c>
      <c r="K493">
        <f>IFERROR(VLOOKUP(B493,'logos transformer '!A:C,3,FALSE),"na")</f>
        <v>190</v>
      </c>
      <c r="L493" s="1">
        <f>IFERROR(VLOOKUP(B493,'logos transformer '!A:D,4,FALSE),"na")</f>
        <v>45230.486111111109</v>
      </c>
    </row>
    <row r="494" spans="1:12" x14ac:dyDescent="0.3">
      <c r="A494" s="1">
        <v>45218.631944444453</v>
      </c>
      <c r="B494" t="s">
        <v>42</v>
      </c>
      <c r="C494">
        <v>42</v>
      </c>
      <c r="D494" t="s">
        <v>8</v>
      </c>
      <c r="E494" t="str">
        <f>IFERROR(VLOOKUP(logos[[#This Row],[Cell_ID]],'registe maintenance'!A:B,2,FALSE)," non répertoriées")</f>
        <v>Kwilu</v>
      </c>
      <c r="F494">
        <f>IFERROR(VLOOKUP(logos[[#This Row],[Cell_ID]],'registe maintenance'!A:C,3,FALSE)," non répertoriées")</f>
        <v>-0.77432100000000004</v>
      </c>
      <c r="G494">
        <f>IFERROR(VLOOKUP(logos[[#This Row],[Cell_ID]],'registe maintenance'!A:D,4,FALSE)," non répertoriées")</f>
        <v>18.628658999999999</v>
      </c>
      <c r="H494" t="str">
        <f>IFERROR(VLOOKUP(logos[[#This Row],[Cell_ID]],'registe maintenance'!A:E,5,FALSE)," non répertoriées")</f>
        <v>4G</v>
      </c>
      <c r="I494" t="str">
        <f>IFERROR(VLOOKUP(logos[[#This Row],[Cell_ID]],'registe maintenance'!A:F,6,FALSE)," non répertoriées")</f>
        <v>Huawei</v>
      </c>
      <c r="J494">
        <f>IFERROR(VLOOKUP(B494,'logos transformer '!A:B,2,FALSE),"na")</f>
        <v>2</v>
      </c>
      <c r="K494">
        <f>IFERROR(VLOOKUP(B494,'logos transformer '!A:C,3,FALSE),"na")</f>
        <v>134</v>
      </c>
      <c r="L494" s="1">
        <f>IFERROR(VLOOKUP(B494,'logos transformer '!A:D,4,FALSE),"na")</f>
        <v>45218.631944444445</v>
      </c>
    </row>
    <row r="495" spans="1:12" x14ac:dyDescent="0.3">
      <c r="A495" s="1">
        <v>45216.865277777782</v>
      </c>
      <c r="B495" t="s">
        <v>389</v>
      </c>
      <c r="C495">
        <v>10</v>
      </c>
      <c r="D495" t="s">
        <v>8</v>
      </c>
      <c r="E495" t="str">
        <f>IFERROR(VLOOKUP(logos[[#This Row],[Cell_ID]],'registe maintenance'!A:B,2,FALSE)," non répertoriées")</f>
        <v>Kasai-Oriental</v>
      </c>
      <c r="F495">
        <f>IFERROR(VLOOKUP(logos[[#This Row],[Cell_ID]],'registe maintenance'!A:C,3,FALSE)," non répertoriées")</f>
        <v>-1.648326</v>
      </c>
      <c r="G495">
        <f>IFERROR(VLOOKUP(logos[[#This Row],[Cell_ID]],'registe maintenance'!A:D,4,FALSE)," non répertoriées")</f>
        <v>25.528901999999999</v>
      </c>
      <c r="H495" t="str">
        <f>IFERROR(VLOOKUP(logos[[#This Row],[Cell_ID]],'registe maintenance'!A:E,5,FALSE)," non répertoriées")</f>
        <v>4G</v>
      </c>
      <c r="I495" t="str">
        <f>IFERROR(VLOOKUP(logos[[#This Row],[Cell_ID]],'registe maintenance'!A:F,6,FALSE)," non répertoriées")</f>
        <v>Huawei</v>
      </c>
      <c r="J495">
        <f>IFERROR(VLOOKUP(B495,'logos transformer '!A:B,2,FALSE),"na")</f>
        <v>1</v>
      </c>
      <c r="K495">
        <f>IFERROR(VLOOKUP(B495,'logos transformer '!A:C,3,FALSE),"na")</f>
        <v>10</v>
      </c>
      <c r="L495" s="1">
        <f>IFERROR(VLOOKUP(B495,'logos transformer '!A:D,4,FALSE),"na")</f>
        <v>45216.865277777775</v>
      </c>
    </row>
    <row r="496" spans="1:12" x14ac:dyDescent="0.3">
      <c r="A496" s="1">
        <v>45219.506249999999</v>
      </c>
      <c r="B496" t="s">
        <v>145</v>
      </c>
      <c r="C496">
        <v>41</v>
      </c>
      <c r="D496" t="s">
        <v>8</v>
      </c>
      <c r="E496" t="str">
        <f>IFERROR(VLOOKUP(logos[[#This Row],[Cell_ID]],'registe maintenance'!A:B,2,FALSE)," non répertoriées")</f>
        <v>Tshuapa</v>
      </c>
      <c r="F496">
        <f>IFERROR(VLOOKUP(logos[[#This Row],[Cell_ID]],'registe maintenance'!A:C,3,FALSE)," non répertoriées")</f>
        <v>-2.3677800000000002</v>
      </c>
      <c r="G496">
        <f>IFERROR(VLOOKUP(logos[[#This Row],[Cell_ID]],'registe maintenance'!A:D,4,FALSE)," non répertoriées")</f>
        <v>18.790323999999998</v>
      </c>
      <c r="H496" t="str">
        <f>IFERROR(VLOOKUP(logos[[#This Row],[Cell_ID]],'registe maintenance'!A:E,5,FALSE)," non répertoriées")</f>
        <v>5G</v>
      </c>
      <c r="I496" t="str">
        <f>IFERROR(VLOOKUP(logos[[#This Row],[Cell_ID]],'registe maintenance'!A:F,6,FALSE)," non répertoriées")</f>
        <v>Huawei</v>
      </c>
      <c r="J496">
        <f>IFERROR(VLOOKUP(B496,'logos transformer '!A:B,2,FALSE),"na")</f>
        <v>2</v>
      </c>
      <c r="K496">
        <f>IFERROR(VLOOKUP(B496,'logos transformer '!A:C,3,FALSE),"na")</f>
        <v>151</v>
      </c>
      <c r="L496" s="1">
        <f>IFERROR(VLOOKUP(B496,'logos transformer '!A:D,4,FALSE),"na")</f>
        <v>45226.104166666664</v>
      </c>
    </row>
    <row r="497" spans="1:12" x14ac:dyDescent="0.3">
      <c r="A497" s="1">
        <v>45226.885416666657</v>
      </c>
      <c r="B497" t="s">
        <v>390</v>
      </c>
      <c r="C497">
        <v>96</v>
      </c>
      <c r="D497" t="s">
        <v>10</v>
      </c>
      <c r="E497" t="str">
        <f>IFERROR(VLOOKUP(logos[[#This Row],[Cell_ID]],'registe maintenance'!A:B,2,FALSE)," non répertoriées")</f>
        <v xml:space="preserve"> non répertoriées</v>
      </c>
      <c r="F497" t="str">
        <f>IFERROR(VLOOKUP(logos[[#This Row],[Cell_ID]],'registe maintenance'!A:C,3,FALSE)," non répertoriées")</f>
        <v xml:space="preserve"> non répertoriées</v>
      </c>
      <c r="G497" t="str">
        <f>IFERROR(VLOOKUP(logos[[#This Row],[Cell_ID]],'registe maintenance'!A:D,4,FALSE)," non répertoriées")</f>
        <v xml:space="preserve"> non répertoriées</v>
      </c>
      <c r="H497" t="str">
        <f>IFERROR(VLOOKUP(logos[[#This Row],[Cell_ID]],'registe maintenance'!A:E,5,FALSE)," non répertoriées")</f>
        <v xml:space="preserve"> non répertoriées</v>
      </c>
      <c r="I497" t="str">
        <f>IFERROR(VLOOKUP(logos[[#This Row],[Cell_ID]],'registe maintenance'!A:F,6,FALSE)," non répertoriées")</f>
        <v xml:space="preserve"> non répertoriées</v>
      </c>
      <c r="J497">
        <f>IFERROR(VLOOKUP(B497,'logos transformer '!A:B,2,FALSE),"na")</f>
        <v>1</v>
      </c>
      <c r="K497">
        <f>IFERROR(VLOOKUP(B497,'logos transformer '!A:C,3,FALSE),"na")</f>
        <v>96</v>
      </c>
      <c r="L497" s="1">
        <f>IFERROR(VLOOKUP(B497,'logos transformer '!A:D,4,FALSE),"na")</f>
        <v>45226.885416666664</v>
      </c>
    </row>
    <row r="498" spans="1:12" x14ac:dyDescent="0.3">
      <c r="A498" s="1">
        <v>45201.780555555553</v>
      </c>
      <c r="B498" t="s">
        <v>391</v>
      </c>
      <c r="C498">
        <v>15</v>
      </c>
      <c r="D498" t="s">
        <v>5</v>
      </c>
      <c r="E498" t="str">
        <f>IFERROR(VLOOKUP(logos[[#This Row],[Cell_ID]],'registe maintenance'!A:B,2,FALSE)," non répertoriées")</f>
        <v xml:space="preserve"> non répertoriées</v>
      </c>
      <c r="F498" t="str">
        <f>IFERROR(VLOOKUP(logos[[#This Row],[Cell_ID]],'registe maintenance'!A:C,3,FALSE)," non répertoriées")</f>
        <v xml:space="preserve"> non répertoriées</v>
      </c>
      <c r="G498" t="str">
        <f>IFERROR(VLOOKUP(logos[[#This Row],[Cell_ID]],'registe maintenance'!A:D,4,FALSE)," non répertoriées")</f>
        <v xml:space="preserve"> non répertoriées</v>
      </c>
      <c r="H498" t="str">
        <f>IFERROR(VLOOKUP(logos[[#This Row],[Cell_ID]],'registe maintenance'!A:E,5,FALSE)," non répertoriées")</f>
        <v xml:space="preserve"> non répertoriées</v>
      </c>
      <c r="I498" t="str">
        <f>IFERROR(VLOOKUP(logos[[#This Row],[Cell_ID]],'registe maintenance'!A:F,6,FALSE)," non répertoriées")</f>
        <v xml:space="preserve"> non répertoriées</v>
      </c>
      <c r="J498">
        <f>IFERROR(VLOOKUP(B498,'logos transformer '!A:B,2,FALSE),"na")</f>
        <v>1</v>
      </c>
      <c r="K498">
        <f>IFERROR(VLOOKUP(B498,'logos transformer '!A:C,3,FALSE),"na")</f>
        <v>15</v>
      </c>
      <c r="L498" s="1">
        <f>IFERROR(VLOOKUP(B498,'logos transformer '!A:D,4,FALSE),"na")</f>
        <v>45201.780555555553</v>
      </c>
    </row>
    <row r="499" spans="1:12" x14ac:dyDescent="0.3">
      <c r="A499" s="1">
        <v>45203.250694444447</v>
      </c>
      <c r="B499" t="s">
        <v>133</v>
      </c>
      <c r="C499">
        <v>49</v>
      </c>
      <c r="D499" t="s">
        <v>8</v>
      </c>
      <c r="E499" t="str">
        <f>IFERROR(VLOOKUP(logos[[#This Row],[Cell_ID]],'registe maintenance'!A:B,2,FALSE)," non répertoriées")</f>
        <v>Kasai-Central</v>
      </c>
      <c r="F499">
        <f>IFERROR(VLOOKUP(logos[[#This Row],[Cell_ID]],'registe maintenance'!A:C,3,FALSE)," non répertoriées")</f>
        <v>-10.414493</v>
      </c>
      <c r="G499">
        <f>IFERROR(VLOOKUP(logos[[#This Row],[Cell_ID]],'registe maintenance'!A:D,4,FALSE)," non répertoriées")</f>
        <v>12.333356999999999</v>
      </c>
      <c r="H499" t="str">
        <f>IFERROR(VLOOKUP(logos[[#This Row],[Cell_ID]],'registe maintenance'!A:E,5,FALSE)," non répertoriées")</f>
        <v>3G</v>
      </c>
      <c r="I499" t="str">
        <f>IFERROR(VLOOKUP(logos[[#This Row],[Cell_ID]],'registe maintenance'!A:F,6,FALSE)," non répertoriées")</f>
        <v>Ericsson</v>
      </c>
      <c r="J499">
        <f>IFERROR(VLOOKUP(B499,'logos transformer '!A:B,2,FALSE),"na")</f>
        <v>4</v>
      </c>
      <c r="K499">
        <f>IFERROR(VLOOKUP(B499,'logos transformer '!A:C,3,FALSE),"na")</f>
        <v>273</v>
      </c>
      <c r="L499" s="1">
        <f>IFERROR(VLOOKUP(B499,'logos transformer '!A:D,4,FALSE),"na")</f>
        <v>45221.910416666666</v>
      </c>
    </row>
    <row r="500" spans="1:12" x14ac:dyDescent="0.3">
      <c r="A500" s="1">
        <v>45214.43472222222</v>
      </c>
      <c r="B500" t="s">
        <v>44</v>
      </c>
      <c r="C500">
        <v>61</v>
      </c>
      <c r="D500" t="s">
        <v>10</v>
      </c>
      <c r="E500" t="str">
        <f>IFERROR(VLOOKUP(logos[[#This Row],[Cell_ID]],'registe maintenance'!A:B,2,FALSE)," non répertoriées")</f>
        <v>Tanganyika</v>
      </c>
      <c r="F500">
        <f>IFERROR(VLOOKUP(logos[[#This Row],[Cell_ID]],'registe maintenance'!A:C,3,FALSE)," non répertoriées")</f>
        <v>-10.776204</v>
      </c>
      <c r="G500">
        <f>IFERROR(VLOOKUP(logos[[#This Row],[Cell_ID]],'registe maintenance'!A:D,4,FALSE)," non répertoriées")</f>
        <v>24.672934000000001</v>
      </c>
      <c r="H500" t="str">
        <f>IFERROR(VLOOKUP(logos[[#This Row],[Cell_ID]],'registe maintenance'!A:E,5,FALSE)," non répertoriées")</f>
        <v>4G</v>
      </c>
      <c r="I500" t="str">
        <f>IFERROR(VLOOKUP(logos[[#This Row],[Cell_ID]],'registe maintenance'!A:F,6,FALSE)," non répertoriées")</f>
        <v>Ericsson</v>
      </c>
      <c r="J500">
        <f>IFERROR(VLOOKUP(B500,'logos transformer '!A:B,2,FALSE),"na")</f>
        <v>3</v>
      </c>
      <c r="K500">
        <f>IFERROR(VLOOKUP(B500,'logos transformer '!A:C,3,FALSE),"na")</f>
        <v>176</v>
      </c>
      <c r="L500" s="1">
        <f>IFERROR(VLOOKUP(B500,'logos transformer '!A:D,4,FALSE),"na")</f>
        <v>45228.853472222225</v>
      </c>
    </row>
    <row r="501" spans="1:12" x14ac:dyDescent="0.3">
      <c r="A501" s="1">
        <v>45204.572222222218</v>
      </c>
      <c r="B501" t="s">
        <v>148</v>
      </c>
      <c r="C501">
        <v>88</v>
      </c>
      <c r="D501" t="s">
        <v>10</v>
      </c>
      <c r="E501" t="str">
        <f>IFERROR(VLOOKUP(logos[[#This Row],[Cell_ID]],'registe maintenance'!A:B,2,FALSE)," non répertoriées")</f>
        <v>Kasai-Central</v>
      </c>
      <c r="F501">
        <f>IFERROR(VLOOKUP(logos[[#This Row],[Cell_ID]],'registe maintenance'!A:C,3,FALSE)," non répertoriées")</f>
        <v>-3.111418</v>
      </c>
      <c r="G501">
        <f>IFERROR(VLOOKUP(logos[[#This Row],[Cell_ID]],'registe maintenance'!A:D,4,FALSE)," non répertoriées")</f>
        <v>14.144854</v>
      </c>
      <c r="H501" t="str">
        <f>IFERROR(VLOOKUP(logos[[#This Row],[Cell_ID]],'registe maintenance'!A:E,5,FALSE)," non répertoriées")</f>
        <v>4G</v>
      </c>
      <c r="I501" t="str">
        <f>IFERROR(VLOOKUP(logos[[#This Row],[Cell_ID]],'registe maintenance'!A:F,6,FALSE)," non répertoriées")</f>
        <v>ZTE</v>
      </c>
      <c r="J501">
        <f>IFERROR(VLOOKUP(B501,'logos transformer '!A:B,2,FALSE),"na")</f>
        <v>3</v>
      </c>
      <c r="K501">
        <f>IFERROR(VLOOKUP(B501,'logos transformer '!A:C,3,FALSE),"na")</f>
        <v>152</v>
      </c>
      <c r="L501" s="1">
        <f>IFERROR(VLOOKUP(B501,'logos transformer '!A:D,4,FALSE),"na")</f>
        <v>45206.027083333334</v>
      </c>
    </row>
    <row r="502" spans="1:12" x14ac:dyDescent="0.3">
      <c r="A502" s="1">
        <v>45206.563888888893</v>
      </c>
      <c r="B502" t="s">
        <v>392</v>
      </c>
      <c r="C502">
        <v>37</v>
      </c>
      <c r="D502" t="s">
        <v>5</v>
      </c>
      <c r="E502" t="str">
        <f>IFERROR(VLOOKUP(logos[[#This Row],[Cell_ID]],'registe maintenance'!A:B,2,FALSE)," non répertoriées")</f>
        <v>Haut-Uele</v>
      </c>
      <c r="F502">
        <f>IFERROR(VLOOKUP(logos[[#This Row],[Cell_ID]],'registe maintenance'!A:C,3,FALSE)," non répertoriées")</f>
        <v>0.20866199999999999</v>
      </c>
      <c r="G502">
        <f>IFERROR(VLOOKUP(logos[[#This Row],[Cell_ID]],'registe maintenance'!A:D,4,FALSE)," non répertoriées")</f>
        <v>18.556439000000001</v>
      </c>
      <c r="H502" t="str">
        <f>IFERROR(VLOOKUP(logos[[#This Row],[Cell_ID]],'registe maintenance'!A:E,5,FALSE)," non répertoriées")</f>
        <v>4G</v>
      </c>
      <c r="I502" t="str">
        <f>IFERROR(VLOOKUP(logos[[#This Row],[Cell_ID]],'registe maintenance'!A:F,6,FALSE)," non répertoriées")</f>
        <v>Nokia</v>
      </c>
      <c r="J502">
        <f>IFERROR(VLOOKUP(B502,'logos transformer '!A:B,2,FALSE),"na")</f>
        <v>1</v>
      </c>
      <c r="K502">
        <f>IFERROR(VLOOKUP(B502,'logos transformer '!A:C,3,FALSE),"na")</f>
        <v>37</v>
      </c>
      <c r="L502" s="1">
        <f>IFERROR(VLOOKUP(B502,'logos transformer '!A:D,4,FALSE),"na")</f>
        <v>45206.563888888886</v>
      </c>
    </row>
    <row r="503" spans="1:12" x14ac:dyDescent="0.3">
      <c r="A503" s="1">
        <v>45224.831944444442</v>
      </c>
      <c r="B503" t="s">
        <v>393</v>
      </c>
      <c r="C503">
        <v>100</v>
      </c>
      <c r="D503" t="s">
        <v>5</v>
      </c>
      <c r="E503" t="str">
        <f>IFERROR(VLOOKUP(logos[[#This Row],[Cell_ID]],'registe maintenance'!A:B,2,FALSE)," non répertoriées")</f>
        <v xml:space="preserve"> non répertoriées</v>
      </c>
      <c r="F503" t="str">
        <f>IFERROR(VLOOKUP(logos[[#This Row],[Cell_ID]],'registe maintenance'!A:C,3,FALSE)," non répertoriées")</f>
        <v xml:space="preserve"> non répertoriées</v>
      </c>
      <c r="G503" t="str">
        <f>IFERROR(VLOOKUP(logos[[#This Row],[Cell_ID]],'registe maintenance'!A:D,4,FALSE)," non répertoriées")</f>
        <v xml:space="preserve"> non répertoriées</v>
      </c>
      <c r="H503" t="str">
        <f>IFERROR(VLOOKUP(logos[[#This Row],[Cell_ID]],'registe maintenance'!A:E,5,FALSE)," non répertoriées")</f>
        <v xml:space="preserve"> non répertoriées</v>
      </c>
      <c r="I503" t="str">
        <f>IFERROR(VLOOKUP(logos[[#This Row],[Cell_ID]],'registe maintenance'!A:F,6,FALSE)," non répertoriées")</f>
        <v xml:space="preserve"> non répertoriées</v>
      </c>
      <c r="J503">
        <f>IFERROR(VLOOKUP(B503,'logos transformer '!A:B,2,FALSE),"na")</f>
        <v>1</v>
      </c>
      <c r="K503">
        <f>IFERROR(VLOOKUP(B503,'logos transformer '!A:C,3,FALSE),"na")</f>
        <v>100</v>
      </c>
      <c r="L503" s="1">
        <f>IFERROR(VLOOKUP(B503,'logos transformer '!A:D,4,FALSE),"na")</f>
        <v>45224.831944444442</v>
      </c>
    </row>
    <row r="504" spans="1:12" x14ac:dyDescent="0.3">
      <c r="A504" s="1">
        <v>45215.990277777782</v>
      </c>
      <c r="B504" t="s">
        <v>307</v>
      </c>
      <c r="C504">
        <v>66</v>
      </c>
      <c r="D504" t="s">
        <v>10</v>
      </c>
      <c r="E504" t="str">
        <f>IFERROR(VLOOKUP(logos[[#This Row],[Cell_ID]],'registe maintenance'!A:B,2,FALSE)," non répertoriées")</f>
        <v>Sankuru</v>
      </c>
      <c r="F504">
        <f>IFERROR(VLOOKUP(logos[[#This Row],[Cell_ID]],'registe maintenance'!A:C,3,FALSE)," non répertoriées")</f>
        <v>-1.4110389999999999</v>
      </c>
      <c r="G504">
        <f>IFERROR(VLOOKUP(logos[[#This Row],[Cell_ID]],'registe maintenance'!A:D,4,FALSE)," non répertoriées")</f>
        <v>21.261644</v>
      </c>
      <c r="H504" t="str">
        <f>IFERROR(VLOOKUP(logos[[#This Row],[Cell_ID]],'registe maintenance'!A:E,5,FALSE)," non répertoriées")</f>
        <v>4G</v>
      </c>
      <c r="I504" t="str">
        <f>IFERROR(VLOOKUP(logos[[#This Row],[Cell_ID]],'registe maintenance'!A:F,6,FALSE)," non répertoriées")</f>
        <v>ZTE</v>
      </c>
      <c r="J504">
        <f>IFERROR(VLOOKUP(B504,'logos transformer '!A:B,2,FALSE),"na")</f>
        <v>3</v>
      </c>
      <c r="K504">
        <f>IFERROR(VLOOKUP(B504,'logos transformer '!A:C,3,FALSE),"na")</f>
        <v>270</v>
      </c>
      <c r="L504" s="1">
        <f>IFERROR(VLOOKUP(B504,'logos transformer '!A:D,4,FALSE),"na")</f>
        <v>45215.990277777775</v>
      </c>
    </row>
    <row r="505" spans="1:12" x14ac:dyDescent="0.3">
      <c r="A505" s="1">
        <v>45201.922222222223</v>
      </c>
      <c r="B505" t="s">
        <v>191</v>
      </c>
      <c r="C505">
        <v>32</v>
      </c>
      <c r="D505" t="s">
        <v>5</v>
      </c>
      <c r="E505" t="str">
        <f>IFERROR(VLOOKUP(logos[[#This Row],[Cell_ID]],'registe maintenance'!A:B,2,FALSE)," non répertoriées")</f>
        <v>Bas-Uele</v>
      </c>
      <c r="F505">
        <f>IFERROR(VLOOKUP(logos[[#This Row],[Cell_ID]],'registe maintenance'!A:C,3,FALSE)," non répertoriées")</f>
        <v>1.5278670000000001</v>
      </c>
      <c r="G505">
        <f>IFERROR(VLOOKUP(logos[[#This Row],[Cell_ID]],'registe maintenance'!A:D,4,FALSE)," non répertoriées")</f>
        <v>13.899388999999999</v>
      </c>
      <c r="H505" t="str">
        <f>IFERROR(VLOOKUP(logos[[#This Row],[Cell_ID]],'registe maintenance'!A:E,5,FALSE)," non répertoriées")</f>
        <v>3G</v>
      </c>
      <c r="I505" t="str">
        <f>IFERROR(VLOOKUP(logos[[#This Row],[Cell_ID]],'registe maintenance'!A:F,6,FALSE)," non répertoriées")</f>
        <v>Huawei</v>
      </c>
      <c r="J505">
        <f>IFERROR(VLOOKUP(B505,'logos transformer '!A:B,2,FALSE),"na")</f>
        <v>5</v>
      </c>
      <c r="K505">
        <f>IFERROR(VLOOKUP(B505,'logos transformer '!A:C,3,FALSE),"na")</f>
        <v>273</v>
      </c>
      <c r="L505" s="1">
        <f>IFERROR(VLOOKUP(B505,'logos transformer '!A:D,4,FALSE),"na")</f>
        <v>45223.436111111114</v>
      </c>
    </row>
    <row r="506" spans="1:12" x14ac:dyDescent="0.3">
      <c r="A506" s="1">
        <v>45216.274305555547</v>
      </c>
      <c r="B506" t="s">
        <v>388</v>
      </c>
      <c r="C506">
        <v>30</v>
      </c>
      <c r="D506" t="s">
        <v>8</v>
      </c>
      <c r="E506" t="str">
        <f>IFERROR(VLOOKUP(logos[[#This Row],[Cell_ID]],'registe maintenance'!A:B,2,FALSE)," non répertoriées")</f>
        <v>Equateur</v>
      </c>
      <c r="F506">
        <f>IFERROR(VLOOKUP(logos[[#This Row],[Cell_ID]],'registe maintenance'!A:C,3,FALSE)," non répertoriées")</f>
        <v>-5.7200150000000001</v>
      </c>
      <c r="G506">
        <f>IFERROR(VLOOKUP(logos[[#This Row],[Cell_ID]],'registe maintenance'!A:D,4,FALSE)," non répertoriées")</f>
        <v>25.022109</v>
      </c>
      <c r="H506" t="str">
        <f>IFERROR(VLOOKUP(logos[[#This Row],[Cell_ID]],'registe maintenance'!A:E,5,FALSE)," non répertoriées")</f>
        <v>5G</v>
      </c>
      <c r="I506" t="str">
        <f>IFERROR(VLOOKUP(logos[[#This Row],[Cell_ID]],'registe maintenance'!A:F,6,FALSE)," non répertoriées")</f>
        <v>ZTE</v>
      </c>
      <c r="J506">
        <f>IFERROR(VLOOKUP(B506,'logos transformer '!A:B,2,FALSE),"na")</f>
        <v>3</v>
      </c>
      <c r="K506">
        <f>IFERROR(VLOOKUP(B506,'logos transformer '!A:C,3,FALSE),"na")</f>
        <v>236</v>
      </c>
      <c r="L506" s="1">
        <f>IFERROR(VLOOKUP(B506,'logos transformer '!A:D,4,FALSE),"na")</f>
        <v>45230.50277777778</v>
      </c>
    </row>
    <row r="507" spans="1:12" x14ac:dyDescent="0.3">
      <c r="A507" s="1">
        <v>45210.895833333343</v>
      </c>
      <c r="B507" t="s">
        <v>199</v>
      </c>
      <c r="C507">
        <v>110</v>
      </c>
      <c r="D507" t="s">
        <v>10</v>
      </c>
      <c r="E507" t="str">
        <f>IFERROR(VLOOKUP(logos[[#This Row],[Cell_ID]],'registe maintenance'!A:B,2,FALSE)," non répertoriées")</f>
        <v>Kasai</v>
      </c>
      <c r="F507">
        <f>IFERROR(VLOOKUP(logos[[#This Row],[Cell_ID]],'registe maintenance'!A:C,3,FALSE)," non répertoriées")</f>
        <v>-4.351254</v>
      </c>
      <c r="G507">
        <f>IFERROR(VLOOKUP(logos[[#This Row],[Cell_ID]],'registe maintenance'!A:D,4,FALSE)," non répertoriées")</f>
        <v>30.097408999999999</v>
      </c>
      <c r="H507" t="str">
        <f>IFERROR(VLOOKUP(logos[[#This Row],[Cell_ID]],'registe maintenance'!A:E,5,FALSE)," non répertoriées")</f>
        <v>5G</v>
      </c>
      <c r="I507" t="str">
        <f>IFERROR(VLOOKUP(logos[[#This Row],[Cell_ID]],'registe maintenance'!A:F,6,FALSE)," non répertoriées")</f>
        <v>Nokia</v>
      </c>
      <c r="J507">
        <f>IFERROR(VLOOKUP(B507,'logos transformer '!A:B,2,FALSE),"na")</f>
        <v>2</v>
      </c>
      <c r="K507">
        <f>IFERROR(VLOOKUP(B507,'logos transformer '!A:C,3,FALSE),"na")</f>
        <v>157</v>
      </c>
      <c r="L507" s="1">
        <f>IFERROR(VLOOKUP(B507,'logos transformer '!A:D,4,FALSE),"na")</f>
        <v>45210.895833333336</v>
      </c>
    </row>
    <row r="508" spans="1:12" x14ac:dyDescent="0.3">
      <c r="A508" s="1">
        <v>45216.513888888891</v>
      </c>
      <c r="B508" t="s">
        <v>394</v>
      </c>
      <c r="C508">
        <v>73</v>
      </c>
      <c r="D508" t="s">
        <v>8</v>
      </c>
      <c r="E508" t="str">
        <f>IFERROR(VLOOKUP(logos[[#This Row],[Cell_ID]],'registe maintenance'!A:B,2,FALSE)," non répertoriées")</f>
        <v xml:space="preserve"> non répertoriées</v>
      </c>
      <c r="F508" t="str">
        <f>IFERROR(VLOOKUP(logos[[#This Row],[Cell_ID]],'registe maintenance'!A:C,3,FALSE)," non répertoriées")</f>
        <v xml:space="preserve"> non répertoriées</v>
      </c>
      <c r="G508" t="str">
        <f>IFERROR(VLOOKUP(logos[[#This Row],[Cell_ID]],'registe maintenance'!A:D,4,FALSE)," non répertoriées")</f>
        <v xml:space="preserve"> non répertoriées</v>
      </c>
      <c r="H508" t="str">
        <f>IFERROR(VLOOKUP(logos[[#This Row],[Cell_ID]],'registe maintenance'!A:E,5,FALSE)," non répertoriées")</f>
        <v xml:space="preserve"> non répertoriées</v>
      </c>
      <c r="I508" t="str">
        <f>IFERROR(VLOOKUP(logos[[#This Row],[Cell_ID]],'registe maintenance'!A:F,6,FALSE)," non répertoriées")</f>
        <v xml:space="preserve"> non répertoriées</v>
      </c>
      <c r="J508">
        <f>IFERROR(VLOOKUP(B508,'logos transformer '!A:B,2,FALSE),"na")</f>
        <v>1</v>
      </c>
      <c r="K508">
        <f>IFERROR(VLOOKUP(B508,'logos transformer '!A:C,3,FALSE),"na")</f>
        <v>73</v>
      </c>
      <c r="L508" s="1">
        <f>IFERROR(VLOOKUP(B508,'logos transformer '!A:D,4,FALSE),"na")</f>
        <v>45216.513888888891</v>
      </c>
    </row>
    <row r="509" spans="1:12" x14ac:dyDescent="0.3">
      <c r="A509" s="1">
        <v>45230.228472222218</v>
      </c>
      <c r="B509" t="s">
        <v>131</v>
      </c>
      <c r="C509">
        <v>39</v>
      </c>
      <c r="D509" t="s">
        <v>10</v>
      </c>
      <c r="E509" t="str">
        <f>IFERROR(VLOOKUP(logos[[#This Row],[Cell_ID]],'registe maintenance'!A:B,2,FALSE)," non répertoriées")</f>
        <v>Lomami</v>
      </c>
      <c r="F509">
        <f>IFERROR(VLOOKUP(logos[[#This Row],[Cell_ID]],'registe maintenance'!A:C,3,FALSE)," non répertoriées")</f>
        <v>-5.7035130000000001</v>
      </c>
      <c r="G509">
        <f>IFERROR(VLOOKUP(logos[[#This Row],[Cell_ID]],'registe maintenance'!A:D,4,FALSE)," non répertoriées")</f>
        <v>14.331479</v>
      </c>
      <c r="H509" t="str">
        <f>IFERROR(VLOOKUP(logos[[#This Row],[Cell_ID]],'registe maintenance'!A:E,5,FALSE)," non répertoriées")</f>
        <v>5G</v>
      </c>
      <c r="I509" t="str">
        <f>IFERROR(VLOOKUP(logos[[#This Row],[Cell_ID]],'registe maintenance'!A:F,6,FALSE)," non répertoriées")</f>
        <v>Nokia</v>
      </c>
      <c r="J509">
        <f>IFERROR(VLOOKUP(B509,'logos transformer '!A:B,2,FALSE),"na")</f>
        <v>2</v>
      </c>
      <c r="K509">
        <f>IFERROR(VLOOKUP(B509,'logos transformer '!A:C,3,FALSE),"na")</f>
        <v>111</v>
      </c>
      <c r="L509" s="1">
        <f>IFERROR(VLOOKUP(B509,'logos transformer '!A:D,4,FALSE),"na")</f>
        <v>45230.228472222225</v>
      </c>
    </row>
    <row r="510" spans="1:12" x14ac:dyDescent="0.3">
      <c r="A510" s="1">
        <v>45229.722916666673</v>
      </c>
      <c r="B510" t="s">
        <v>149</v>
      </c>
      <c r="C510">
        <v>76</v>
      </c>
      <c r="D510" t="s">
        <v>8</v>
      </c>
      <c r="E510" t="str">
        <f>IFERROR(VLOOKUP(logos[[#This Row],[Cell_ID]],'registe maintenance'!A:B,2,FALSE)," non répertoriées")</f>
        <v>Nord-Ubangi</v>
      </c>
      <c r="F510">
        <f>IFERROR(VLOOKUP(logos[[#This Row],[Cell_ID]],'registe maintenance'!A:C,3,FALSE)," non répertoriées")</f>
        <v>-1.342476</v>
      </c>
      <c r="G510">
        <f>IFERROR(VLOOKUP(logos[[#This Row],[Cell_ID]],'registe maintenance'!A:D,4,FALSE)," non répertoriées")</f>
        <v>15.986086</v>
      </c>
      <c r="H510" t="str">
        <f>IFERROR(VLOOKUP(logos[[#This Row],[Cell_ID]],'registe maintenance'!A:E,5,FALSE)," non répertoriées")</f>
        <v>4G</v>
      </c>
      <c r="I510" t="str">
        <f>IFERROR(VLOOKUP(logos[[#This Row],[Cell_ID]],'registe maintenance'!A:F,6,FALSE)," non répertoriées")</f>
        <v>Ericsson</v>
      </c>
      <c r="J510">
        <f>IFERROR(VLOOKUP(B510,'logos transformer '!A:B,2,FALSE),"na")</f>
        <v>4</v>
      </c>
      <c r="K510">
        <f>IFERROR(VLOOKUP(B510,'logos transformer '!A:C,3,FALSE),"na")</f>
        <v>352</v>
      </c>
      <c r="L510" s="1">
        <f>IFERROR(VLOOKUP(B510,'logos transformer '!A:D,4,FALSE),"na")</f>
        <v>45229.722916666666</v>
      </c>
    </row>
    <row r="511" spans="1:12" x14ac:dyDescent="0.3">
      <c r="A511" s="1">
        <v>45217.488194444442</v>
      </c>
      <c r="B511" t="s">
        <v>395</v>
      </c>
      <c r="C511">
        <v>94</v>
      </c>
      <c r="D511" t="s">
        <v>5</v>
      </c>
      <c r="E511" t="str">
        <f>IFERROR(VLOOKUP(logos[[#This Row],[Cell_ID]],'registe maintenance'!A:B,2,FALSE)," non répertoriées")</f>
        <v xml:space="preserve"> non répertoriées</v>
      </c>
      <c r="F511" t="str">
        <f>IFERROR(VLOOKUP(logos[[#This Row],[Cell_ID]],'registe maintenance'!A:C,3,FALSE)," non répertoriées")</f>
        <v xml:space="preserve"> non répertoriées</v>
      </c>
      <c r="G511" t="str">
        <f>IFERROR(VLOOKUP(logos[[#This Row],[Cell_ID]],'registe maintenance'!A:D,4,FALSE)," non répertoriées")</f>
        <v xml:space="preserve"> non répertoriées</v>
      </c>
      <c r="H511" t="str">
        <f>IFERROR(VLOOKUP(logos[[#This Row],[Cell_ID]],'registe maintenance'!A:E,5,FALSE)," non répertoriées")</f>
        <v xml:space="preserve"> non répertoriées</v>
      </c>
      <c r="I511" t="str">
        <f>IFERROR(VLOOKUP(logos[[#This Row],[Cell_ID]],'registe maintenance'!A:F,6,FALSE)," non répertoriées")</f>
        <v xml:space="preserve"> non répertoriées</v>
      </c>
      <c r="J511">
        <f>IFERROR(VLOOKUP(B511,'logos transformer '!A:B,2,FALSE),"na")</f>
        <v>1</v>
      </c>
      <c r="K511">
        <f>IFERROR(VLOOKUP(B511,'logos transformer '!A:C,3,FALSE),"na")</f>
        <v>94</v>
      </c>
      <c r="L511" s="1">
        <f>IFERROR(VLOOKUP(B511,'logos transformer '!A:D,4,FALSE),"na")</f>
        <v>45217.488194444442</v>
      </c>
    </row>
    <row r="512" spans="1:12" x14ac:dyDescent="0.3">
      <c r="A512" s="1">
        <v>45224.988194444442</v>
      </c>
      <c r="B512" t="s">
        <v>58</v>
      </c>
      <c r="C512">
        <v>39</v>
      </c>
      <c r="D512" t="s">
        <v>5</v>
      </c>
      <c r="E512" t="str">
        <f>IFERROR(VLOOKUP(logos[[#This Row],[Cell_ID]],'registe maintenance'!A:B,2,FALSE)," non répertoriées")</f>
        <v xml:space="preserve"> non répertoriées</v>
      </c>
      <c r="F512" t="str">
        <f>IFERROR(VLOOKUP(logos[[#This Row],[Cell_ID]],'registe maintenance'!A:C,3,FALSE)," non répertoriées")</f>
        <v xml:space="preserve"> non répertoriées</v>
      </c>
      <c r="G512" t="str">
        <f>IFERROR(VLOOKUP(logos[[#This Row],[Cell_ID]],'registe maintenance'!A:D,4,FALSE)," non répertoriées")</f>
        <v xml:space="preserve"> non répertoriées</v>
      </c>
      <c r="H512" t="str">
        <f>IFERROR(VLOOKUP(logos[[#This Row],[Cell_ID]],'registe maintenance'!A:E,5,FALSE)," non répertoriées")</f>
        <v xml:space="preserve"> non répertoriées</v>
      </c>
      <c r="I512" t="str">
        <f>IFERROR(VLOOKUP(logos[[#This Row],[Cell_ID]],'registe maintenance'!A:F,6,FALSE)," non répertoriées")</f>
        <v xml:space="preserve"> non répertoriées</v>
      </c>
      <c r="J512">
        <f>IFERROR(VLOOKUP(B512,'logos transformer '!A:B,2,FALSE),"na")</f>
        <v>2</v>
      </c>
      <c r="K512">
        <f>IFERROR(VLOOKUP(B512,'logos transformer '!A:C,3,FALSE),"na")</f>
        <v>88</v>
      </c>
      <c r="L512" s="1">
        <f>IFERROR(VLOOKUP(B512,'logos transformer '!A:D,4,FALSE),"na")</f>
        <v>45224.988194444442</v>
      </c>
    </row>
    <row r="513" spans="1:12" x14ac:dyDescent="0.3">
      <c r="A513" s="1">
        <v>45220.927777777782</v>
      </c>
      <c r="B513" t="s">
        <v>300</v>
      </c>
      <c r="C513">
        <v>22</v>
      </c>
      <c r="D513" t="s">
        <v>8</v>
      </c>
      <c r="E513" t="str">
        <f>IFERROR(VLOOKUP(logos[[#This Row],[Cell_ID]],'registe maintenance'!A:B,2,FALSE)," non répertoriées")</f>
        <v>Kasai</v>
      </c>
      <c r="F513">
        <f>IFERROR(VLOOKUP(logos[[#This Row],[Cell_ID]],'registe maintenance'!A:C,3,FALSE)," non répertoriées")</f>
        <v>1.5802860000000001</v>
      </c>
      <c r="G513">
        <f>IFERROR(VLOOKUP(logos[[#This Row],[Cell_ID]],'registe maintenance'!A:D,4,FALSE)," non répertoriées")</f>
        <v>20.99053</v>
      </c>
      <c r="H513" t="str">
        <f>IFERROR(VLOOKUP(logos[[#This Row],[Cell_ID]],'registe maintenance'!A:E,5,FALSE)," non répertoriées")</f>
        <v>4G</v>
      </c>
      <c r="I513" t="str">
        <f>IFERROR(VLOOKUP(logos[[#This Row],[Cell_ID]],'registe maintenance'!A:F,6,FALSE)," non répertoriées")</f>
        <v>ZTE</v>
      </c>
      <c r="J513">
        <f>IFERROR(VLOOKUP(B513,'logos transformer '!A:B,2,FALSE),"na")</f>
        <v>2</v>
      </c>
      <c r="K513">
        <f>IFERROR(VLOOKUP(B513,'logos transformer '!A:C,3,FALSE),"na")</f>
        <v>103</v>
      </c>
      <c r="L513" s="1">
        <f>IFERROR(VLOOKUP(B513,'logos transformer '!A:D,4,FALSE),"na")</f>
        <v>45220.927777777775</v>
      </c>
    </row>
    <row r="514" spans="1:12" x14ac:dyDescent="0.3">
      <c r="A514" s="1">
        <v>45219.633333333331</v>
      </c>
      <c r="B514" t="s">
        <v>396</v>
      </c>
      <c r="C514">
        <v>18</v>
      </c>
      <c r="D514" t="s">
        <v>10</v>
      </c>
      <c r="E514" t="str">
        <f>IFERROR(VLOOKUP(logos[[#This Row],[Cell_ID]],'registe maintenance'!A:B,2,FALSE)," non répertoriées")</f>
        <v xml:space="preserve"> non répertoriées</v>
      </c>
      <c r="F514" t="str">
        <f>IFERROR(VLOOKUP(logos[[#This Row],[Cell_ID]],'registe maintenance'!A:C,3,FALSE)," non répertoriées")</f>
        <v xml:space="preserve"> non répertoriées</v>
      </c>
      <c r="G514" t="str">
        <f>IFERROR(VLOOKUP(logos[[#This Row],[Cell_ID]],'registe maintenance'!A:D,4,FALSE)," non répertoriées")</f>
        <v xml:space="preserve"> non répertoriées</v>
      </c>
      <c r="H514" t="str">
        <f>IFERROR(VLOOKUP(logos[[#This Row],[Cell_ID]],'registe maintenance'!A:E,5,FALSE)," non répertoriées")</f>
        <v xml:space="preserve"> non répertoriées</v>
      </c>
      <c r="I514" t="str">
        <f>IFERROR(VLOOKUP(logos[[#This Row],[Cell_ID]],'registe maintenance'!A:F,6,FALSE)," non répertoriées")</f>
        <v xml:space="preserve"> non répertoriées</v>
      </c>
      <c r="J514">
        <f>IFERROR(VLOOKUP(B514,'logos transformer '!A:B,2,FALSE),"na")</f>
        <v>1</v>
      </c>
      <c r="K514">
        <f>IFERROR(VLOOKUP(B514,'logos transformer '!A:C,3,FALSE),"na")</f>
        <v>18</v>
      </c>
      <c r="L514" s="1">
        <f>IFERROR(VLOOKUP(B514,'logos transformer '!A:D,4,FALSE),"na")</f>
        <v>45219.633333333331</v>
      </c>
    </row>
    <row r="515" spans="1:12" x14ac:dyDescent="0.3">
      <c r="A515" s="1">
        <v>45230.303472222222</v>
      </c>
      <c r="B515" t="s">
        <v>397</v>
      </c>
      <c r="C515">
        <v>83</v>
      </c>
      <c r="D515" t="s">
        <v>10</v>
      </c>
      <c r="E515" t="str">
        <f>IFERROR(VLOOKUP(logos[[#This Row],[Cell_ID]],'registe maintenance'!A:B,2,FALSE)," non répertoriées")</f>
        <v>Kongo-Central</v>
      </c>
      <c r="F515">
        <f>IFERROR(VLOOKUP(logos[[#This Row],[Cell_ID]],'registe maintenance'!A:C,3,FALSE)," non répertoriées")</f>
        <v>-9.8208710000000004</v>
      </c>
      <c r="G515">
        <f>IFERROR(VLOOKUP(logos[[#This Row],[Cell_ID]],'registe maintenance'!A:D,4,FALSE)," non répertoriées")</f>
        <v>23.229807000000001</v>
      </c>
      <c r="H515" t="str">
        <f>IFERROR(VLOOKUP(logos[[#This Row],[Cell_ID]],'registe maintenance'!A:E,5,FALSE)," non répertoriées")</f>
        <v>5G</v>
      </c>
      <c r="I515" t="str">
        <f>IFERROR(VLOOKUP(logos[[#This Row],[Cell_ID]],'registe maintenance'!A:F,6,FALSE)," non répertoriées")</f>
        <v>Nokia</v>
      </c>
      <c r="J515">
        <f>IFERROR(VLOOKUP(B515,'logos transformer '!A:B,2,FALSE),"na")</f>
        <v>2</v>
      </c>
      <c r="K515">
        <f>IFERROR(VLOOKUP(B515,'logos transformer '!A:C,3,FALSE),"na")</f>
        <v>136</v>
      </c>
      <c r="L515" s="1">
        <f>IFERROR(VLOOKUP(B515,'logos transformer '!A:D,4,FALSE),"na")</f>
        <v>45230.303472222222</v>
      </c>
    </row>
    <row r="516" spans="1:12" x14ac:dyDescent="0.3">
      <c r="A516" s="1">
        <v>45217.384722222218</v>
      </c>
      <c r="B516" t="s">
        <v>398</v>
      </c>
      <c r="C516">
        <v>99</v>
      </c>
      <c r="D516" t="s">
        <v>8</v>
      </c>
      <c r="E516" t="str">
        <f>IFERROR(VLOOKUP(logos[[#This Row],[Cell_ID]],'registe maintenance'!A:B,2,FALSE)," non répertoriées")</f>
        <v>Haut-Lomami</v>
      </c>
      <c r="F516">
        <f>IFERROR(VLOOKUP(logos[[#This Row],[Cell_ID]],'registe maintenance'!A:C,3,FALSE)," non répertoriées")</f>
        <v>-4.8157019999999999</v>
      </c>
      <c r="G516">
        <f>IFERROR(VLOOKUP(logos[[#This Row],[Cell_ID]],'registe maintenance'!A:D,4,FALSE)," non répertoriées")</f>
        <v>27.679798000000002</v>
      </c>
      <c r="H516" t="str">
        <f>IFERROR(VLOOKUP(logos[[#This Row],[Cell_ID]],'registe maintenance'!A:E,5,FALSE)," non répertoriées")</f>
        <v>3G</v>
      </c>
      <c r="I516" t="str">
        <f>IFERROR(VLOOKUP(logos[[#This Row],[Cell_ID]],'registe maintenance'!A:F,6,FALSE)," non répertoriées")</f>
        <v>Ericsson</v>
      </c>
      <c r="J516">
        <f>IFERROR(VLOOKUP(B516,'logos transformer '!A:B,2,FALSE),"na")</f>
        <v>1</v>
      </c>
      <c r="K516">
        <f>IFERROR(VLOOKUP(B516,'logos transformer '!A:C,3,FALSE),"na")</f>
        <v>99</v>
      </c>
      <c r="L516" s="1">
        <f>IFERROR(VLOOKUP(B516,'logos transformer '!A:D,4,FALSE),"na")</f>
        <v>45217.384722222225</v>
      </c>
    </row>
    <row r="517" spans="1:12" x14ac:dyDescent="0.3">
      <c r="A517" s="1">
        <v>45230.40902777778</v>
      </c>
      <c r="B517" t="s">
        <v>399</v>
      </c>
      <c r="C517">
        <v>80</v>
      </c>
      <c r="D517" t="s">
        <v>8</v>
      </c>
      <c r="E517" t="str">
        <f>IFERROR(VLOOKUP(logos[[#This Row],[Cell_ID]],'registe maintenance'!A:B,2,FALSE)," non répertoriées")</f>
        <v>Kwilu</v>
      </c>
      <c r="F517">
        <f>IFERROR(VLOOKUP(logos[[#This Row],[Cell_ID]],'registe maintenance'!A:C,3,FALSE)," non répertoriées")</f>
        <v>0.62055499999999997</v>
      </c>
      <c r="G517">
        <f>IFERROR(VLOOKUP(logos[[#This Row],[Cell_ID]],'registe maintenance'!A:D,4,FALSE)," non répertoriées")</f>
        <v>21.222035000000002</v>
      </c>
      <c r="H517" t="str">
        <f>IFERROR(VLOOKUP(logos[[#This Row],[Cell_ID]],'registe maintenance'!A:E,5,FALSE)," non répertoriées")</f>
        <v>5G</v>
      </c>
      <c r="I517" t="str">
        <f>IFERROR(VLOOKUP(logos[[#This Row],[Cell_ID]],'registe maintenance'!A:F,6,FALSE)," non répertoriées")</f>
        <v>Nokia</v>
      </c>
      <c r="J517">
        <f>IFERROR(VLOOKUP(B517,'logos transformer '!A:B,2,FALSE),"na")</f>
        <v>2</v>
      </c>
      <c r="K517">
        <f>IFERROR(VLOOKUP(B517,'logos transformer '!A:C,3,FALSE),"na")</f>
        <v>110</v>
      </c>
      <c r="L517" s="1">
        <f>IFERROR(VLOOKUP(B517,'logos transformer '!A:D,4,FALSE),"na")</f>
        <v>45230.40902777778</v>
      </c>
    </row>
    <row r="518" spans="1:12" x14ac:dyDescent="0.3">
      <c r="A518" s="1">
        <v>45209.925694444442</v>
      </c>
      <c r="B518" t="s">
        <v>400</v>
      </c>
      <c r="C518">
        <v>35</v>
      </c>
      <c r="D518" t="s">
        <v>5</v>
      </c>
      <c r="E518" t="str">
        <f>IFERROR(VLOOKUP(logos[[#This Row],[Cell_ID]],'registe maintenance'!A:B,2,FALSE)," non répertoriées")</f>
        <v xml:space="preserve"> non répertoriées</v>
      </c>
      <c r="F518" t="str">
        <f>IFERROR(VLOOKUP(logos[[#This Row],[Cell_ID]],'registe maintenance'!A:C,3,FALSE)," non répertoriées")</f>
        <v xml:space="preserve"> non répertoriées</v>
      </c>
      <c r="G518" t="str">
        <f>IFERROR(VLOOKUP(logos[[#This Row],[Cell_ID]],'registe maintenance'!A:D,4,FALSE)," non répertoriées")</f>
        <v xml:space="preserve"> non répertoriées</v>
      </c>
      <c r="H518" t="str">
        <f>IFERROR(VLOOKUP(logos[[#This Row],[Cell_ID]],'registe maintenance'!A:E,5,FALSE)," non répertoriées")</f>
        <v xml:space="preserve"> non répertoriées</v>
      </c>
      <c r="I518" t="str">
        <f>IFERROR(VLOOKUP(logos[[#This Row],[Cell_ID]],'registe maintenance'!A:F,6,FALSE)," non répertoriées")</f>
        <v xml:space="preserve"> non répertoriées</v>
      </c>
      <c r="J518">
        <f>IFERROR(VLOOKUP(B518,'logos transformer '!A:B,2,FALSE),"na")</f>
        <v>1</v>
      </c>
      <c r="K518">
        <f>IFERROR(VLOOKUP(B518,'logos transformer '!A:C,3,FALSE),"na")</f>
        <v>35</v>
      </c>
      <c r="L518" s="1">
        <f>IFERROR(VLOOKUP(B518,'logos transformer '!A:D,4,FALSE),"na")</f>
        <v>45209.925694444442</v>
      </c>
    </row>
    <row r="519" spans="1:12" x14ac:dyDescent="0.3">
      <c r="A519" s="1">
        <v>45222.938194444447</v>
      </c>
      <c r="B519" t="s">
        <v>401</v>
      </c>
      <c r="C519">
        <v>36</v>
      </c>
      <c r="D519" t="s">
        <v>5</v>
      </c>
      <c r="E519" t="str">
        <f>IFERROR(VLOOKUP(logos[[#This Row],[Cell_ID]],'registe maintenance'!A:B,2,FALSE)," non répertoriées")</f>
        <v xml:space="preserve"> non répertoriées</v>
      </c>
      <c r="F519" t="str">
        <f>IFERROR(VLOOKUP(logos[[#This Row],[Cell_ID]],'registe maintenance'!A:C,3,FALSE)," non répertoriées")</f>
        <v xml:space="preserve"> non répertoriées</v>
      </c>
      <c r="G519" t="str">
        <f>IFERROR(VLOOKUP(logos[[#This Row],[Cell_ID]],'registe maintenance'!A:D,4,FALSE)," non répertoriées")</f>
        <v xml:space="preserve"> non répertoriées</v>
      </c>
      <c r="H519" t="str">
        <f>IFERROR(VLOOKUP(logos[[#This Row],[Cell_ID]],'registe maintenance'!A:E,5,FALSE)," non répertoriées")</f>
        <v xml:space="preserve"> non répertoriées</v>
      </c>
      <c r="I519" t="str">
        <f>IFERROR(VLOOKUP(logos[[#This Row],[Cell_ID]],'registe maintenance'!A:F,6,FALSE)," non répertoriées")</f>
        <v xml:space="preserve"> non répertoriées</v>
      </c>
      <c r="J519">
        <f>IFERROR(VLOOKUP(B519,'logos transformer '!A:B,2,FALSE),"na")</f>
        <v>1</v>
      </c>
      <c r="K519">
        <f>IFERROR(VLOOKUP(B519,'logos transformer '!A:C,3,FALSE),"na")</f>
        <v>36</v>
      </c>
      <c r="L519" s="1">
        <f>IFERROR(VLOOKUP(B519,'logos transformer '!A:D,4,FALSE),"na")</f>
        <v>45222.938194444447</v>
      </c>
    </row>
    <row r="520" spans="1:12" x14ac:dyDescent="0.3">
      <c r="A520" s="1">
        <v>45202.529166666667</v>
      </c>
      <c r="B520" t="s">
        <v>402</v>
      </c>
      <c r="C520">
        <v>109</v>
      </c>
      <c r="D520" t="s">
        <v>8</v>
      </c>
      <c r="E520" t="str">
        <f>IFERROR(VLOOKUP(logos[[#This Row],[Cell_ID]],'registe maintenance'!A:B,2,FALSE)," non répertoriées")</f>
        <v>Haut-Uele</v>
      </c>
      <c r="F520">
        <f>IFERROR(VLOOKUP(logos[[#This Row],[Cell_ID]],'registe maintenance'!A:C,3,FALSE)," non répertoriées")</f>
        <v>-7.1483749999999997</v>
      </c>
      <c r="G520">
        <f>IFERROR(VLOOKUP(logos[[#This Row],[Cell_ID]],'registe maintenance'!A:D,4,FALSE)," non répertoriées")</f>
        <v>26.014271000000001</v>
      </c>
      <c r="H520" t="str">
        <f>IFERROR(VLOOKUP(logos[[#This Row],[Cell_ID]],'registe maintenance'!A:E,5,FALSE)," non répertoriées")</f>
        <v>5G</v>
      </c>
      <c r="I520" t="str">
        <f>IFERROR(VLOOKUP(logos[[#This Row],[Cell_ID]],'registe maintenance'!A:F,6,FALSE)," non répertoriées")</f>
        <v>Huawei</v>
      </c>
      <c r="J520">
        <f>IFERROR(VLOOKUP(B520,'logos transformer '!A:B,2,FALSE),"na")</f>
        <v>3</v>
      </c>
      <c r="K520">
        <f>IFERROR(VLOOKUP(B520,'logos transformer '!A:C,3,FALSE),"na")</f>
        <v>291</v>
      </c>
      <c r="L520" s="1">
        <f>IFERROR(VLOOKUP(B520,'logos transformer '!A:D,4,FALSE),"na")</f>
        <v>45219.527083333334</v>
      </c>
    </row>
    <row r="521" spans="1:12" x14ac:dyDescent="0.3">
      <c r="A521" s="1">
        <v>45203.213888888888</v>
      </c>
      <c r="B521" t="s">
        <v>403</v>
      </c>
      <c r="C521">
        <v>5</v>
      </c>
      <c r="D521" t="s">
        <v>5</v>
      </c>
      <c r="E521" t="str">
        <f>IFERROR(VLOOKUP(logos[[#This Row],[Cell_ID]],'registe maintenance'!A:B,2,FALSE)," non répertoriées")</f>
        <v>Nord-Kivu</v>
      </c>
      <c r="F521">
        <f>IFERROR(VLOOKUP(logos[[#This Row],[Cell_ID]],'registe maintenance'!A:C,3,FALSE)," non répertoriées")</f>
        <v>-6.5332999999999997</v>
      </c>
      <c r="G521">
        <f>IFERROR(VLOOKUP(logos[[#This Row],[Cell_ID]],'registe maintenance'!A:D,4,FALSE)," non répertoriées")</f>
        <v>20.098018</v>
      </c>
      <c r="H521" t="str">
        <f>IFERROR(VLOOKUP(logos[[#This Row],[Cell_ID]],'registe maintenance'!A:E,5,FALSE)," non répertoriées")</f>
        <v>4G</v>
      </c>
      <c r="I521" t="str">
        <f>IFERROR(VLOOKUP(logos[[#This Row],[Cell_ID]],'registe maintenance'!A:F,6,FALSE)," non répertoriées")</f>
        <v>Huawei</v>
      </c>
      <c r="J521">
        <f>IFERROR(VLOOKUP(B521,'logos transformer '!A:B,2,FALSE),"na")</f>
        <v>1</v>
      </c>
      <c r="K521">
        <f>IFERROR(VLOOKUP(B521,'logos transformer '!A:C,3,FALSE),"na")</f>
        <v>5</v>
      </c>
      <c r="L521" s="1">
        <f>IFERROR(VLOOKUP(B521,'logos transformer '!A:D,4,FALSE),"na")</f>
        <v>45203.213888888888</v>
      </c>
    </row>
    <row r="522" spans="1:12" x14ac:dyDescent="0.3">
      <c r="A522" s="1">
        <v>45215.457638888889</v>
      </c>
      <c r="B522" t="s">
        <v>404</v>
      </c>
      <c r="C522">
        <v>100</v>
      </c>
      <c r="D522" t="s">
        <v>5</v>
      </c>
      <c r="E522" t="str">
        <f>IFERROR(VLOOKUP(logos[[#This Row],[Cell_ID]],'registe maintenance'!A:B,2,FALSE)," non répertoriées")</f>
        <v>Tanganyika</v>
      </c>
      <c r="F522">
        <f>IFERROR(VLOOKUP(logos[[#This Row],[Cell_ID]],'registe maintenance'!A:C,3,FALSE)," non répertoriées")</f>
        <v>-11.793894</v>
      </c>
      <c r="G522">
        <f>IFERROR(VLOOKUP(logos[[#This Row],[Cell_ID]],'registe maintenance'!A:D,4,FALSE)," non répertoriées")</f>
        <v>20.433340999999999</v>
      </c>
      <c r="H522" t="str">
        <f>IFERROR(VLOOKUP(logos[[#This Row],[Cell_ID]],'registe maintenance'!A:E,5,FALSE)," non répertoriées")</f>
        <v>5G</v>
      </c>
      <c r="I522" t="str">
        <f>IFERROR(VLOOKUP(logos[[#This Row],[Cell_ID]],'registe maintenance'!A:F,6,FALSE)," non répertoriées")</f>
        <v>Nokia</v>
      </c>
      <c r="J522">
        <f>IFERROR(VLOOKUP(B522,'logos transformer '!A:B,2,FALSE),"na")</f>
        <v>2</v>
      </c>
      <c r="K522">
        <f>IFERROR(VLOOKUP(B522,'logos transformer '!A:C,3,FALSE),"na")</f>
        <v>206</v>
      </c>
      <c r="L522" s="1">
        <f>IFERROR(VLOOKUP(B522,'logos transformer '!A:D,4,FALSE),"na")</f>
        <v>45215.457638888889</v>
      </c>
    </row>
    <row r="523" spans="1:12" x14ac:dyDescent="0.3">
      <c r="A523" s="1">
        <v>45207.011111111111</v>
      </c>
      <c r="B523" t="s">
        <v>405</v>
      </c>
      <c r="C523">
        <v>32</v>
      </c>
      <c r="D523" t="s">
        <v>5</v>
      </c>
      <c r="E523" t="str">
        <f>IFERROR(VLOOKUP(logos[[#This Row],[Cell_ID]],'registe maintenance'!A:B,2,FALSE)," non répertoriées")</f>
        <v>Kasai-Central</v>
      </c>
      <c r="F523">
        <f>IFERROR(VLOOKUP(logos[[#This Row],[Cell_ID]],'registe maintenance'!A:C,3,FALSE)," non répertoriées")</f>
        <v>1.897178</v>
      </c>
      <c r="G523">
        <f>IFERROR(VLOOKUP(logos[[#This Row],[Cell_ID]],'registe maintenance'!A:D,4,FALSE)," non répertoriées")</f>
        <v>23.902604</v>
      </c>
      <c r="H523" t="str">
        <f>IFERROR(VLOOKUP(logos[[#This Row],[Cell_ID]],'registe maintenance'!A:E,5,FALSE)," non répertoriées")</f>
        <v>3G</v>
      </c>
      <c r="I523" t="str">
        <f>IFERROR(VLOOKUP(logos[[#This Row],[Cell_ID]],'registe maintenance'!A:F,6,FALSE)," non répertoriées")</f>
        <v>Nokia</v>
      </c>
      <c r="J523">
        <f>IFERROR(VLOOKUP(B523,'logos transformer '!A:B,2,FALSE),"na")</f>
        <v>1</v>
      </c>
      <c r="K523">
        <f>IFERROR(VLOOKUP(B523,'logos transformer '!A:C,3,FALSE),"na")</f>
        <v>32</v>
      </c>
      <c r="L523" s="1">
        <f>IFERROR(VLOOKUP(B523,'logos transformer '!A:D,4,FALSE),"na")</f>
        <v>45207.011111111111</v>
      </c>
    </row>
    <row r="524" spans="1:12" x14ac:dyDescent="0.3">
      <c r="A524" s="1">
        <v>45212.311111111107</v>
      </c>
      <c r="B524" t="s">
        <v>17</v>
      </c>
      <c r="C524">
        <v>79</v>
      </c>
      <c r="D524" t="s">
        <v>5</v>
      </c>
      <c r="E524" t="str">
        <f>IFERROR(VLOOKUP(logos[[#This Row],[Cell_ID]],'registe maintenance'!A:B,2,FALSE)," non répertoriées")</f>
        <v>Kwango</v>
      </c>
      <c r="F524">
        <f>IFERROR(VLOOKUP(logos[[#This Row],[Cell_ID]],'registe maintenance'!A:C,3,FALSE)," non répertoriées")</f>
        <v>4.8319039999999998</v>
      </c>
      <c r="G524">
        <f>IFERROR(VLOOKUP(logos[[#This Row],[Cell_ID]],'registe maintenance'!A:D,4,FALSE)," non répertoriées")</f>
        <v>20.733468999999999</v>
      </c>
      <c r="H524" t="str">
        <f>IFERROR(VLOOKUP(logos[[#This Row],[Cell_ID]],'registe maintenance'!A:E,5,FALSE)," non répertoriées")</f>
        <v>5G</v>
      </c>
      <c r="I524" t="str">
        <f>IFERROR(VLOOKUP(logos[[#This Row],[Cell_ID]],'registe maintenance'!A:F,6,FALSE)," non répertoriées")</f>
        <v>Ericsson</v>
      </c>
      <c r="J524">
        <f>IFERROR(VLOOKUP(B524,'logos transformer '!A:B,2,FALSE),"na")</f>
        <v>2</v>
      </c>
      <c r="K524">
        <f>IFERROR(VLOOKUP(B524,'logos transformer '!A:C,3,FALSE),"na")</f>
        <v>101</v>
      </c>
      <c r="L524" s="1">
        <f>IFERROR(VLOOKUP(B524,'logos transformer '!A:D,4,FALSE),"na")</f>
        <v>45213.311111111114</v>
      </c>
    </row>
    <row r="525" spans="1:12" x14ac:dyDescent="0.3">
      <c r="A525" s="1">
        <v>45224.347916666673</v>
      </c>
      <c r="B525" t="s">
        <v>406</v>
      </c>
      <c r="C525">
        <v>14</v>
      </c>
      <c r="D525" t="s">
        <v>5</v>
      </c>
      <c r="E525" t="str">
        <f>IFERROR(VLOOKUP(logos[[#This Row],[Cell_ID]],'registe maintenance'!A:B,2,FALSE)," non répertoriées")</f>
        <v>Tshuapa</v>
      </c>
      <c r="F525">
        <f>IFERROR(VLOOKUP(logos[[#This Row],[Cell_ID]],'registe maintenance'!A:C,3,FALSE)," non répertoriées")</f>
        <v>-7.789663</v>
      </c>
      <c r="G525">
        <f>IFERROR(VLOOKUP(logos[[#This Row],[Cell_ID]],'registe maintenance'!A:D,4,FALSE)," non répertoriées")</f>
        <v>26.529098000000001</v>
      </c>
      <c r="H525" t="str">
        <f>IFERROR(VLOOKUP(logos[[#This Row],[Cell_ID]],'registe maintenance'!A:E,5,FALSE)," non répertoriées")</f>
        <v>5G</v>
      </c>
      <c r="I525" t="str">
        <f>IFERROR(VLOOKUP(logos[[#This Row],[Cell_ID]],'registe maintenance'!A:F,6,FALSE)," non répertoriées")</f>
        <v>Nokia</v>
      </c>
      <c r="J525">
        <f>IFERROR(VLOOKUP(B525,'logos transformer '!A:B,2,FALSE),"na")</f>
        <v>2</v>
      </c>
      <c r="K525">
        <f>IFERROR(VLOOKUP(B525,'logos transformer '!A:C,3,FALSE),"na")</f>
        <v>81</v>
      </c>
      <c r="L525" s="1">
        <f>IFERROR(VLOOKUP(B525,'logos transformer '!A:D,4,FALSE),"na")</f>
        <v>45224.347916666666</v>
      </c>
    </row>
    <row r="526" spans="1:12" x14ac:dyDescent="0.3">
      <c r="A526" s="1">
        <v>45209.781944444447</v>
      </c>
      <c r="B526" t="s">
        <v>374</v>
      </c>
      <c r="C526">
        <v>10</v>
      </c>
      <c r="D526" t="s">
        <v>8</v>
      </c>
      <c r="E526" t="str">
        <f>IFERROR(VLOOKUP(logos[[#This Row],[Cell_ID]],'registe maintenance'!A:B,2,FALSE)," non répertoriées")</f>
        <v xml:space="preserve"> non répertoriées</v>
      </c>
      <c r="F526" t="str">
        <f>IFERROR(VLOOKUP(logos[[#This Row],[Cell_ID]],'registe maintenance'!A:C,3,FALSE)," non répertoriées")</f>
        <v xml:space="preserve"> non répertoriées</v>
      </c>
      <c r="G526" t="str">
        <f>IFERROR(VLOOKUP(logos[[#This Row],[Cell_ID]],'registe maintenance'!A:D,4,FALSE)," non répertoriées")</f>
        <v xml:space="preserve"> non répertoriées</v>
      </c>
      <c r="H526" t="str">
        <f>IFERROR(VLOOKUP(logos[[#This Row],[Cell_ID]],'registe maintenance'!A:E,5,FALSE)," non répertoriées")</f>
        <v xml:space="preserve"> non répertoriées</v>
      </c>
      <c r="I526" t="str">
        <f>IFERROR(VLOOKUP(logos[[#This Row],[Cell_ID]],'registe maintenance'!A:F,6,FALSE)," non répertoriées")</f>
        <v xml:space="preserve"> non répertoriées</v>
      </c>
      <c r="J526">
        <f>IFERROR(VLOOKUP(B526,'logos transformer '!A:B,2,FALSE),"na")</f>
        <v>3</v>
      </c>
      <c r="K526">
        <f>IFERROR(VLOOKUP(B526,'logos transformer '!A:C,3,FALSE),"na")</f>
        <v>105</v>
      </c>
      <c r="L526" s="1">
        <f>IFERROR(VLOOKUP(B526,'logos transformer '!A:D,4,FALSE),"na")</f>
        <v>45219.453472222223</v>
      </c>
    </row>
    <row r="527" spans="1:12" x14ac:dyDescent="0.3">
      <c r="A527" s="1">
        <v>45218.011111111111</v>
      </c>
      <c r="B527" t="s">
        <v>407</v>
      </c>
      <c r="C527">
        <v>59</v>
      </c>
      <c r="D527" t="s">
        <v>5</v>
      </c>
      <c r="E527" t="str">
        <f>IFERROR(VLOOKUP(logos[[#This Row],[Cell_ID]],'registe maintenance'!A:B,2,FALSE)," non répertoriées")</f>
        <v xml:space="preserve"> non répertoriées</v>
      </c>
      <c r="F527" t="str">
        <f>IFERROR(VLOOKUP(logos[[#This Row],[Cell_ID]],'registe maintenance'!A:C,3,FALSE)," non répertoriées")</f>
        <v xml:space="preserve"> non répertoriées</v>
      </c>
      <c r="G527" t="str">
        <f>IFERROR(VLOOKUP(logos[[#This Row],[Cell_ID]],'registe maintenance'!A:D,4,FALSE)," non répertoriées")</f>
        <v xml:space="preserve"> non répertoriées</v>
      </c>
      <c r="H527" t="str">
        <f>IFERROR(VLOOKUP(logos[[#This Row],[Cell_ID]],'registe maintenance'!A:E,5,FALSE)," non répertoriées")</f>
        <v xml:space="preserve"> non répertoriées</v>
      </c>
      <c r="I527" t="str">
        <f>IFERROR(VLOOKUP(logos[[#This Row],[Cell_ID]],'registe maintenance'!A:F,6,FALSE)," non répertoriées")</f>
        <v xml:space="preserve"> non répertoriées</v>
      </c>
      <c r="J527">
        <f>IFERROR(VLOOKUP(B527,'logos transformer '!A:B,2,FALSE),"na")</f>
        <v>1</v>
      </c>
      <c r="K527">
        <f>IFERROR(VLOOKUP(B527,'logos transformer '!A:C,3,FALSE),"na")</f>
        <v>59</v>
      </c>
      <c r="L527" s="1">
        <f>IFERROR(VLOOKUP(B527,'logos transformer '!A:D,4,FALSE),"na")</f>
        <v>45218.011111111111</v>
      </c>
    </row>
    <row r="528" spans="1:12" x14ac:dyDescent="0.3">
      <c r="A528" s="1">
        <v>45220.488888888889</v>
      </c>
      <c r="B528" t="s">
        <v>92</v>
      </c>
      <c r="C528">
        <v>49</v>
      </c>
      <c r="D528" t="s">
        <v>10</v>
      </c>
      <c r="E528" t="str">
        <f>IFERROR(VLOOKUP(logos[[#This Row],[Cell_ID]],'registe maintenance'!A:B,2,FALSE)," non répertoriées")</f>
        <v>Sud-Ubangi</v>
      </c>
      <c r="F528">
        <f>IFERROR(VLOOKUP(logos[[#This Row],[Cell_ID]],'registe maintenance'!A:C,3,FALSE)," non répertoriées")</f>
        <v>-9.3652239999999995</v>
      </c>
      <c r="G528">
        <f>IFERROR(VLOOKUP(logos[[#This Row],[Cell_ID]],'registe maintenance'!A:D,4,FALSE)," non répertoriées")</f>
        <v>22.593423999999999</v>
      </c>
      <c r="H528" t="str">
        <f>IFERROR(VLOOKUP(logos[[#This Row],[Cell_ID]],'registe maintenance'!A:E,5,FALSE)," non répertoriées")</f>
        <v>5G</v>
      </c>
      <c r="I528" t="str">
        <f>IFERROR(VLOOKUP(logos[[#This Row],[Cell_ID]],'registe maintenance'!A:F,6,FALSE)," non répertoriées")</f>
        <v>Nokia</v>
      </c>
      <c r="J528">
        <f>IFERROR(VLOOKUP(B528,'logos transformer '!A:B,2,FALSE),"na")</f>
        <v>2</v>
      </c>
      <c r="K528">
        <f>IFERROR(VLOOKUP(B528,'logos transformer '!A:C,3,FALSE),"na")</f>
        <v>97</v>
      </c>
      <c r="L528" s="1">
        <f>IFERROR(VLOOKUP(B528,'logos transformer '!A:D,4,FALSE),"na")</f>
        <v>45220.488888888889</v>
      </c>
    </row>
    <row r="529" spans="1:12" x14ac:dyDescent="0.3">
      <c r="A529" s="1">
        <v>45207.070833333331</v>
      </c>
      <c r="B529" t="s">
        <v>408</v>
      </c>
      <c r="C529">
        <v>94</v>
      </c>
      <c r="D529" t="s">
        <v>8</v>
      </c>
      <c r="E529" t="str">
        <f>IFERROR(VLOOKUP(logos[[#This Row],[Cell_ID]],'registe maintenance'!A:B,2,FALSE)," non répertoriées")</f>
        <v>Equateur</v>
      </c>
      <c r="F529">
        <f>IFERROR(VLOOKUP(logos[[#This Row],[Cell_ID]],'registe maintenance'!A:C,3,FALSE)," non répertoriées")</f>
        <v>-1.1284540000000001</v>
      </c>
      <c r="G529">
        <f>IFERROR(VLOOKUP(logos[[#This Row],[Cell_ID]],'registe maintenance'!A:D,4,FALSE)," non répertoriées")</f>
        <v>23.000360000000001</v>
      </c>
      <c r="H529" t="str">
        <f>IFERROR(VLOOKUP(logos[[#This Row],[Cell_ID]],'registe maintenance'!A:E,5,FALSE)," non répertoriées")</f>
        <v>5G</v>
      </c>
      <c r="I529" t="str">
        <f>IFERROR(VLOOKUP(logos[[#This Row],[Cell_ID]],'registe maintenance'!A:F,6,FALSE)," non répertoriées")</f>
        <v>Ericsson</v>
      </c>
      <c r="J529">
        <f>IFERROR(VLOOKUP(B529,'logos transformer '!A:B,2,FALSE),"na")</f>
        <v>1</v>
      </c>
      <c r="K529">
        <f>IFERROR(VLOOKUP(B529,'logos transformer '!A:C,3,FALSE),"na")</f>
        <v>94</v>
      </c>
      <c r="L529" s="1">
        <f>IFERROR(VLOOKUP(B529,'logos transformer '!A:D,4,FALSE),"na")</f>
        <v>45207.070833333331</v>
      </c>
    </row>
    <row r="530" spans="1:12" x14ac:dyDescent="0.3">
      <c r="A530" s="1">
        <v>45203.59652777778</v>
      </c>
      <c r="B530" t="s">
        <v>409</v>
      </c>
      <c r="C530">
        <v>13</v>
      </c>
      <c r="D530" t="s">
        <v>8</v>
      </c>
      <c r="E530" t="str">
        <f>IFERROR(VLOOKUP(logos[[#This Row],[Cell_ID]],'registe maintenance'!A:B,2,FALSE)," non répertoriées")</f>
        <v>Tshuapa</v>
      </c>
      <c r="F530">
        <f>IFERROR(VLOOKUP(logos[[#This Row],[Cell_ID]],'registe maintenance'!A:C,3,FALSE)," non répertoriées")</f>
        <v>-1.9540519999999999</v>
      </c>
      <c r="G530">
        <f>IFERROR(VLOOKUP(logos[[#This Row],[Cell_ID]],'registe maintenance'!A:D,4,FALSE)," non répertoriées")</f>
        <v>12.667945</v>
      </c>
      <c r="H530" t="str">
        <f>IFERROR(VLOOKUP(logos[[#This Row],[Cell_ID]],'registe maintenance'!A:E,5,FALSE)," non répertoriées")</f>
        <v>4G</v>
      </c>
      <c r="I530" t="str">
        <f>IFERROR(VLOOKUP(logos[[#This Row],[Cell_ID]],'registe maintenance'!A:F,6,FALSE)," non répertoriées")</f>
        <v>Huawei</v>
      </c>
      <c r="J530">
        <f>IFERROR(VLOOKUP(B530,'logos transformer '!A:B,2,FALSE),"na")</f>
        <v>2</v>
      </c>
      <c r="K530">
        <f>IFERROR(VLOOKUP(B530,'logos transformer '!A:C,3,FALSE),"na")</f>
        <v>75</v>
      </c>
      <c r="L530" s="1">
        <f>IFERROR(VLOOKUP(B530,'logos transformer '!A:D,4,FALSE),"na")</f>
        <v>45230.913194444445</v>
      </c>
    </row>
    <row r="531" spans="1:12" x14ac:dyDescent="0.3">
      <c r="A531" s="1">
        <v>45205.529861111107</v>
      </c>
      <c r="B531" t="s">
        <v>86</v>
      </c>
      <c r="C531">
        <v>74</v>
      </c>
      <c r="D531" t="s">
        <v>8</v>
      </c>
      <c r="E531" t="str">
        <f>IFERROR(VLOOKUP(logos[[#This Row],[Cell_ID]],'registe maintenance'!A:B,2,FALSE)," non répertoriées")</f>
        <v>Mongala</v>
      </c>
      <c r="F531">
        <f>IFERROR(VLOOKUP(logos[[#This Row],[Cell_ID]],'registe maintenance'!A:C,3,FALSE)," non répertoriées")</f>
        <v>-11.514188000000001</v>
      </c>
      <c r="G531">
        <f>IFERROR(VLOOKUP(logos[[#This Row],[Cell_ID]],'registe maintenance'!A:D,4,FALSE)," non répertoriées")</f>
        <v>15.971181</v>
      </c>
      <c r="H531" t="str">
        <f>IFERROR(VLOOKUP(logos[[#This Row],[Cell_ID]],'registe maintenance'!A:E,5,FALSE)," non répertoriées")</f>
        <v>5G</v>
      </c>
      <c r="I531" t="str">
        <f>IFERROR(VLOOKUP(logos[[#This Row],[Cell_ID]],'registe maintenance'!A:F,6,FALSE)," non répertoriées")</f>
        <v>Ericsson</v>
      </c>
      <c r="J531">
        <f>IFERROR(VLOOKUP(B531,'logos transformer '!A:B,2,FALSE),"na")</f>
        <v>2</v>
      </c>
      <c r="K531">
        <f>IFERROR(VLOOKUP(B531,'logos transformer '!A:C,3,FALSE),"na")</f>
        <v>98</v>
      </c>
      <c r="L531" s="1">
        <f>IFERROR(VLOOKUP(B531,'logos transformer '!A:D,4,FALSE),"na")</f>
        <v>45221.775000000001</v>
      </c>
    </row>
    <row r="532" spans="1:12" x14ac:dyDescent="0.3">
      <c r="A532" s="1">
        <v>45216.950694444437</v>
      </c>
      <c r="B532" t="s">
        <v>6</v>
      </c>
      <c r="C532">
        <v>12</v>
      </c>
      <c r="D532" t="s">
        <v>5</v>
      </c>
      <c r="E532" t="str">
        <f>IFERROR(VLOOKUP(logos[[#This Row],[Cell_ID]],'registe maintenance'!A:B,2,FALSE)," non répertoriées")</f>
        <v xml:space="preserve"> non répertoriées</v>
      </c>
      <c r="F532" t="str">
        <f>IFERROR(VLOOKUP(logos[[#This Row],[Cell_ID]],'registe maintenance'!A:C,3,FALSE)," non répertoriées")</f>
        <v xml:space="preserve"> non répertoriées</v>
      </c>
      <c r="G532" t="str">
        <f>IFERROR(VLOOKUP(logos[[#This Row],[Cell_ID]],'registe maintenance'!A:D,4,FALSE)," non répertoriées")</f>
        <v xml:space="preserve"> non répertoriées</v>
      </c>
      <c r="H532" t="str">
        <f>IFERROR(VLOOKUP(logos[[#This Row],[Cell_ID]],'registe maintenance'!A:E,5,FALSE)," non répertoriées")</f>
        <v xml:space="preserve"> non répertoriées</v>
      </c>
      <c r="I532" t="str">
        <f>IFERROR(VLOOKUP(logos[[#This Row],[Cell_ID]],'registe maintenance'!A:F,6,FALSE)," non répertoriées")</f>
        <v xml:space="preserve"> non répertoriées</v>
      </c>
      <c r="J532">
        <f>IFERROR(VLOOKUP(B532,'logos transformer '!A:B,2,FALSE),"na")</f>
        <v>3</v>
      </c>
      <c r="K532">
        <f>IFERROR(VLOOKUP(B532,'logos transformer '!A:C,3,FALSE),"na")</f>
        <v>161</v>
      </c>
      <c r="L532" s="1">
        <f>IFERROR(VLOOKUP(B532,'logos transformer '!A:D,4,FALSE),"na")</f>
        <v>45226.003472222219</v>
      </c>
    </row>
    <row r="533" spans="1:12" x14ac:dyDescent="0.3">
      <c r="A533" s="1">
        <v>45209.921527777777</v>
      </c>
      <c r="B533" t="s">
        <v>191</v>
      </c>
      <c r="C533">
        <v>119</v>
      </c>
      <c r="D533" t="s">
        <v>5</v>
      </c>
      <c r="E533" t="str">
        <f>IFERROR(VLOOKUP(logos[[#This Row],[Cell_ID]],'registe maintenance'!A:B,2,FALSE)," non répertoriées")</f>
        <v>Bas-Uele</v>
      </c>
      <c r="F533">
        <f>IFERROR(VLOOKUP(logos[[#This Row],[Cell_ID]],'registe maintenance'!A:C,3,FALSE)," non répertoriées")</f>
        <v>1.5278670000000001</v>
      </c>
      <c r="G533">
        <f>IFERROR(VLOOKUP(logos[[#This Row],[Cell_ID]],'registe maintenance'!A:D,4,FALSE)," non répertoriées")</f>
        <v>13.899388999999999</v>
      </c>
      <c r="H533" t="str">
        <f>IFERROR(VLOOKUP(logos[[#This Row],[Cell_ID]],'registe maintenance'!A:E,5,FALSE)," non répertoriées")</f>
        <v>3G</v>
      </c>
      <c r="I533" t="str">
        <f>IFERROR(VLOOKUP(logos[[#This Row],[Cell_ID]],'registe maintenance'!A:F,6,FALSE)," non répertoriées")</f>
        <v>Huawei</v>
      </c>
      <c r="J533">
        <f>IFERROR(VLOOKUP(B533,'logos transformer '!A:B,2,FALSE),"na")</f>
        <v>5</v>
      </c>
      <c r="K533">
        <f>IFERROR(VLOOKUP(B533,'logos transformer '!A:C,3,FALSE),"na")</f>
        <v>273</v>
      </c>
      <c r="L533" s="1">
        <f>IFERROR(VLOOKUP(B533,'logos transformer '!A:D,4,FALSE),"na")</f>
        <v>45223.436111111114</v>
      </c>
    </row>
    <row r="534" spans="1:12" x14ac:dyDescent="0.3">
      <c r="A534" s="1">
        <v>45220.390972222223</v>
      </c>
      <c r="B534" t="s">
        <v>373</v>
      </c>
      <c r="C534">
        <v>13</v>
      </c>
      <c r="D534" t="s">
        <v>8</v>
      </c>
      <c r="E534" t="str">
        <f>IFERROR(VLOOKUP(logos[[#This Row],[Cell_ID]],'registe maintenance'!A:B,2,FALSE)," non répertoriées")</f>
        <v xml:space="preserve"> non répertoriées</v>
      </c>
      <c r="F534" t="str">
        <f>IFERROR(VLOOKUP(logos[[#This Row],[Cell_ID]],'registe maintenance'!A:C,3,FALSE)," non répertoriées")</f>
        <v xml:space="preserve"> non répertoriées</v>
      </c>
      <c r="G534" t="str">
        <f>IFERROR(VLOOKUP(logos[[#This Row],[Cell_ID]],'registe maintenance'!A:D,4,FALSE)," non répertoriées")</f>
        <v xml:space="preserve"> non répertoriées</v>
      </c>
      <c r="H534" t="str">
        <f>IFERROR(VLOOKUP(logos[[#This Row],[Cell_ID]],'registe maintenance'!A:E,5,FALSE)," non répertoriées")</f>
        <v xml:space="preserve"> non répertoriées</v>
      </c>
      <c r="I534" t="str">
        <f>IFERROR(VLOOKUP(logos[[#This Row],[Cell_ID]],'registe maintenance'!A:F,6,FALSE)," non répertoriées")</f>
        <v xml:space="preserve"> non répertoriées</v>
      </c>
      <c r="J534">
        <f>IFERROR(VLOOKUP(B534,'logos transformer '!A:B,2,FALSE),"na")</f>
        <v>2</v>
      </c>
      <c r="K534">
        <f>IFERROR(VLOOKUP(B534,'logos transformer '!A:C,3,FALSE),"na")</f>
        <v>69</v>
      </c>
      <c r="L534" s="1">
        <f>IFERROR(VLOOKUP(B534,'logos transformer '!A:D,4,FALSE),"na")</f>
        <v>45220.390972222223</v>
      </c>
    </row>
    <row r="535" spans="1:12" x14ac:dyDescent="0.3">
      <c r="A535" s="1">
        <v>45219.301388888889</v>
      </c>
      <c r="B535" t="s">
        <v>23</v>
      </c>
      <c r="C535">
        <v>65</v>
      </c>
      <c r="D535" t="s">
        <v>5</v>
      </c>
      <c r="E535" t="str">
        <f>IFERROR(VLOOKUP(logos[[#This Row],[Cell_ID]],'registe maintenance'!A:B,2,FALSE)," non répertoriées")</f>
        <v xml:space="preserve"> non répertoriées</v>
      </c>
      <c r="F535" t="str">
        <f>IFERROR(VLOOKUP(logos[[#This Row],[Cell_ID]],'registe maintenance'!A:C,3,FALSE)," non répertoriées")</f>
        <v xml:space="preserve"> non répertoriées</v>
      </c>
      <c r="G535" t="str">
        <f>IFERROR(VLOOKUP(logos[[#This Row],[Cell_ID]],'registe maintenance'!A:D,4,FALSE)," non répertoriées")</f>
        <v xml:space="preserve"> non répertoriées</v>
      </c>
      <c r="H535" t="str">
        <f>IFERROR(VLOOKUP(logos[[#This Row],[Cell_ID]],'registe maintenance'!A:E,5,FALSE)," non répertoriées")</f>
        <v xml:space="preserve"> non répertoriées</v>
      </c>
      <c r="I535" t="str">
        <f>IFERROR(VLOOKUP(logos[[#This Row],[Cell_ID]],'registe maintenance'!A:F,6,FALSE)," non répertoriées")</f>
        <v xml:space="preserve"> non répertoriées</v>
      </c>
      <c r="J535">
        <f>IFERROR(VLOOKUP(B535,'logos transformer '!A:B,2,FALSE),"na")</f>
        <v>4</v>
      </c>
      <c r="K535">
        <f>IFERROR(VLOOKUP(B535,'logos transformer '!A:C,3,FALSE),"na")</f>
        <v>381</v>
      </c>
      <c r="L535" s="1">
        <f>IFERROR(VLOOKUP(B535,'logos transformer '!A:D,4,FALSE),"na")</f>
        <v>45220.091666666667</v>
      </c>
    </row>
    <row r="536" spans="1:12" x14ac:dyDescent="0.3">
      <c r="A536" s="1">
        <v>45230.1875</v>
      </c>
      <c r="B536" t="s">
        <v>410</v>
      </c>
      <c r="C536">
        <v>9</v>
      </c>
      <c r="D536" t="s">
        <v>10</v>
      </c>
      <c r="E536" t="str">
        <f>IFERROR(VLOOKUP(logos[[#This Row],[Cell_ID]],'registe maintenance'!A:B,2,FALSE)," non répertoriées")</f>
        <v xml:space="preserve"> non répertoriées</v>
      </c>
      <c r="F536" t="str">
        <f>IFERROR(VLOOKUP(logos[[#This Row],[Cell_ID]],'registe maintenance'!A:C,3,FALSE)," non répertoriées")</f>
        <v xml:space="preserve"> non répertoriées</v>
      </c>
      <c r="G536" t="str">
        <f>IFERROR(VLOOKUP(logos[[#This Row],[Cell_ID]],'registe maintenance'!A:D,4,FALSE)," non répertoriées")</f>
        <v xml:space="preserve"> non répertoriées</v>
      </c>
      <c r="H536" t="str">
        <f>IFERROR(VLOOKUP(logos[[#This Row],[Cell_ID]],'registe maintenance'!A:E,5,FALSE)," non répertoriées")</f>
        <v xml:space="preserve"> non répertoriées</v>
      </c>
      <c r="I536" t="str">
        <f>IFERROR(VLOOKUP(logos[[#This Row],[Cell_ID]],'registe maintenance'!A:F,6,FALSE)," non répertoriées")</f>
        <v xml:space="preserve"> non répertoriées</v>
      </c>
      <c r="J536">
        <f>IFERROR(VLOOKUP(B536,'logos transformer '!A:B,2,FALSE),"na")</f>
        <v>1</v>
      </c>
      <c r="K536">
        <f>IFERROR(VLOOKUP(B536,'logos transformer '!A:C,3,FALSE),"na")</f>
        <v>9</v>
      </c>
      <c r="L536" s="1">
        <f>IFERROR(VLOOKUP(B536,'logos transformer '!A:D,4,FALSE),"na")</f>
        <v>45230.1875</v>
      </c>
    </row>
    <row r="537" spans="1:12" x14ac:dyDescent="0.3">
      <c r="A537" s="1">
        <v>45204.615972222222</v>
      </c>
      <c r="B537" t="s">
        <v>411</v>
      </c>
      <c r="C537">
        <v>41</v>
      </c>
      <c r="D537" t="s">
        <v>10</v>
      </c>
      <c r="E537" t="str">
        <f>IFERROR(VLOOKUP(logos[[#This Row],[Cell_ID]],'registe maintenance'!A:B,2,FALSE)," non répertoriées")</f>
        <v>Kinshasa</v>
      </c>
      <c r="F537">
        <f>IFERROR(VLOOKUP(logos[[#This Row],[Cell_ID]],'registe maintenance'!A:C,3,FALSE)," non répertoriées")</f>
        <v>1.3006180000000001</v>
      </c>
      <c r="G537">
        <f>IFERROR(VLOOKUP(logos[[#This Row],[Cell_ID]],'registe maintenance'!A:D,4,FALSE)," non répertoriées")</f>
        <v>29.060970999999999</v>
      </c>
      <c r="H537" t="str">
        <f>IFERROR(VLOOKUP(logos[[#This Row],[Cell_ID]],'registe maintenance'!A:E,5,FALSE)," non répertoriées")</f>
        <v>3G</v>
      </c>
      <c r="I537" t="str">
        <f>IFERROR(VLOOKUP(logos[[#This Row],[Cell_ID]],'registe maintenance'!A:F,6,FALSE)," non répertoriées")</f>
        <v>ZTE</v>
      </c>
      <c r="J537">
        <f>IFERROR(VLOOKUP(B537,'logos transformer '!A:B,2,FALSE),"na")</f>
        <v>2</v>
      </c>
      <c r="K537">
        <f>IFERROR(VLOOKUP(B537,'logos transformer '!A:C,3,FALSE),"na")</f>
        <v>140</v>
      </c>
      <c r="L537" s="1">
        <f>IFERROR(VLOOKUP(B537,'logos transformer '!A:D,4,FALSE),"na")</f>
        <v>45209.354861111111</v>
      </c>
    </row>
    <row r="538" spans="1:12" x14ac:dyDescent="0.3">
      <c r="A538" s="1">
        <v>45219.476388888892</v>
      </c>
      <c r="B538" t="s">
        <v>12</v>
      </c>
      <c r="C538">
        <v>57</v>
      </c>
      <c r="D538" t="s">
        <v>5</v>
      </c>
      <c r="E538" t="str">
        <f>IFERROR(VLOOKUP(logos[[#This Row],[Cell_ID]],'registe maintenance'!A:B,2,FALSE)," non répertoriées")</f>
        <v>Kongo-Central</v>
      </c>
      <c r="F538">
        <f>IFERROR(VLOOKUP(logos[[#This Row],[Cell_ID]],'registe maintenance'!A:C,3,FALSE)," non répertoriées")</f>
        <v>-2.8211520000000001</v>
      </c>
      <c r="G538">
        <f>IFERROR(VLOOKUP(logos[[#This Row],[Cell_ID]],'registe maintenance'!A:D,4,FALSE)," non répertoriées")</f>
        <v>20.651419000000001</v>
      </c>
      <c r="H538" t="str">
        <f>IFERROR(VLOOKUP(logos[[#This Row],[Cell_ID]],'registe maintenance'!A:E,5,FALSE)," non répertoriées")</f>
        <v>5G</v>
      </c>
      <c r="I538" t="str">
        <f>IFERROR(VLOOKUP(logos[[#This Row],[Cell_ID]],'registe maintenance'!A:F,6,FALSE)," non répertoriées")</f>
        <v>Ericsson</v>
      </c>
      <c r="J538">
        <f>IFERROR(VLOOKUP(B538,'logos transformer '!A:B,2,FALSE),"na")</f>
        <v>5</v>
      </c>
      <c r="K538">
        <f>IFERROR(VLOOKUP(B538,'logos transformer '!A:C,3,FALSE),"na")</f>
        <v>389</v>
      </c>
      <c r="L538" s="1">
        <f>IFERROR(VLOOKUP(B538,'logos transformer '!A:D,4,FALSE),"na")</f>
        <v>45219.476388888892</v>
      </c>
    </row>
    <row r="539" spans="1:12" x14ac:dyDescent="0.3">
      <c r="A539" s="1">
        <v>45222.748611111107</v>
      </c>
      <c r="B539" t="s">
        <v>412</v>
      </c>
      <c r="C539">
        <v>28</v>
      </c>
      <c r="D539" t="s">
        <v>8</v>
      </c>
      <c r="E539" t="str">
        <f>IFERROR(VLOOKUP(logos[[#This Row],[Cell_ID]],'registe maintenance'!A:B,2,FALSE)," non répertoriées")</f>
        <v>Haut-Katanga</v>
      </c>
      <c r="F539">
        <f>IFERROR(VLOOKUP(logos[[#This Row],[Cell_ID]],'registe maintenance'!A:C,3,FALSE)," non répertoriées")</f>
        <v>-11.468578000000001</v>
      </c>
      <c r="G539">
        <f>IFERROR(VLOOKUP(logos[[#This Row],[Cell_ID]],'registe maintenance'!A:D,4,FALSE)," non répertoriées")</f>
        <v>16.914501999999999</v>
      </c>
      <c r="H539" t="str">
        <f>IFERROR(VLOOKUP(logos[[#This Row],[Cell_ID]],'registe maintenance'!A:E,5,FALSE)," non répertoriées")</f>
        <v>4G</v>
      </c>
      <c r="I539" t="str">
        <f>IFERROR(VLOOKUP(logos[[#This Row],[Cell_ID]],'registe maintenance'!A:F,6,FALSE)," non répertoriées")</f>
        <v>Ericsson</v>
      </c>
      <c r="J539">
        <f>IFERROR(VLOOKUP(B539,'logos transformer '!A:B,2,FALSE),"na")</f>
        <v>1</v>
      </c>
      <c r="K539">
        <f>IFERROR(VLOOKUP(B539,'logos transformer '!A:C,3,FALSE),"na")</f>
        <v>28</v>
      </c>
      <c r="L539" s="1">
        <f>IFERROR(VLOOKUP(B539,'logos transformer '!A:D,4,FALSE),"na")</f>
        <v>45222.748611111114</v>
      </c>
    </row>
    <row r="540" spans="1:12" x14ac:dyDescent="0.3">
      <c r="A540" s="1">
        <v>45215.743750000001</v>
      </c>
      <c r="B540" t="s">
        <v>413</v>
      </c>
      <c r="C540">
        <v>103</v>
      </c>
      <c r="D540" t="s">
        <v>5</v>
      </c>
      <c r="E540" t="str">
        <f>IFERROR(VLOOKUP(logos[[#This Row],[Cell_ID]],'registe maintenance'!A:B,2,FALSE)," non répertoriées")</f>
        <v xml:space="preserve"> non répertoriées</v>
      </c>
      <c r="F540" t="str">
        <f>IFERROR(VLOOKUP(logos[[#This Row],[Cell_ID]],'registe maintenance'!A:C,3,FALSE)," non répertoriées")</f>
        <v xml:space="preserve"> non répertoriées</v>
      </c>
      <c r="G540" t="str">
        <f>IFERROR(VLOOKUP(logos[[#This Row],[Cell_ID]],'registe maintenance'!A:D,4,FALSE)," non répertoriées")</f>
        <v xml:space="preserve"> non répertoriées</v>
      </c>
      <c r="H540" t="str">
        <f>IFERROR(VLOOKUP(logos[[#This Row],[Cell_ID]],'registe maintenance'!A:E,5,FALSE)," non répertoriées")</f>
        <v xml:space="preserve"> non répertoriées</v>
      </c>
      <c r="I540" t="str">
        <f>IFERROR(VLOOKUP(logos[[#This Row],[Cell_ID]],'registe maintenance'!A:F,6,FALSE)," non répertoriées")</f>
        <v xml:space="preserve"> non répertoriées</v>
      </c>
      <c r="J540">
        <f>IFERROR(VLOOKUP(B540,'logos transformer '!A:B,2,FALSE),"na")</f>
        <v>1</v>
      </c>
      <c r="K540">
        <f>IFERROR(VLOOKUP(B540,'logos transformer '!A:C,3,FALSE),"na")</f>
        <v>103</v>
      </c>
      <c r="L540" s="1">
        <f>IFERROR(VLOOKUP(B540,'logos transformer '!A:D,4,FALSE),"na")</f>
        <v>45215.743750000001</v>
      </c>
    </row>
    <row r="541" spans="1:12" x14ac:dyDescent="0.3">
      <c r="A541" s="1">
        <v>45221.283333333333</v>
      </c>
      <c r="B541" t="s">
        <v>414</v>
      </c>
      <c r="C541">
        <v>22</v>
      </c>
      <c r="D541" t="s">
        <v>5</v>
      </c>
      <c r="E541" t="str">
        <f>IFERROR(VLOOKUP(logos[[#This Row],[Cell_ID]],'registe maintenance'!A:B,2,FALSE)," non répertoriées")</f>
        <v>Kinshasa</v>
      </c>
      <c r="F541">
        <f>IFERROR(VLOOKUP(logos[[#This Row],[Cell_ID]],'registe maintenance'!A:C,3,FALSE)," non répertoriées")</f>
        <v>-2.6665070000000002</v>
      </c>
      <c r="G541">
        <f>IFERROR(VLOOKUP(logos[[#This Row],[Cell_ID]],'registe maintenance'!A:D,4,FALSE)," non répertoriées")</f>
        <v>18.623692999999999</v>
      </c>
      <c r="H541" t="str">
        <f>IFERROR(VLOOKUP(logos[[#This Row],[Cell_ID]],'registe maintenance'!A:E,5,FALSE)," non répertoriées")</f>
        <v>3G</v>
      </c>
      <c r="I541" t="str">
        <f>IFERROR(VLOOKUP(logos[[#This Row],[Cell_ID]],'registe maintenance'!A:F,6,FALSE)," non répertoriées")</f>
        <v>ZTE</v>
      </c>
      <c r="J541">
        <f>IFERROR(VLOOKUP(B541,'logos transformer '!A:B,2,FALSE),"na")</f>
        <v>2</v>
      </c>
      <c r="K541">
        <f>IFERROR(VLOOKUP(B541,'logos transformer '!A:C,3,FALSE),"na")</f>
        <v>121</v>
      </c>
      <c r="L541" s="1">
        <f>IFERROR(VLOOKUP(B541,'logos transformer '!A:D,4,FALSE),"na")</f>
        <v>45221.283333333333</v>
      </c>
    </row>
    <row r="542" spans="1:12" x14ac:dyDescent="0.3">
      <c r="A542" s="1">
        <v>45207.908333333333</v>
      </c>
      <c r="B542" t="s">
        <v>415</v>
      </c>
      <c r="C542">
        <v>103</v>
      </c>
      <c r="D542" t="s">
        <v>5</v>
      </c>
      <c r="E542" t="str">
        <f>IFERROR(VLOOKUP(logos[[#This Row],[Cell_ID]],'registe maintenance'!A:B,2,FALSE)," non répertoriées")</f>
        <v xml:space="preserve"> non répertoriées</v>
      </c>
      <c r="F542" t="str">
        <f>IFERROR(VLOOKUP(logos[[#This Row],[Cell_ID]],'registe maintenance'!A:C,3,FALSE)," non répertoriées")</f>
        <v xml:space="preserve"> non répertoriées</v>
      </c>
      <c r="G542" t="str">
        <f>IFERROR(VLOOKUP(logos[[#This Row],[Cell_ID]],'registe maintenance'!A:D,4,FALSE)," non répertoriées")</f>
        <v xml:space="preserve"> non répertoriées</v>
      </c>
      <c r="H542" t="str">
        <f>IFERROR(VLOOKUP(logos[[#This Row],[Cell_ID]],'registe maintenance'!A:E,5,FALSE)," non répertoriées")</f>
        <v xml:space="preserve"> non répertoriées</v>
      </c>
      <c r="I542" t="str">
        <f>IFERROR(VLOOKUP(logos[[#This Row],[Cell_ID]],'registe maintenance'!A:F,6,FALSE)," non répertoriées")</f>
        <v xml:space="preserve"> non répertoriées</v>
      </c>
      <c r="J542">
        <f>IFERROR(VLOOKUP(B542,'logos transformer '!A:B,2,FALSE),"na")</f>
        <v>1</v>
      </c>
      <c r="K542">
        <f>IFERROR(VLOOKUP(B542,'logos transformer '!A:C,3,FALSE),"na")</f>
        <v>103</v>
      </c>
      <c r="L542" s="1">
        <f>IFERROR(VLOOKUP(B542,'logos transformer '!A:D,4,FALSE),"na")</f>
        <v>45207.908333333333</v>
      </c>
    </row>
    <row r="543" spans="1:12" x14ac:dyDescent="0.3">
      <c r="A543" s="1">
        <v>45219.106249999997</v>
      </c>
      <c r="B543" t="s">
        <v>416</v>
      </c>
      <c r="C543">
        <v>87</v>
      </c>
      <c r="D543" t="s">
        <v>8</v>
      </c>
      <c r="E543" t="str">
        <f>IFERROR(VLOOKUP(logos[[#This Row],[Cell_ID]],'registe maintenance'!A:B,2,FALSE)," non répertoriées")</f>
        <v xml:space="preserve"> non répertoriées</v>
      </c>
      <c r="F543" t="str">
        <f>IFERROR(VLOOKUP(logos[[#This Row],[Cell_ID]],'registe maintenance'!A:C,3,FALSE)," non répertoriées")</f>
        <v xml:space="preserve"> non répertoriées</v>
      </c>
      <c r="G543" t="str">
        <f>IFERROR(VLOOKUP(logos[[#This Row],[Cell_ID]],'registe maintenance'!A:D,4,FALSE)," non répertoriées")</f>
        <v xml:space="preserve"> non répertoriées</v>
      </c>
      <c r="H543" t="str">
        <f>IFERROR(VLOOKUP(logos[[#This Row],[Cell_ID]],'registe maintenance'!A:E,5,FALSE)," non répertoriées")</f>
        <v xml:space="preserve"> non répertoriées</v>
      </c>
      <c r="I543" t="str">
        <f>IFERROR(VLOOKUP(logos[[#This Row],[Cell_ID]],'registe maintenance'!A:F,6,FALSE)," non répertoriées")</f>
        <v xml:space="preserve"> non répertoriées</v>
      </c>
      <c r="J543">
        <f>IFERROR(VLOOKUP(B543,'logos transformer '!A:B,2,FALSE),"na")</f>
        <v>2</v>
      </c>
      <c r="K543">
        <f>IFERROR(VLOOKUP(B543,'logos transformer '!A:C,3,FALSE),"na")</f>
        <v>137</v>
      </c>
      <c r="L543" s="1">
        <f>IFERROR(VLOOKUP(B543,'logos transformer '!A:D,4,FALSE),"na")</f>
        <v>45219.106249999997</v>
      </c>
    </row>
    <row r="544" spans="1:12" x14ac:dyDescent="0.3">
      <c r="A544" s="1">
        <v>45214.697916666657</v>
      </c>
      <c r="B544" t="s">
        <v>417</v>
      </c>
      <c r="C544">
        <v>98</v>
      </c>
      <c r="D544" t="s">
        <v>10</v>
      </c>
      <c r="E544" t="str">
        <f>IFERROR(VLOOKUP(logos[[#This Row],[Cell_ID]],'registe maintenance'!A:B,2,FALSE)," non répertoriées")</f>
        <v>Mai-Ndombe</v>
      </c>
      <c r="F544">
        <f>IFERROR(VLOOKUP(logos[[#This Row],[Cell_ID]],'registe maintenance'!A:C,3,FALSE)," non répertoriées")</f>
        <v>-12.192204</v>
      </c>
      <c r="G544">
        <f>IFERROR(VLOOKUP(logos[[#This Row],[Cell_ID]],'registe maintenance'!A:D,4,FALSE)," non répertoriées")</f>
        <v>28.468682000000001</v>
      </c>
      <c r="H544" t="str">
        <f>IFERROR(VLOOKUP(logos[[#This Row],[Cell_ID]],'registe maintenance'!A:E,5,FALSE)," non répertoriées")</f>
        <v>3G</v>
      </c>
      <c r="I544" t="str">
        <f>IFERROR(VLOOKUP(logos[[#This Row],[Cell_ID]],'registe maintenance'!A:F,6,FALSE)," non répertoriées")</f>
        <v>ZTE</v>
      </c>
      <c r="J544">
        <f>IFERROR(VLOOKUP(B544,'logos transformer '!A:B,2,FALSE),"na")</f>
        <v>1</v>
      </c>
      <c r="K544">
        <f>IFERROR(VLOOKUP(B544,'logos transformer '!A:C,3,FALSE),"na")</f>
        <v>98</v>
      </c>
      <c r="L544" s="1">
        <f>IFERROR(VLOOKUP(B544,'logos transformer '!A:D,4,FALSE),"na")</f>
        <v>45214.697916666664</v>
      </c>
    </row>
    <row r="545" spans="1:12" x14ac:dyDescent="0.3">
      <c r="A545" s="1">
        <v>45211.123611111107</v>
      </c>
      <c r="B545" t="s">
        <v>119</v>
      </c>
      <c r="C545">
        <v>87</v>
      </c>
      <c r="D545" t="s">
        <v>5</v>
      </c>
      <c r="E545" t="str">
        <f>IFERROR(VLOOKUP(logos[[#This Row],[Cell_ID]],'registe maintenance'!A:B,2,FALSE)," non répertoriées")</f>
        <v xml:space="preserve"> non répertoriées</v>
      </c>
      <c r="F545" t="str">
        <f>IFERROR(VLOOKUP(logos[[#This Row],[Cell_ID]],'registe maintenance'!A:C,3,FALSE)," non répertoriées")</f>
        <v xml:space="preserve"> non répertoriées</v>
      </c>
      <c r="G545" t="str">
        <f>IFERROR(VLOOKUP(logos[[#This Row],[Cell_ID]],'registe maintenance'!A:D,4,FALSE)," non répertoriées")</f>
        <v xml:space="preserve"> non répertoriées</v>
      </c>
      <c r="H545" t="str">
        <f>IFERROR(VLOOKUP(logos[[#This Row],[Cell_ID]],'registe maintenance'!A:E,5,FALSE)," non répertoriées")</f>
        <v xml:space="preserve"> non répertoriées</v>
      </c>
      <c r="I545" t="str">
        <f>IFERROR(VLOOKUP(logos[[#This Row],[Cell_ID]],'registe maintenance'!A:F,6,FALSE)," non répertoriées")</f>
        <v xml:space="preserve"> non répertoriées</v>
      </c>
      <c r="J545">
        <f>IFERROR(VLOOKUP(B545,'logos transformer '!A:B,2,FALSE),"na")</f>
        <v>4</v>
      </c>
      <c r="K545">
        <f>IFERROR(VLOOKUP(B545,'logos transformer '!A:C,3,FALSE),"na")</f>
        <v>329</v>
      </c>
      <c r="L545" s="1">
        <f>IFERROR(VLOOKUP(B545,'logos transformer '!A:D,4,FALSE),"na")</f>
        <v>45226.013194444444</v>
      </c>
    </row>
    <row r="546" spans="1:12" x14ac:dyDescent="0.3">
      <c r="A546" s="1">
        <v>45218.127083333333</v>
      </c>
      <c r="B546" t="s">
        <v>273</v>
      </c>
      <c r="C546">
        <v>58</v>
      </c>
      <c r="D546" t="s">
        <v>8</v>
      </c>
      <c r="E546" t="str">
        <f>IFERROR(VLOOKUP(logos[[#This Row],[Cell_ID]],'registe maintenance'!A:B,2,FALSE)," non répertoriées")</f>
        <v>Sud-Kivu</v>
      </c>
      <c r="F546">
        <f>IFERROR(VLOOKUP(logos[[#This Row],[Cell_ID]],'registe maintenance'!A:C,3,FALSE)," non répertoriées")</f>
        <v>1.2419519999999999</v>
      </c>
      <c r="G546">
        <f>IFERROR(VLOOKUP(logos[[#This Row],[Cell_ID]],'registe maintenance'!A:D,4,FALSE)," non répertoriées")</f>
        <v>25.261382999999999</v>
      </c>
      <c r="H546" t="str">
        <f>IFERROR(VLOOKUP(logos[[#This Row],[Cell_ID]],'registe maintenance'!A:E,5,FALSE)," non répertoriées")</f>
        <v>4G</v>
      </c>
      <c r="I546" t="str">
        <f>IFERROR(VLOOKUP(logos[[#This Row],[Cell_ID]],'registe maintenance'!A:F,6,FALSE)," non répertoriées")</f>
        <v>Huawei</v>
      </c>
      <c r="J546">
        <f>IFERROR(VLOOKUP(B546,'logos transformer '!A:B,2,FALSE),"na")</f>
        <v>2</v>
      </c>
      <c r="K546">
        <f>IFERROR(VLOOKUP(B546,'logos transformer '!A:C,3,FALSE),"na")</f>
        <v>85</v>
      </c>
      <c r="L546" s="1">
        <f>IFERROR(VLOOKUP(B546,'logos transformer '!A:D,4,FALSE),"na")</f>
        <v>45218.127083333333</v>
      </c>
    </row>
    <row r="547" spans="1:12" x14ac:dyDescent="0.3">
      <c r="A547" s="1">
        <v>45226.747916666667</v>
      </c>
      <c r="B547" t="s">
        <v>418</v>
      </c>
      <c r="C547">
        <v>52</v>
      </c>
      <c r="D547" t="s">
        <v>8</v>
      </c>
      <c r="E547" t="str">
        <f>IFERROR(VLOOKUP(logos[[#This Row],[Cell_ID]],'registe maintenance'!A:B,2,FALSE)," non répertoriées")</f>
        <v xml:space="preserve"> non répertoriées</v>
      </c>
      <c r="F547" t="str">
        <f>IFERROR(VLOOKUP(logos[[#This Row],[Cell_ID]],'registe maintenance'!A:C,3,FALSE)," non répertoriées")</f>
        <v xml:space="preserve"> non répertoriées</v>
      </c>
      <c r="G547" t="str">
        <f>IFERROR(VLOOKUP(logos[[#This Row],[Cell_ID]],'registe maintenance'!A:D,4,FALSE)," non répertoriées")</f>
        <v xml:space="preserve"> non répertoriées</v>
      </c>
      <c r="H547" t="str">
        <f>IFERROR(VLOOKUP(logos[[#This Row],[Cell_ID]],'registe maintenance'!A:E,5,FALSE)," non répertoriées")</f>
        <v xml:space="preserve"> non répertoriées</v>
      </c>
      <c r="I547" t="str">
        <f>IFERROR(VLOOKUP(logos[[#This Row],[Cell_ID]],'registe maintenance'!A:F,6,FALSE)," non répertoriées")</f>
        <v xml:space="preserve"> non répertoriées</v>
      </c>
      <c r="J547">
        <f>IFERROR(VLOOKUP(B547,'logos transformer '!A:B,2,FALSE),"na")</f>
        <v>1</v>
      </c>
      <c r="K547">
        <f>IFERROR(VLOOKUP(B547,'logos transformer '!A:C,3,FALSE),"na")</f>
        <v>52</v>
      </c>
      <c r="L547" s="1">
        <f>IFERROR(VLOOKUP(B547,'logos transformer '!A:D,4,FALSE),"na")</f>
        <v>45226.747916666667</v>
      </c>
    </row>
    <row r="548" spans="1:12" x14ac:dyDescent="0.3">
      <c r="A548" s="1">
        <v>45216.275000000001</v>
      </c>
      <c r="B548" t="s">
        <v>419</v>
      </c>
      <c r="C548">
        <v>119</v>
      </c>
      <c r="D548" t="s">
        <v>10</v>
      </c>
      <c r="E548" t="str">
        <f>IFERROR(VLOOKUP(logos[[#This Row],[Cell_ID]],'registe maintenance'!A:B,2,FALSE)," non répertoriées")</f>
        <v>Sud-Kivu</v>
      </c>
      <c r="F548">
        <f>IFERROR(VLOOKUP(logos[[#This Row],[Cell_ID]],'registe maintenance'!A:C,3,FALSE)," non répertoriées")</f>
        <v>2.4414509999999998</v>
      </c>
      <c r="G548">
        <f>IFERROR(VLOOKUP(logos[[#This Row],[Cell_ID]],'registe maintenance'!A:D,4,FALSE)," non répertoriées")</f>
        <v>30.167489</v>
      </c>
      <c r="H548" t="str">
        <f>IFERROR(VLOOKUP(logos[[#This Row],[Cell_ID]],'registe maintenance'!A:E,5,FALSE)," non répertoriées")</f>
        <v>5G</v>
      </c>
      <c r="I548" t="str">
        <f>IFERROR(VLOOKUP(logos[[#This Row],[Cell_ID]],'registe maintenance'!A:F,6,FALSE)," non répertoriées")</f>
        <v>Nokia</v>
      </c>
      <c r="J548">
        <f>IFERROR(VLOOKUP(B548,'logos transformer '!A:B,2,FALSE),"na")</f>
        <v>2</v>
      </c>
      <c r="K548">
        <f>IFERROR(VLOOKUP(B548,'logos transformer '!A:C,3,FALSE),"na")</f>
        <v>203</v>
      </c>
      <c r="L548" s="1">
        <f>IFERROR(VLOOKUP(B548,'logos transformer '!A:D,4,FALSE),"na")</f>
        <v>45227.447916666664</v>
      </c>
    </row>
    <row r="549" spans="1:12" x14ac:dyDescent="0.3">
      <c r="A549" s="1">
        <v>45217.173611111109</v>
      </c>
      <c r="B549" t="s">
        <v>136</v>
      </c>
      <c r="C549">
        <v>53</v>
      </c>
      <c r="D549" t="s">
        <v>8</v>
      </c>
      <c r="E549" t="str">
        <f>IFERROR(VLOOKUP(logos[[#This Row],[Cell_ID]],'registe maintenance'!A:B,2,FALSE)," non répertoriées")</f>
        <v>Kinshasa</v>
      </c>
      <c r="F549">
        <f>IFERROR(VLOOKUP(logos[[#This Row],[Cell_ID]],'registe maintenance'!A:C,3,FALSE)," non répertoriées")</f>
        <v>-1.6097570000000001</v>
      </c>
      <c r="G549">
        <f>IFERROR(VLOOKUP(logos[[#This Row],[Cell_ID]],'registe maintenance'!A:D,4,FALSE)," non répertoriées")</f>
        <v>30.661662</v>
      </c>
      <c r="H549" t="str">
        <f>IFERROR(VLOOKUP(logos[[#This Row],[Cell_ID]],'registe maintenance'!A:E,5,FALSE)," non répertoriées")</f>
        <v>4G</v>
      </c>
      <c r="I549" t="str">
        <f>IFERROR(VLOOKUP(logos[[#This Row],[Cell_ID]],'registe maintenance'!A:F,6,FALSE)," non répertoriées")</f>
        <v>Ericsson</v>
      </c>
      <c r="J549">
        <f>IFERROR(VLOOKUP(B549,'logos transformer '!A:B,2,FALSE),"na")</f>
        <v>2</v>
      </c>
      <c r="K549">
        <f>IFERROR(VLOOKUP(B549,'logos transformer '!A:C,3,FALSE),"na")</f>
        <v>141</v>
      </c>
      <c r="L549" s="1">
        <f>IFERROR(VLOOKUP(B549,'logos transformer '!A:D,4,FALSE),"na")</f>
        <v>45217.173611111109</v>
      </c>
    </row>
    <row r="550" spans="1:12" x14ac:dyDescent="0.3">
      <c r="A550" s="1">
        <v>45210.686111111107</v>
      </c>
      <c r="B550" t="s">
        <v>420</v>
      </c>
      <c r="C550">
        <v>62</v>
      </c>
      <c r="D550" t="s">
        <v>8</v>
      </c>
      <c r="E550" t="str">
        <f>IFERROR(VLOOKUP(logos[[#This Row],[Cell_ID]],'registe maintenance'!A:B,2,FALSE)," non répertoriées")</f>
        <v>Nord-Ubangi</v>
      </c>
      <c r="F550">
        <f>IFERROR(VLOOKUP(logos[[#This Row],[Cell_ID]],'registe maintenance'!A:C,3,FALSE)," non répertoriées")</f>
        <v>8.5490999999999998E-2</v>
      </c>
      <c r="G550">
        <f>IFERROR(VLOOKUP(logos[[#This Row],[Cell_ID]],'registe maintenance'!A:D,4,FALSE)," non répertoriées")</f>
        <v>26.296129000000001</v>
      </c>
      <c r="H550" t="str">
        <f>IFERROR(VLOOKUP(logos[[#This Row],[Cell_ID]],'registe maintenance'!A:E,5,FALSE)," non répertoriées")</f>
        <v>3G</v>
      </c>
      <c r="I550" t="str">
        <f>IFERROR(VLOOKUP(logos[[#This Row],[Cell_ID]],'registe maintenance'!A:F,6,FALSE)," non répertoriées")</f>
        <v>ZTE</v>
      </c>
      <c r="J550">
        <f>IFERROR(VLOOKUP(B550,'logos transformer '!A:B,2,FALSE),"na")</f>
        <v>2</v>
      </c>
      <c r="K550">
        <f>IFERROR(VLOOKUP(B550,'logos transformer '!A:C,3,FALSE),"na")</f>
        <v>119</v>
      </c>
      <c r="L550" s="1">
        <f>IFERROR(VLOOKUP(B550,'logos transformer '!A:D,4,FALSE),"na")</f>
        <v>45210.908333333333</v>
      </c>
    </row>
    <row r="551" spans="1:12" x14ac:dyDescent="0.3">
      <c r="A551" s="1">
        <v>45203.884027777778</v>
      </c>
      <c r="B551" t="s">
        <v>421</v>
      </c>
      <c r="C551">
        <v>116</v>
      </c>
      <c r="D551" t="s">
        <v>8</v>
      </c>
      <c r="E551" t="str">
        <f>IFERROR(VLOOKUP(logos[[#This Row],[Cell_ID]],'registe maintenance'!A:B,2,FALSE)," non répertoriées")</f>
        <v xml:space="preserve"> non répertoriées</v>
      </c>
      <c r="F551" t="str">
        <f>IFERROR(VLOOKUP(logos[[#This Row],[Cell_ID]],'registe maintenance'!A:C,3,FALSE)," non répertoriées")</f>
        <v xml:space="preserve"> non répertoriées</v>
      </c>
      <c r="G551" t="str">
        <f>IFERROR(VLOOKUP(logos[[#This Row],[Cell_ID]],'registe maintenance'!A:D,4,FALSE)," non répertoriées")</f>
        <v xml:space="preserve"> non répertoriées</v>
      </c>
      <c r="H551" t="str">
        <f>IFERROR(VLOOKUP(logos[[#This Row],[Cell_ID]],'registe maintenance'!A:E,5,FALSE)," non répertoriées")</f>
        <v xml:space="preserve"> non répertoriées</v>
      </c>
      <c r="I551" t="str">
        <f>IFERROR(VLOOKUP(logos[[#This Row],[Cell_ID]],'registe maintenance'!A:F,6,FALSE)," non répertoriées")</f>
        <v xml:space="preserve"> non répertoriées</v>
      </c>
      <c r="J551">
        <f>IFERROR(VLOOKUP(B551,'logos transformer '!A:B,2,FALSE),"na")</f>
        <v>2</v>
      </c>
      <c r="K551">
        <f>IFERROR(VLOOKUP(B551,'logos transformer '!A:C,3,FALSE),"na")</f>
        <v>146</v>
      </c>
      <c r="L551" s="1">
        <f>IFERROR(VLOOKUP(B551,'logos transformer '!A:D,4,FALSE),"na")</f>
        <v>45209.940972222219</v>
      </c>
    </row>
    <row r="552" spans="1:12" x14ac:dyDescent="0.3">
      <c r="A552" s="1">
        <v>45222.771527777782</v>
      </c>
      <c r="B552" t="s">
        <v>11</v>
      </c>
      <c r="C552">
        <v>53</v>
      </c>
      <c r="D552" t="s">
        <v>10</v>
      </c>
      <c r="E552" t="str">
        <f>IFERROR(VLOOKUP(logos[[#This Row],[Cell_ID]],'registe maintenance'!A:B,2,FALSE)," non répertoriées")</f>
        <v xml:space="preserve"> non répertoriées</v>
      </c>
      <c r="F552" t="str">
        <f>IFERROR(VLOOKUP(logos[[#This Row],[Cell_ID]],'registe maintenance'!A:C,3,FALSE)," non répertoriées")</f>
        <v xml:space="preserve"> non répertoriées</v>
      </c>
      <c r="G552" t="str">
        <f>IFERROR(VLOOKUP(logos[[#This Row],[Cell_ID]],'registe maintenance'!A:D,4,FALSE)," non répertoriées")</f>
        <v xml:space="preserve"> non répertoriées</v>
      </c>
      <c r="H552" t="str">
        <f>IFERROR(VLOOKUP(logos[[#This Row],[Cell_ID]],'registe maintenance'!A:E,5,FALSE)," non répertoriées")</f>
        <v xml:space="preserve"> non répertoriées</v>
      </c>
      <c r="I552" t="str">
        <f>IFERROR(VLOOKUP(logos[[#This Row],[Cell_ID]],'registe maintenance'!A:F,6,FALSE)," non répertoriées")</f>
        <v xml:space="preserve"> non répertoriées</v>
      </c>
      <c r="J552">
        <f>IFERROR(VLOOKUP(B552,'logos transformer '!A:B,2,FALSE),"na")</f>
        <v>3</v>
      </c>
      <c r="K552">
        <f>IFERROR(VLOOKUP(B552,'logos transformer '!A:C,3,FALSE),"na")</f>
        <v>161</v>
      </c>
      <c r="L552" s="1">
        <f>IFERROR(VLOOKUP(B552,'logos transformer '!A:D,4,FALSE),"na")</f>
        <v>45222.771527777775</v>
      </c>
    </row>
    <row r="553" spans="1:12" x14ac:dyDescent="0.3">
      <c r="A553" s="1">
        <v>45202.686111111107</v>
      </c>
      <c r="B553" t="s">
        <v>422</v>
      </c>
      <c r="C553">
        <v>53</v>
      </c>
      <c r="D553" t="s">
        <v>5</v>
      </c>
      <c r="E553" t="str">
        <f>IFERROR(VLOOKUP(logos[[#This Row],[Cell_ID]],'registe maintenance'!A:B,2,FALSE)," non répertoriées")</f>
        <v xml:space="preserve"> non répertoriées</v>
      </c>
      <c r="F553" t="str">
        <f>IFERROR(VLOOKUP(logos[[#This Row],[Cell_ID]],'registe maintenance'!A:C,3,FALSE)," non répertoriées")</f>
        <v xml:space="preserve"> non répertoriées</v>
      </c>
      <c r="G553" t="str">
        <f>IFERROR(VLOOKUP(logos[[#This Row],[Cell_ID]],'registe maintenance'!A:D,4,FALSE)," non répertoriées")</f>
        <v xml:space="preserve"> non répertoriées</v>
      </c>
      <c r="H553" t="str">
        <f>IFERROR(VLOOKUP(logos[[#This Row],[Cell_ID]],'registe maintenance'!A:E,5,FALSE)," non répertoriées")</f>
        <v xml:space="preserve"> non répertoriées</v>
      </c>
      <c r="I553" t="str">
        <f>IFERROR(VLOOKUP(logos[[#This Row],[Cell_ID]],'registe maintenance'!A:F,6,FALSE)," non répertoriées")</f>
        <v xml:space="preserve"> non répertoriées</v>
      </c>
      <c r="J553">
        <f>IFERROR(VLOOKUP(B553,'logos transformer '!A:B,2,FALSE),"na")</f>
        <v>1</v>
      </c>
      <c r="K553">
        <f>IFERROR(VLOOKUP(B553,'logos transformer '!A:C,3,FALSE),"na")</f>
        <v>53</v>
      </c>
      <c r="L553" s="1">
        <f>IFERROR(VLOOKUP(B553,'logos transformer '!A:D,4,FALSE),"na")</f>
        <v>45202.686111111114</v>
      </c>
    </row>
    <row r="554" spans="1:12" x14ac:dyDescent="0.3">
      <c r="A554" s="1">
        <v>45225.061805555553</v>
      </c>
      <c r="B554" t="s">
        <v>423</v>
      </c>
      <c r="C554">
        <v>15</v>
      </c>
      <c r="D554" t="s">
        <v>10</v>
      </c>
      <c r="E554" t="str">
        <f>IFERROR(VLOOKUP(logos[[#This Row],[Cell_ID]],'registe maintenance'!A:B,2,FALSE)," non répertoriées")</f>
        <v xml:space="preserve"> non répertoriées</v>
      </c>
      <c r="F554" t="str">
        <f>IFERROR(VLOOKUP(logos[[#This Row],[Cell_ID]],'registe maintenance'!A:C,3,FALSE)," non répertoriées")</f>
        <v xml:space="preserve"> non répertoriées</v>
      </c>
      <c r="G554" t="str">
        <f>IFERROR(VLOOKUP(logos[[#This Row],[Cell_ID]],'registe maintenance'!A:D,4,FALSE)," non répertoriées")</f>
        <v xml:space="preserve"> non répertoriées</v>
      </c>
      <c r="H554" t="str">
        <f>IFERROR(VLOOKUP(logos[[#This Row],[Cell_ID]],'registe maintenance'!A:E,5,FALSE)," non répertoriées")</f>
        <v xml:space="preserve"> non répertoriées</v>
      </c>
      <c r="I554" t="str">
        <f>IFERROR(VLOOKUP(logos[[#This Row],[Cell_ID]],'registe maintenance'!A:F,6,FALSE)," non répertoriées")</f>
        <v xml:space="preserve"> non répertoriées</v>
      </c>
      <c r="J554">
        <f>IFERROR(VLOOKUP(B554,'logos transformer '!A:B,2,FALSE),"na")</f>
        <v>2</v>
      </c>
      <c r="K554">
        <f>IFERROR(VLOOKUP(B554,'logos transformer '!A:C,3,FALSE),"na")</f>
        <v>47</v>
      </c>
      <c r="L554" s="1">
        <f>IFERROR(VLOOKUP(B554,'logos transformer '!A:D,4,FALSE),"na")</f>
        <v>45225.061805555553</v>
      </c>
    </row>
    <row r="555" spans="1:12" x14ac:dyDescent="0.3">
      <c r="A555" s="1">
        <v>45204.68472222222</v>
      </c>
      <c r="B555" t="s">
        <v>424</v>
      </c>
      <c r="C555">
        <v>92</v>
      </c>
      <c r="D555" t="s">
        <v>5</v>
      </c>
      <c r="E555" t="str">
        <f>IFERROR(VLOOKUP(logos[[#This Row],[Cell_ID]],'registe maintenance'!A:B,2,FALSE)," non répertoriées")</f>
        <v xml:space="preserve"> non répertoriées</v>
      </c>
      <c r="F555" t="str">
        <f>IFERROR(VLOOKUP(logos[[#This Row],[Cell_ID]],'registe maintenance'!A:C,3,FALSE)," non répertoriées")</f>
        <v xml:space="preserve"> non répertoriées</v>
      </c>
      <c r="G555" t="str">
        <f>IFERROR(VLOOKUP(logos[[#This Row],[Cell_ID]],'registe maintenance'!A:D,4,FALSE)," non répertoriées")</f>
        <v xml:space="preserve"> non répertoriées</v>
      </c>
      <c r="H555" t="str">
        <f>IFERROR(VLOOKUP(logos[[#This Row],[Cell_ID]],'registe maintenance'!A:E,5,FALSE)," non répertoriées")</f>
        <v xml:space="preserve"> non répertoriées</v>
      </c>
      <c r="I555" t="str">
        <f>IFERROR(VLOOKUP(logos[[#This Row],[Cell_ID]],'registe maintenance'!A:F,6,FALSE)," non répertoriées")</f>
        <v xml:space="preserve"> non répertoriées</v>
      </c>
      <c r="J555">
        <f>IFERROR(VLOOKUP(B555,'logos transformer '!A:B,2,FALSE),"na")</f>
        <v>3</v>
      </c>
      <c r="K555">
        <f>IFERROR(VLOOKUP(B555,'logos transformer '!A:C,3,FALSE),"na")</f>
        <v>235</v>
      </c>
      <c r="L555" s="1">
        <f>IFERROR(VLOOKUP(B555,'logos transformer '!A:D,4,FALSE),"na")</f>
        <v>45225.921527777777</v>
      </c>
    </row>
    <row r="556" spans="1:12" x14ac:dyDescent="0.3">
      <c r="A556" s="1">
        <v>45214.752083333333</v>
      </c>
      <c r="B556" t="s">
        <v>425</v>
      </c>
      <c r="C556">
        <v>89</v>
      </c>
      <c r="D556" t="s">
        <v>8</v>
      </c>
      <c r="E556" t="str">
        <f>IFERROR(VLOOKUP(logos[[#This Row],[Cell_ID]],'registe maintenance'!A:B,2,FALSE)," non répertoriées")</f>
        <v xml:space="preserve"> non répertoriées</v>
      </c>
      <c r="F556" t="str">
        <f>IFERROR(VLOOKUP(logos[[#This Row],[Cell_ID]],'registe maintenance'!A:C,3,FALSE)," non répertoriées")</f>
        <v xml:space="preserve"> non répertoriées</v>
      </c>
      <c r="G556" t="str">
        <f>IFERROR(VLOOKUP(logos[[#This Row],[Cell_ID]],'registe maintenance'!A:D,4,FALSE)," non répertoriées")</f>
        <v xml:space="preserve"> non répertoriées</v>
      </c>
      <c r="H556" t="str">
        <f>IFERROR(VLOOKUP(logos[[#This Row],[Cell_ID]],'registe maintenance'!A:E,5,FALSE)," non répertoriées")</f>
        <v xml:space="preserve"> non répertoriées</v>
      </c>
      <c r="I556" t="str">
        <f>IFERROR(VLOOKUP(logos[[#This Row],[Cell_ID]],'registe maintenance'!A:F,6,FALSE)," non répertoriées")</f>
        <v xml:space="preserve"> non répertoriées</v>
      </c>
      <c r="J556">
        <f>IFERROR(VLOOKUP(B556,'logos transformer '!A:B,2,FALSE),"na")</f>
        <v>1</v>
      </c>
      <c r="K556">
        <f>IFERROR(VLOOKUP(B556,'logos transformer '!A:C,3,FALSE),"na")</f>
        <v>89</v>
      </c>
      <c r="L556" s="1">
        <f>IFERROR(VLOOKUP(B556,'logos transformer '!A:D,4,FALSE),"na")</f>
        <v>45214.752083333333</v>
      </c>
    </row>
    <row r="557" spans="1:12" x14ac:dyDescent="0.3">
      <c r="A557" s="1">
        <v>45225.406944444447</v>
      </c>
      <c r="B557" t="s">
        <v>426</v>
      </c>
      <c r="C557">
        <v>74</v>
      </c>
      <c r="D557" t="s">
        <v>5</v>
      </c>
      <c r="E557" t="str">
        <f>IFERROR(VLOOKUP(logos[[#This Row],[Cell_ID]],'registe maintenance'!A:B,2,FALSE)," non répertoriées")</f>
        <v>Kwango</v>
      </c>
      <c r="F557">
        <f>IFERROR(VLOOKUP(logos[[#This Row],[Cell_ID]],'registe maintenance'!A:C,3,FALSE)," non répertoriées")</f>
        <v>-4.6957509999999996</v>
      </c>
      <c r="G557">
        <f>IFERROR(VLOOKUP(logos[[#This Row],[Cell_ID]],'registe maintenance'!A:D,4,FALSE)," non répertoriées")</f>
        <v>14.233525999999999</v>
      </c>
      <c r="H557" t="str">
        <f>IFERROR(VLOOKUP(logos[[#This Row],[Cell_ID]],'registe maintenance'!A:E,5,FALSE)," non répertoriées")</f>
        <v>4G</v>
      </c>
      <c r="I557" t="str">
        <f>IFERROR(VLOOKUP(logos[[#This Row],[Cell_ID]],'registe maintenance'!A:F,6,FALSE)," non répertoriées")</f>
        <v>Nokia</v>
      </c>
      <c r="J557">
        <f>IFERROR(VLOOKUP(B557,'logos transformer '!A:B,2,FALSE),"na")</f>
        <v>1</v>
      </c>
      <c r="K557">
        <f>IFERROR(VLOOKUP(B557,'logos transformer '!A:C,3,FALSE),"na")</f>
        <v>74</v>
      </c>
      <c r="L557" s="1">
        <f>IFERROR(VLOOKUP(B557,'logos transformer '!A:D,4,FALSE),"na")</f>
        <v>45225.406944444447</v>
      </c>
    </row>
    <row r="558" spans="1:12" x14ac:dyDescent="0.3">
      <c r="A558" s="1">
        <v>45200.511111111111</v>
      </c>
      <c r="B558" t="s">
        <v>427</v>
      </c>
      <c r="C558">
        <v>22</v>
      </c>
      <c r="D558" t="s">
        <v>10</v>
      </c>
      <c r="E558" t="str">
        <f>IFERROR(VLOOKUP(logos[[#This Row],[Cell_ID]],'registe maintenance'!A:B,2,FALSE)," non répertoriées")</f>
        <v>Kwilu</v>
      </c>
      <c r="F558">
        <f>IFERROR(VLOOKUP(logos[[#This Row],[Cell_ID]],'registe maintenance'!A:C,3,FALSE)," non répertoriées")</f>
        <v>-10.939712999999999</v>
      </c>
      <c r="G558">
        <f>IFERROR(VLOOKUP(logos[[#This Row],[Cell_ID]],'registe maintenance'!A:D,4,FALSE)," non répertoriées")</f>
        <v>18.276230999999999</v>
      </c>
      <c r="H558" t="str">
        <f>IFERROR(VLOOKUP(logos[[#This Row],[Cell_ID]],'registe maintenance'!A:E,5,FALSE)," non répertoriées")</f>
        <v>4G</v>
      </c>
      <c r="I558" t="str">
        <f>IFERROR(VLOOKUP(logos[[#This Row],[Cell_ID]],'registe maintenance'!A:F,6,FALSE)," non répertoriées")</f>
        <v>ZTE</v>
      </c>
      <c r="J558">
        <f>IFERROR(VLOOKUP(B558,'logos transformer '!A:B,2,FALSE),"na")</f>
        <v>2</v>
      </c>
      <c r="K558">
        <f>IFERROR(VLOOKUP(B558,'logos transformer '!A:C,3,FALSE),"na")</f>
        <v>127</v>
      </c>
      <c r="L558" s="1">
        <f>IFERROR(VLOOKUP(B558,'logos transformer '!A:D,4,FALSE),"na")</f>
        <v>45213.145138888889</v>
      </c>
    </row>
    <row r="559" spans="1:12" x14ac:dyDescent="0.3">
      <c r="A559" s="1">
        <v>45221.565972222219</v>
      </c>
      <c r="B559" t="s">
        <v>428</v>
      </c>
      <c r="C559">
        <v>87</v>
      </c>
      <c r="D559" t="s">
        <v>8</v>
      </c>
      <c r="E559" t="str">
        <f>IFERROR(VLOOKUP(logos[[#This Row],[Cell_ID]],'registe maintenance'!A:B,2,FALSE)," non répertoriées")</f>
        <v>Tshopo</v>
      </c>
      <c r="F559">
        <f>IFERROR(VLOOKUP(logos[[#This Row],[Cell_ID]],'registe maintenance'!A:C,3,FALSE)," non répertoriées")</f>
        <v>4.7777349999999998</v>
      </c>
      <c r="G559">
        <f>IFERROR(VLOOKUP(logos[[#This Row],[Cell_ID]],'registe maintenance'!A:D,4,FALSE)," non répertoriées")</f>
        <v>16.392204</v>
      </c>
      <c r="H559" t="str">
        <f>IFERROR(VLOOKUP(logos[[#This Row],[Cell_ID]],'registe maintenance'!A:E,5,FALSE)," non répertoriées")</f>
        <v>5G</v>
      </c>
      <c r="I559" t="str">
        <f>IFERROR(VLOOKUP(logos[[#This Row],[Cell_ID]],'registe maintenance'!A:F,6,FALSE)," non répertoriées")</f>
        <v>ZTE</v>
      </c>
      <c r="J559">
        <f>IFERROR(VLOOKUP(B559,'logos transformer '!A:B,2,FALSE),"na")</f>
        <v>1</v>
      </c>
      <c r="K559">
        <f>IFERROR(VLOOKUP(B559,'logos transformer '!A:C,3,FALSE),"na")</f>
        <v>87</v>
      </c>
      <c r="L559" s="1">
        <f>IFERROR(VLOOKUP(B559,'logos transformer '!A:D,4,FALSE),"na")</f>
        <v>45221.565972222219</v>
      </c>
    </row>
    <row r="560" spans="1:12" x14ac:dyDescent="0.3">
      <c r="A560" s="1">
        <v>45215.056944444441</v>
      </c>
      <c r="B560" t="s">
        <v>414</v>
      </c>
      <c r="C560">
        <v>99</v>
      </c>
      <c r="D560" t="s">
        <v>8</v>
      </c>
      <c r="E560" t="str">
        <f>IFERROR(VLOOKUP(logos[[#This Row],[Cell_ID]],'registe maintenance'!A:B,2,FALSE)," non répertoriées")</f>
        <v>Kinshasa</v>
      </c>
      <c r="F560">
        <f>IFERROR(VLOOKUP(logos[[#This Row],[Cell_ID]],'registe maintenance'!A:C,3,FALSE)," non répertoriées")</f>
        <v>-2.6665070000000002</v>
      </c>
      <c r="G560">
        <f>IFERROR(VLOOKUP(logos[[#This Row],[Cell_ID]],'registe maintenance'!A:D,4,FALSE)," non répertoriées")</f>
        <v>18.623692999999999</v>
      </c>
      <c r="H560" t="str">
        <f>IFERROR(VLOOKUP(logos[[#This Row],[Cell_ID]],'registe maintenance'!A:E,5,FALSE)," non répertoriées")</f>
        <v>3G</v>
      </c>
      <c r="I560" t="str">
        <f>IFERROR(VLOOKUP(logos[[#This Row],[Cell_ID]],'registe maintenance'!A:F,6,FALSE)," non répertoriées")</f>
        <v>ZTE</v>
      </c>
      <c r="J560">
        <f>IFERROR(VLOOKUP(B560,'logos transformer '!A:B,2,FALSE),"na")</f>
        <v>2</v>
      </c>
      <c r="K560">
        <f>IFERROR(VLOOKUP(B560,'logos transformer '!A:C,3,FALSE),"na")</f>
        <v>121</v>
      </c>
      <c r="L560" s="1">
        <f>IFERROR(VLOOKUP(B560,'logos transformer '!A:D,4,FALSE),"na")</f>
        <v>45221.283333333333</v>
      </c>
    </row>
    <row r="561" spans="1:12" x14ac:dyDescent="0.3">
      <c r="A561" s="1">
        <v>45230.862500000003</v>
      </c>
      <c r="B561" t="s">
        <v>73</v>
      </c>
      <c r="C561">
        <v>67</v>
      </c>
      <c r="D561" t="s">
        <v>5</v>
      </c>
      <c r="E561" t="str">
        <f>IFERROR(VLOOKUP(logos[[#This Row],[Cell_ID]],'registe maintenance'!A:B,2,FALSE)," non répertoriées")</f>
        <v>Tanganyika</v>
      </c>
      <c r="F561">
        <f>IFERROR(VLOOKUP(logos[[#This Row],[Cell_ID]],'registe maintenance'!A:C,3,FALSE)," non répertoriées")</f>
        <v>-2.099631</v>
      </c>
      <c r="G561">
        <f>IFERROR(VLOOKUP(logos[[#This Row],[Cell_ID]],'registe maintenance'!A:D,4,FALSE)," non répertoriées")</f>
        <v>13.974640000000001</v>
      </c>
      <c r="H561" t="str">
        <f>IFERROR(VLOOKUP(logos[[#This Row],[Cell_ID]],'registe maintenance'!A:E,5,FALSE)," non répertoriées")</f>
        <v>3G</v>
      </c>
      <c r="I561" t="str">
        <f>IFERROR(VLOOKUP(logos[[#This Row],[Cell_ID]],'registe maintenance'!A:F,6,FALSE)," non répertoriées")</f>
        <v>Nokia</v>
      </c>
      <c r="J561">
        <f>IFERROR(VLOOKUP(B561,'logos transformer '!A:B,2,FALSE),"na")</f>
        <v>2</v>
      </c>
      <c r="K561">
        <f>IFERROR(VLOOKUP(B561,'logos transformer '!A:C,3,FALSE),"na")</f>
        <v>157</v>
      </c>
      <c r="L561" s="1">
        <f>IFERROR(VLOOKUP(B561,'logos transformer '!A:D,4,FALSE),"na")</f>
        <v>45230.862500000003</v>
      </c>
    </row>
    <row r="562" spans="1:12" x14ac:dyDescent="0.3">
      <c r="A562" s="1">
        <v>45212.680555555547</v>
      </c>
      <c r="B562" t="s">
        <v>429</v>
      </c>
      <c r="C562">
        <v>63</v>
      </c>
      <c r="D562" t="s">
        <v>5</v>
      </c>
      <c r="E562" t="str">
        <f>IFERROR(VLOOKUP(logos[[#This Row],[Cell_ID]],'registe maintenance'!A:B,2,FALSE)," non répertoriées")</f>
        <v xml:space="preserve"> non répertoriées</v>
      </c>
      <c r="F562" t="str">
        <f>IFERROR(VLOOKUP(logos[[#This Row],[Cell_ID]],'registe maintenance'!A:C,3,FALSE)," non répertoriées")</f>
        <v xml:space="preserve"> non répertoriées</v>
      </c>
      <c r="G562" t="str">
        <f>IFERROR(VLOOKUP(logos[[#This Row],[Cell_ID]],'registe maintenance'!A:D,4,FALSE)," non répertoriées")</f>
        <v xml:space="preserve"> non répertoriées</v>
      </c>
      <c r="H562" t="str">
        <f>IFERROR(VLOOKUP(logos[[#This Row],[Cell_ID]],'registe maintenance'!A:E,5,FALSE)," non répertoriées")</f>
        <v xml:space="preserve"> non répertoriées</v>
      </c>
      <c r="I562" t="str">
        <f>IFERROR(VLOOKUP(logos[[#This Row],[Cell_ID]],'registe maintenance'!A:F,6,FALSE)," non répertoriées")</f>
        <v xml:space="preserve"> non répertoriées</v>
      </c>
      <c r="J562">
        <f>IFERROR(VLOOKUP(B562,'logos transformer '!A:B,2,FALSE),"na")</f>
        <v>1</v>
      </c>
      <c r="K562">
        <f>IFERROR(VLOOKUP(B562,'logos transformer '!A:C,3,FALSE),"na")</f>
        <v>63</v>
      </c>
      <c r="L562" s="1">
        <f>IFERROR(VLOOKUP(B562,'logos transformer '!A:D,4,FALSE),"na")</f>
        <v>45212.680555555555</v>
      </c>
    </row>
    <row r="563" spans="1:12" x14ac:dyDescent="0.3">
      <c r="A563" s="1">
        <v>45222.55972222222</v>
      </c>
      <c r="B563" t="s">
        <v>430</v>
      </c>
      <c r="C563">
        <v>26</v>
      </c>
      <c r="D563" t="s">
        <v>10</v>
      </c>
      <c r="E563" t="str">
        <f>IFERROR(VLOOKUP(logos[[#This Row],[Cell_ID]],'registe maintenance'!A:B,2,FALSE)," non répertoriées")</f>
        <v xml:space="preserve"> non répertoriées</v>
      </c>
      <c r="F563" t="str">
        <f>IFERROR(VLOOKUP(logos[[#This Row],[Cell_ID]],'registe maintenance'!A:C,3,FALSE)," non répertoriées")</f>
        <v xml:space="preserve"> non répertoriées</v>
      </c>
      <c r="G563" t="str">
        <f>IFERROR(VLOOKUP(logos[[#This Row],[Cell_ID]],'registe maintenance'!A:D,4,FALSE)," non répertoriées")</f>
        <v xml:space="preserve"> non répertoriées</v>
      </c>
      <c r="H563" t="str">
        <f>IFERROR(VLOOKUP(logos[[#This Row],[Cell_ID]],'registe maintenance'!A:E,5,FALSE)," non répertoriées")</f>
        <v xml:space="preserve"> non répertoriées</v>
      </c>
      <c r="I563" t="str">
        <f>IFERROR(VLOOKUP(logos[[#This Row],[Cell_ID]],'registe maintenance'!A:F,6,FALSE)," non répertoriées")</f>
        <v xml:space="preserve"> non répertoriées</v>
      </c>
      <c r="J563">
        <f>IFERROR(VLOOKUP(B563,'logos transformer '!A:B,2,FALSE),"na")</f>
        <v>2</v>
      </c>
      <c r="K563">
        <f>IFERROR(VLOOKUP(B563,'logos transformer '!A:C,3,FALSE),"na")</f>
        <v>66</v>
      </c>
      <c r="L563" s="1">
        <f>IFERROR(VLOOKUP(B563,'logos transformer '!A:D,4,FALSE),"na")</f>
        <v>45222.55972222222</v>
      </c>
    </row>
    <row r="564" spans="1:12" x14ac:dyDescent="0.3">
      <c r="A564" s="1">
        <v>45204.39166666667</v>
      </c>
      <c r="B564" t="s">
        <v>154</v>
      </c>
      <c r="C564">
        <v>98</v>
      </c>
      <c r="D564" t="s">
        <v>10</v>
      </c>
      <c r="E564" t="str">
        <f>IFERROR(VLOOKUP(logos[[#This Row],[Cell_ID]],'registe maintenance'!A:B,2,FALSE)," non répertoriées")</f>
        <v xml:space="preserve"> non répertoriées</v>
      </c>
      <c r="F564" t="str">
        <f>IFERROR(VLOOKUP(logos[[#This Row],[Cell_ID]],'registe maintenance'!A:C,3,FALSE)," non répertoriées")</f>
        <v xml:space="preserve"> non répertoriées</v>
      </c>
      <c r="G564" t="str">
        <f>IFERROR(VLOOKUP(logos[[#This Row],[Cell_ID]],'registe maintenance'!A:D,4,FALSE)," non répertoriées")</f>
        <v xml:space="preserve"> non répertoriées</v>
      </c>
      <c r="H564" t="str">
        <f>IFERROR(VLOOKUP(logos[[#This Row],[Cell_ID]],'registe maintenance'!A:E,5,FALSE)," non répertoriées")</f>
        <v xml:space="preserve"> non répertoriées</v>
      </c>
      <c r="I564" t="str">
        <f>IFERROR(VLOOKUP(logos[[#This Row],[Cell_ID]],'registe maintenance'!A:F,6,FALSE)," non répertoriées")</f>
        <v xml:space="preserve"> non répertoriées</v>
      </c>
      <c r="J564">
        <f>IFERROR(VLOOKUP(B564,'logos transformer '!A:B,2,FALSE),"na")</f>
        <v>3</v>
      </c>
      <c r="K564">
        <f>IFERROR(VLOOKUP(B564,'logos transformer '!A:C,3,FALSE),"na")</f>
        <v>208</v>
      </c>
      <c r="L564" s="1">
        <f>IFERROR(VLOOKUP(B564,'logos transformer '!A:D,4,FALSE),"na")</f>
        <v>45230.565972222219</v>
      </c>
    </row>
    <row r="565" spans="1:12" x14ac:dyDescent="0.3">
      <c r="A565" s="1">
        <v>45205.729166666657</v>
      </c>
      <c r="B565" t="s">
        <v>431</v>
      </c>
      <c r="C565">
        <v>106</v>
      </c>
      <c r="D565" t="s">
        <v>10</v>
      </c>
      <c r="E565" t="str">
        <f>IFERROR(VLOOKUP(logos[[#This Row],[Cell_ID]],'registe maintenance'!A:B,2,FALSE)," non répertoriées")</f>
        <v>Haut-Katanga</v>
      </c>
      <c r="F565">
        <f>IFERROR(VLOOKUP(logos[[#This Row],[Cell_ID]],'registe maintenance'!A:C,3,FALSE)," non répertoriées")</f>
        <v>-4.4958720000000003</v>
      </c>
      <c r="G565">
        <f>IFERROR(VLOOKUP(logos[[#This Row],[Cell_ID]],'registe maintenance'!A:D,4,FALSE)," non répertoriées")</f>
        <v>18.514112000000001</v>
      </c>
      <c r="H565" t="str">
        <f>IFERROR(VLOOKUP(logos[[#This Row],[Cell_ID]],'registe maintenance'!A:E,5,FALSE)," non répertoriées")</f>
        <v>4G</v>
      </c>
      <c r="I565" t="str">
        <f>IFERROR(VLOOKUP(logos[[#This Row],[Cell_ID]],'registe maintenance'!A:F,6,FALSE)," non répertoriées")</f>
        <v>Nokia</v>
      </c>
      <c r="J565">
        <f>IFERROR(VLOOKUP(B565,'logos transformer '!A:B,2,FALSE),"na")</f>
        <v>2</v>
      </c>
      <c r="K565">
        <f>IFERROR(VLOOKUP(B565,'logos transformer '!A:C,3,FALSE),"na")</f>
        <v>148</v>
      </c>
      <c r="L565" s="1">
        <f>IFERROR(VLOOKUP(B565,'logos transformer '!A:D,4,FALSE),"na")</f>
        <v>45223.293749999997</v>
      </c>
    </row>
    <row r="566" spans="1:12" x14ac:dyDescent="0.3">
      <c r="A566" s="1">
        <v>45207.304861111108</v>
      </c>
      <c r="B566" t="s">
        <v>9</v>
      </c>
      <c r="C566">
        <v>50</v>
      </c>
      <c r="D566" t="s">
        <v>8</v>
      </c>
      <c r="E566" t="str">
        <f>IFERROR(VLOOKUP(logos[[#This Row],[Cell_ID]],'registe maintenance'!A:B,2,FALSE)," non répertoriées")</f>
        <v xml:space="preserve"> non répertoriées</v>
      </c>
      <c r="F566" t="str">
        <f>IFERROR(VLOOKUP(logos[[#This Row],[Cell_ID]],'registe maintenance'!A:C,3,FALSE)," non répertoriées")</f>
        <v xml:space="preserve"> non répertoriées</v>
      </c>
      <c r="G566" t="str">
        <f>IFERROR(VLOOKUP(logos[[#This Row],[Cell_ID]],'registe maintenance'!A:D,4,FALSE)," non répertoriées")</f>
        <v xml:space="preserve"> non répertoriées</v>
      </c>
      <c r="H566" t="str">
        <f>IFERROR(VLOOKUP(logos[[#This Row],[Cell_ID]],'registe maintenance'!A:E,5,FALSE)," non répertoriées")</f>
        <v xml:space="preserve"> non répertoriées</v>
      </c>
      <c r="I566" t="str">
        <f>IFERROR(VLOOKUP(logos[[#This Row],[Cell_ID]],'registe maintenance'!A:F,6,FALSE)," non répertoriées")</f>
        <v xml:space="preserve"> non répertoriées</v>
      </c>
      <c r="J566">
        <f>IFERROR(VLOOKUP(B566,'logos transformer '!A:B,2,FALSE),"na")</f>
        <v>2</v>
      </c>
      <c r="K566">
        <f>IFERROR(VLOOKUP(B566,'logos transformer '!A:C,3,FALSE),"na")</f>
        <v>129</v>
      </c>
      <c r="L566" s="1">
        <f>IFERROR(VLOOKUP(B566,'logos transformer '!A:D,4,FALSE),"na")</f>
        <v>45221.997916666667</v>
      </c>
    </row>
    <row r="567" spans="1:12" x14ac:dyDescent="0.3">
      <c r="A567" s="1">
        <v>45227.92291666667</v>
      </c>
      <c r="B567" t="s">
        <v>127</v>
      </c>
      <c r="C567">
        <v>26</v>
      </c>
      <c r="D567" t="s">
        <v>10</v>
      </c>
      <c r="E567" t="str">
        <f>IFERROR(VLOOKUP(logos[[#This Row],[Cell_ID]],'registe maintenance'!A:B,2,FALSE)," non répertoriées")</f>
        <v>Nord-Kivu</v>
      </c>
      <c r="F567">
        <f>IFERROR(VLOOKUP(logos[[#This Row],[Cell_ID]],'registe maintenance'!A:C,3,FALSE)," non répertoriées")</f>
        <v>-10.25074</v>
      </c>
      <c r="G567">
        <f>IFERROR(VLOOKUP(logos[[#This Row],[Cell_ID]],'registe maintenance'!A:D,4,FALSE)," non répertoriées")</f>
        <v>26.099086</v>
      </c>
      <c r="H567" t="str">
        <f>IFERROR(VLOOKUP(logos[[#This Row],[Cell_ID]],'registe maintenance'!A:E,5,FALSE)," non répertoriées")</f>
        <v>4G</v>
      </c>
      <c r="I567" t="str">
        <f>IFERROR(VLOOKUP(logos[[#This Row],[Cell_ID]],'registe maintenance'!A:F,6,FALSE)," non répertoriées")</f>
        <v>Huawei</v>
      </c>
      <c r="J567">
        <f>IFERROR(VLOOKUP(B567,'logos transformer '!A:B,2,FALSE),"na")</f>
        <v>5</v>
      </c>
      <c r="K567">
        <f>IFERROR(VLOOKUP(B567,'logos transformer '!A:C,3,FALSE),"na")</f>
        <v>237</v>
      </c>
      <c r="L567" s="1">
        <f>IFERROR(VLOOKUP(B567,'logos transformer '!A:D,4,FALSE),"na")</f>
        <v>45227.92291666667</v>
      </c>
    </row>
    <row r="568" spans="1:12" x14ac:dyDescent="0.3">
      <c r="A568" s="1">
        <v>45225.623611111107</v>
      </c>
      <c r="B568" t="s">
        <v>432</v>
      </c>
      <c r="C568">
        <v>22</v>
      </c>
      <c r="D568" t="s">
        <v>5</v>
      </c>
      <c r="E568" t="str">
        <f>IFERROR(VLOOKUP(logos[[#This Row],[Cell_ID]],'registe maintenance'!A:B,2,FALSE)," non répertoriées")</f>
        <v>Mai-Ndombe</v>
      </c>
      <c r="F568">
        <f>IFERROR(VLOOKUP(logos[[#This Row],[Cell_ID]],'registe maintenance'!A:C,3,FALSE)," non répertoriées")</f>
        <v>-0.47411900000000001</v>
      </c>
      <c r="G568">
        <f>IFERROR(VLOOKUP(logos[[#This Row],[Cell_ID]],'registe maintenance'!A:D,4,FALSE)," non répertoriées")</f>
        <v>27.184329000000002</v>
      </c>
      <c r="H568" t="str">
        <f>IFERROR(VLOOKUP(logos[[#This Row],[Cell_ID]],'registe maintenance'!A:E,5,FALSE)," non répertoriées")</f>
        <v>5G</v>
      </c>
      <c r="I568" t="str">
        <f>IFERROR(VLOOKUP(logos[[#This Row],[Cell_ID]],'registe maintenance'!A:F,6,FALSE)," non répertoriées")</f>
        <v>ZTE</v>
      </c>
      <c r="J568">
        <f>IFERROR(VLOOKUP(B568,'logos transformer '!A:B,2,FALSE),"na")</f>
        <v>2</v>
      </c>
      <c r="K568">
        <f>IFERROR(VLOOKUP(B568,'logos transformer '!A:C,3,FALSE),"na")</f>
        <v>89</v>
      </c>
      <c r="L568" s="1">
        <f>IFERROR(VLOOKUP(B568,'logos transformer '!A:D,4,FALSE),"na")</f>
        <v>45227.77847222222</v>
      </c>
    </row>
    <row r="569" spans="1:12" x14ac:dyDescent="0.3">
      <c r="A569" s="1">
        <v>45201.726388888892</v>
      </c>
      <c r="B569" t="s">
        <v>433</v>
      </c>
      <c r="C569">
        <v>97</v>
      </c>
      <c r="D569" t="s">
        <v>8</v>
      </c>
      <c r="E569" t="str">
        <f>IFERROR(VLOOKUP(logos[[#This Row],[Cell_ID]],'registe maintenance'!A:B,2,FALSE)," non répertoriées")</f>
        <v>Kasai-Oriental</v>
      </c>
      <c r="F569">
        <f>IFERROR(VLOOKUP(logos[[#This Row],[Cell_ID]],'registe maintenance'!A:C,3,FALSE)," non répertoriées")</f>
        <v>-4.3639070000000002</v>
      </c>
      <c r="G569">
        <f>IFERROR(VLOOKUP(logos[[#This Row],[Cell_ID]],'registe maintenance'!A:D,4,FALSE)," non répertoriées")</f>
        <v>16.283307000000001</v>
      </c>
      <c r="H569" t="str">
        <f>IFERROR(VLOOKUP(logos[[#This Row],[Cell_ID]],'registe maintenance'!A:E,5,FALSE)," non répertoriées")</f>
        <v>5G</v>
      </c>
      <c r="I569" t="str">
        <f>IFERROR(VLOOKUP(logos[[#This Row],[Cell_ID]],'registe maintenance'!A:F,6,FALSE)," non répertoriées")</f>
        <v>Huawei</v>
      </c>
      <c r="J569">
        <f>IFERROR(VLOOKUP(B569,'logos transformer '!A:B,2,FALSE),"na")</f>
        <v>1</v>
      </c>
      <c r="K569">
        <f>IFERROR(VLOOKUP(B569,'logos transformer '!A:C,3,FALSE),"na")</f>
        <v>97</v>
      </c>
      <c r="L569" s="1">
        <f>IFERROR(VLOOKUP(B569,'logos transformer '!A:D,4,FALSE),"na")</f>
        <v>45201.726388888892</v>
      </c>
    </row>
    <row r="570" spans="1:12" x14ac:dyDescent="0.3">
      <c r="A570" s="1">
        <v>45230.565972222219</v>
      </c>
      <c r="B570" t="s">
        <v>154</v>
      </c>
      <c r="C570">
        <v>74</v>
      </c>
      <c r="D570" t="s">
        <v>5</v>
      </c>
      <c r="E570" t="str">
        <f>IFERROR(VLOOKUP(logos[[#This Row],[Cell_ID]],'registe maintenance'!A:B,2,FALSE)," non répertoriées")</f>
        <v xml:space="preserve"> non répertoriées</v>
      </c>
      <c r="F570" t="str">
        <f>IFERROR(VLOOKUP(logos[[#This Row],[Cell_ID]],'registe maintenance'!A:C,3,FALSE)," non répertoriées")</f>
        <v xml:space="preserve"> non répertoriées</v>
      </c>
      <c r="G570" t="str">
        <f>IFERROR(VLOOKUP(logos[[#This Row],[Cell_ID]],'registe maintenance'!A:D,4,FALSE)," non répertoriées")</f>
        <v xml:space="preserve"> non répertoriées</v>
      </c>
      <c r="H570" t="str">
        <f>IFERROR(VLOOKUP(logos[[#This Row],[Cell_ID]],'registe maintenance'!A:E,5,FALSE)," non répertoriées")</f>
        <v xml:space="preserve"> non répertoriées</v>
      </c>
      <c r="I570" t="str">
        <f>IFERROR(VLOOKUP(logos[[#This Row],[Cell_ID]],'registe maintenance'!A:F,6,FALSE)," non répertoriées")</f>
        <v xml:space="preserve"> non répertoriées</v>
      </c>
      <c r="J570">
        <f>IFERROR(VLOOKUP(B570,'logos transformer '!A:B,2,FALSE),"na")</f>
        <v>3</v>
      </c>
      <c r="K570">
        <f>IFERROR(VLOOKUP(B570,'logos transformer '!A:C,3,FALSE),"na")</f>
        <v>208</v>
      </c>
      <c r="L570" s="1">
        <f>IFERROR(VLOOKUP(B570,'logos transformer '!A:D,4,FALSE),"na")</f>
        <v>45230.565972222219</v>
      </c>
    </row>
    <row r="571" spans="1:12" x14ac:dyDescent="0.3">
      <c r="A571" s="1">
        <v>45216.183333333327</v>
      </c>
      <c r="B571" t="s">
        <v>303</v>
      </c>
      <c r="C571">
        <v>67</v>
      </c>
      <c r="D571" t="s">
        <v>8</v>
      </c>
      <c r="E571" t="str">
        <f>IFERROR(VLOOKUP(logos[[#This Row],[Cell_ID]],'registe maintenance'!A:B,2,FALSE)," non répertoriées")</f>
        <v>Lualaba</v>
      </c>
      <c r="F571">
        <f>IFERROR(VLOOKUP(logos[[#This Row],[Cell_ID]],'registe maintenance'!A:C,3,FALSE)," non répertoriées")</f>
        <v>-10.967288</v>
      </c>
      <c r="G571">
        <f>IFERROR(VLOOKUP(logos[[#This Row],[Cell_ID]],'registe maintenance'!A:D,4,FALSE)," non répertoriées")</f>
        <v>17.617781000000001</v>
      </c>
      <c r="H571" t="str">
        <f>IFERROR(VLOOKUP(logos[[#This Row],[Cell_ID]],'registe maintenance'!A:E,5,FALSE)," non répertoriées")</f>
        <v>4G</v>
      </c>
      <c r="I571" t="str">
        <f>IFERROR(VLOOKUP(logos[[#This Row],[Cell_ID]],'registe maintenance'!A:F,6,FALSE)," non répertoriées")</f>
        <v>Ericsson</v>
      </c>
      <c r="J571">
        <f>IFERROR(VLOOKUP(B571,'logos transformer '!A:B,2,FALSE),"na")</f>
        <v>3</v>
      </c>
      <c r="K571">
        <f>IFERROR(VLOOKUP(B571,'logos transformer '!A:C,3,FALSE),"na")</f>
        <v>133</v>
      </c>
      <c r="L571" s="1">
        <f>IFERROR(VLOOKUP(B571,'logos transformer '!A:D,4,FALSE),"na")</f>
        <v>45229.39166666667</v>
      </c>
    </row>
    <row r="572" spans="1:12" x14ac:dyDescent="0.3">
      <c r="A572" s="1">
        <v>45207.342361111107</v>
      </c>
      <c r="B572" t="s">
        <v>434</v>
      </c>
      <c r="C572">
        <v>28</v>
      </c>
      <c r="D572" t="s">
        <v>5</v>
      </c>
      <c r="E572" t="str">
        <f>IFERROR(VLOOKUP(logos[[#This Row],[Cell_ID]],'registe maintenance'!A:B,2,FALSE)," non répertoriées")</f>
        <v>Bas-Uele</v>
      </c>
      <c r="F572">
        <f>IFERROR(VLOOKUP(logos[[#This Row],[Cell_ID]],'registe maintenance'!A:C,3,FALSE)," non répertoriées")</f>
        <v>0.40267799999999998</v>
      </c>
      <c r="G572">
        <f>IFERROR(VLOOKUP(logos[[#This Row],[Cell_ID]],'registe maintenance'!A:D,4,FALSE)," non répertoriées")</f>
        <v>16.000858000000001</v>
      </c>
      <c r="H572" t="str">
        <f>IFERROR(VLOOKUP(logos[[#This Row],[Cell_ID]],'registe maintenance'!A:E,5,FALSE)," non répertoriées")</f>
        <v>3G</v>
      </c>
      <c r="I572" t="str">
        <f>IFERROR(VLOOKUP(logos[[#This Row],[Cell_ID]],'registe maintenance'!A:F,6,FALSE)," non répertoriées")</f>
        <v>Nokia</v>
      </c>
      <c r="J572">
        <f>IFERROR(VLOOKUP(B572,'logos transformer '!A:B,2,FALSE),"na")</f>
        <v>1</v>
      </c>
      <c r="K572">
        <f>IFERROR(VLOOKUP(B572,'logos transformer '!A:C,3,FALSE),"na")</f>
        <v>28</v>
      </c>
      <c r="L572" s="1">
        <f>IFERROR(VLOOKUP(B572,'logos transformer '!A:D,4,FALSE),"na")</f>
        <v>45207.342361111114</v>
      </c>
    </row>
    <row r="573" spans="1:12" x14ac:dyDescent="0.3">
      <c r="A573" s="1">
        <v>45210.836805555547</v>
      </c>
      <c r="B573" t="s">
        <v>435</v>
      </c>
      <c r="C573">
        <v>118</v>
      </c>
      <c r="D573" t="s">
        <v>5</v>
      </c>
      <c r="E573" t="str">
        <f>IFERROR(VLOOKUP(logos[[#This Row],[Cell_ID]],'registe maintenance'!A:B,2,FALSE)," non répertoriées")</f>
        <v>Mongala</v>
      </c>
      <c r="F573">
        <f>IFERROR(VLOOKUP(logos[[#This Row],[Cell_ID]],'registe maintenance'!A:C,3,FALSE)," non répertoriées")</f>
        <v>-11.407966</v>
      </c>
      <c r="G573">
        <f>IFERROR(VLOOKUP(logos[[#This Row],[Cell_ID]],'registe maintenance'!A:D,4,FALSE)," non répertoriées")</f>
        <v>28.378274000000001</v>
      </c>
      <c r="H573" t="str">
        <f>IFERROR(VLOOKUP(logos[[#This Row],[Cell_ID]],'registe maintenance'!A:E,5,FALSE)," non répertoriées")</f>
        <v>4G</v>
      </c>
      <c r="I573" t="str">
        <f>IFERROR(VLOOKUP(logos[[#This Row],[Cell_ID]],'registe maintenance'!A:F,6,FALSE)," non répertoriées")</f>
        <v>ZTE</v>
      </c>
      <c r="J573">
        <f>IFERROR(VLOOKUP(B573,'logos transformer '!A:B,2,FALSE),"na")</f>
        <v>2</v>
      </c>
      <c r="K573">
        <f>IFERROR(VLOOKUP(B573,'logos transformer '!A:C,3,FALSE),"na")</f>
        <v>226</v>
      </c>
      <c r="L573" s="1">
        <f>IFERROR(VLOOKUP(B573,'logos transformer '!A:D,4,FALSE),"na")</f>
        <v>45214.160416666666</v>
      </c>
    </row>
    <row r="574" spans="1:12" x14ac:dyDescent="0.3">
      <c r="A574" s="1">
        <v>45229.620833333327</v>
      </c>
      <c r="B574" t="s">
        <v>436</v>
      </c>
      <c r="C574">
        <v>74</v>
      </c>
      <c r="D574" t="s">
        <v>10</v>
      </c>
      <c r="E574" t="str">
        <f>IFERROR(VLOOKUP(logos[[#This Row],[Cell_ID]],'registe maintenance'!A:B,2,FALSE)," non répertoriées")</f>
        <v>Haut-Uele</v>
      </c>
      <c r="F574">
        <f>IFERROR(VLOOKUP(logos[[#This Row],[Cell_ID]],'registe maintenance'!A:C,3,FALSE)," non répertoriées")</f>
        <v>-12.488033</v>
      </c>
      <c r="G574">
        <f>IFERROR(VLOOKUP(logos[[#This Row],[Cell_ID]],'registe maintenance'!A:D,4,FALSE)," non répertoriées")</f>
        <v>16.139648000000001</v>
      </c>
      <c r="H574" t="str">
        <f>IFERROR(VLOOKUP(logos[[#This Row],[Cell_ID]],'registe maintenance'!A:E,5,FALSE)," non répertoriées")</f>
        <v>4G</v>
      </c>
      <c r="I574" t="str">
        <f>IFERROR(VLOOKUP(logos[[#This Row],[Cell_ID]],'registe maintenance'!A:F,6,FALSE)," non répertoriées")</f>
        <v>Huawei</v>
      </c>
      <c r="J574">
        <f>IFERROR(VLOOKUP(B574,'logos transformer '!A:B,2,FALSE),"na")</f>
        <v>1</v>
      </c>
      <c r="K574">
        <f>IFERROR(VLOOKUP(B574,'logos transformer '!A:C,3,FALSE),"na")</f>
        <v>74</v>
      </c>
      <c r="L574" s="1">
        <f>IFERROR(VLOOKUP(B574,'logos transformer '!A:D,4,FALSE),"na")</f>
        <v>45229.620833333334</v>
      </c>
    </row>
    <row r="575" spans="1:12" x14ac:dyDescent="0.3">
      <c r="A575" s="1">
        <v>45211.106944444437</v>
      </c>
      <c r="B575" t="s">
        <v>91</v>
      </c>
      <c r="C575">
        <v>87</v>
      </c>
      <c r="D575" t="s">
        <v>10</v>
      </c>
      <c r="E575" t="str">
        <f>IFERROR(VLOOKUP(logos[[#This Row],[Cell_ID]],'registe maintenance'!A:B,2,FALSE)," non répertoriées")</f>
        <v>Sud-Kivu</v>
      </c>
      <c r="F575">
        <f>IFERROR(VLOOKUP(logos[[#This Row],[Cell_ID]],'registe maintenance'!A:C,3,FALSE)," non répertoriées")</f>
        <v>-5.2526849999999996</v>
      </c>
      <c r="G575">
        <f>IFERROR(VLOOKUP(logos[[#This Row],[Cell_ID]],'registe maintenance'!A:D,4,FALSE)," non répertoriées")</f>
        <v>12.374528</v>
      </c>
      <c r="H575" t="str">
        <f>IFERROR(VLOOKUP(logos[[#This Row],[Cell_ID]],'registe maintenance'!A:E,5,FALSE)," non répertoriées")</f>
        <v>3G</v>
      </c>
      <c r="I575" t="str">
        <f>IFERROR(VLOOKUP(logos[[#This Row],[Cell_ID]],'registe maintenance'!A:F,6,FALSE)," non répertoriées")</f>
        <v>Nokia</v>
      </c>
      <c r="J575">
        <f>IFERROR(VLOOKUP(B575,'logos transformer '!A:B,2,FALSE),"na")</f>
        <v>3</v>
      </c>
      <c r="K575">
        <f>IFERROR(VLOOKUP(B575,'logos transformer '!A:C,3,FALSE),"na")</f>
        <v>195</v>
      </c>
      <c r="L575" s="1">
        <f>IFERROR(VLOOKUP(B575,'logos transformer '!A:D,4,FALSE),"na")</f>
        <v>45221.84652777778</v>
      </c>
    </row>
    <row r="576" spans="1:12" x14ac:dyDescent="0.3">
      <c r="A576" s="1">
        <v>45223.252083333333</v>
      </c>
      <c r="B576" t="s">
        <v>245</v>
      </c>
      <c r="C576">
        <v>12</v>
      </c>
      <c r="D576" t="s">
        <v>8</v>
      </c>
      <c r="E576" t="str">
        <f>IFERROR(VLOOKUP(logos[[#This Row],[Cell_ID]],'registe maintenance'!A:B,2,FALSE)," non répertoriées")</f>
        <v>Nord-Kivu</v>
      </c>
      <c r="F576">
        <f>IFERROR(VLOOKUP(logos[[#This Row],[Cell_ID]],'registe maintenance'!A:C,3,FALSE)," non répertoriées")</f>
        <v>-10.846306999999999</v>
      </c>
      <c r="G576">
        <f>IFERROR(VLOOKUP(logos[[#This Row],[Cell_ID]],'registe maintenance'!A:D,4,FALSE)," non répertoriées")</f>
        <v>19.201827999999999</v>
      </c>
      <c r="H576" t="str">
        <f>IFERROR(VLOOKUP(logos[[#This Row],[Cell_ID]],'registe maintenance'!A:E,5,FALSE)," non répertoriées")</f>
        <v>4G</v>
      </c>
      <c r="I576" t="str">
        <f>IFERROR(VLOOKUP(logos[[#This Row],[Cell_ID]],'registe maintenance'!A:F,6,FALSE)," non répertoriées")</f>
        <v>Ericsson</v>
      </c>
      <c r="J576">
        <f>IFERROR(VLOOKUP(B576,'logos transformer '!A:B,2,FALSE),"na")</f>
        <v>3</v>
      </c>
      <c r="K576">
        <f>IFERROR(VLOOKUP(B576,'logos transformer '!A:C,3,FALSE),"na")</f>
        <v>121</v>
      </c>
      <c r="L576" s="1">
        <f>IFERROR(VLOOKUP(B576,'logos transformer '!A:D,4,FALSE),"na")</f>
        <v>45223.252083333333</v>
      </c>
    </row>
    <row r="577" spans="1:12" x14ac:dyDescent="0.3">
      <c r="A577" s="1">
        <v>45208.529861111107</v>
      </c>
      <c r="B577" t="s">
        <v>437</v>
      </c>
      <c r="C577">
        <v>72</v>
      </c>
      <c r="D577" t="s">
        <v>10</v>
      </c>
      <c r="E577" t="str">
        <f>IFERROR(VLOOKUP(logos[[#This Row],[Cell_ID]],'registe maintenance'!A:B,2,FALSE)," non répertoriées")</f>
        <v xml:space="preserve"> non répertoriées</v>
      </c>
      <c r="F577" t="str">
        <f>IFERROR(VLOOKUP(logos[[#This Row],[Cell_ID]],'registe maintenance'!A:C,3,FALSE)," non répertoriées")</f>
        <v xml:space="preserve"> non répertoriées</v>
      </c>
      <c r="G577" t="str">
        <f>IFERROR(VLOOKUP(logos[[#This Row],[Cell_ID]],'registe maintenance'!A:D,4,FALSE)," non répertoriées")</f>
        <v xml:space="preserve"> non répertoriées</v>
      </c>
      <c r="H577" t="str">
        <f>IFERROR(VLOOKUP(logos[[#This Row],[Cell_ID]],'registe maintenance'!A:E,5,FALSE)," non répertoriées")</f>
        <v xml:space="preserve"> non répertoriées</v>
      </c>
      <c r="I577" t="str">
        <f>IFERROR(VLOOKUP(logos[[#This Row],[Cell_ID]],'registe maintenance'!A:F,6,FALSE)," non répertoriées")</f>
        <v xml:space="preserve"> non répertoriées</v>
      </c>
      <c r="J577">
        <f>IFERROR(VLOOKUP(B577,'logos transformer '!A:B,2,FALSE),"na")</f>
        <v>1</v>
      </c>
      <c r="K577">
        <f>IFERROR(VLOOKUP(B577,'logos transformer '!A:C,3,FALSE),"na")</f>
        <v>72</v>
      </c>
      <c r="L577" s="1">
        <f>IFERROR(VLOOKUP(B577,'logos transformer '!A:D,4,FALSE),"na")</f>
        <v>45208.529861111114</v>
      </c>
    </row>
    <row r="578" spans="1:12" x14ac:dyDescent="0.3">
      <c r="A578" s="1">
        <v>45219.793055555558</v>
      </c>
      <c r="B578" t="s">
        <v>225</v>
      </c>
      <c r="C578">
        <v>9</v>
      </c>
      <c r="D578" t="s">
        <v>8</v>
      </c>
      <c r="E578" t="str">
        <f>IFERROR(VLOOKUP(logos[[#This Row],[Cell_ID]],'registe maintenance'!A:B,2,FALSE)," non répertoriées")</f>
        <v xml:space="preserve"> non répertoriées</v>
      </c>
      <c r="F578" t="str">
        <f>IFERROR(VLOOKUP(logos[[#This Row],[Cell_ID]],'registe maintenance'!A:C,3,FALSE)," non répertoriées")</f>
        <v xml:space="preserve"> non répertoriées</v>
      </c>
      <c r="G578" t="str">
        <f>IFERROR(VLOOKUP(logos[[#This Row],[Cell_ID]],'registe maintenance'!A:D,4,FALSE)," non répertoriées")</f>
        <v xml:space="preserve"> non répertoriées</v>
      </c>
      <c r="H578" t="str">
        <f>IFERROR(VLOOKUP(logos[[#This Row],[Cell_ID]],'registe maintenance'!A:E,5,FALSE)," non répertoriées")</f>
        <v xml:space="preserve"> non répertoriées</v>
      </c>
      <c r="I578" t="str">
        <f>IFERROR(VLOOKUP(logos[[#This Row],[Cell_ID]],'registe maintenance'!A:F,6,FALSE)," non répertoriées")</f>
        <v xml:space="preserve"> non répertoriées</v>
      </c>
      <c r="J578">
        <f>IFERROR(VLOOKUP(B578,'logos transformer '!A:B,2,FALSE),"na")</f>
        <v>3</v>
      </c>
      <c r="K578">
        <f>IFERROR(VLOOKUP(B578,'logos transformer '!A:C,3,FALSE),"na")</f>
        <v>105</v>
      </c>
      <c r="L578" s="1">
        <f>IFERROR(VLOOKUP(B578,'logos transformer '!A:D,4,FALSE),"na")</f>
        <v>45230.726388888892</v>
      </c>
    </row>
    <row r="579" spans="1:12" x14ac:dyDescent="0.3">
      <c r="A579" s="1">
        <v>45227.091666666667</v>
      </c>
      <c r="B579" t="s">
        <v>438</v>
      </c>
      <c r="C579">
        <v>112</v>
      </c>
      <c r="D579" t="s">
        <v>5</v>
      </c>
      <c r="E579" t="str">
        <f>IFERROR(VLOOKUP(logos[[#This Row],[Cell_ID]],'registe maintenance'!A:B,2,FALSE)," non répertoriées")</f>
        <v>Kwilu</v>
      </c>
      <c r="F579">
        <f>IFERROR(VLOOKUP(logos[[#This Row],[Cell_ID]],'registe maintenance'!A:C,3,FALSE)," non répertoriées")</f>
        <v>-10.161428000000001</v>
      </c>
      <c r="G579">
        <f>IFERROR(VLOOKUP(logos[[#This Row],[Cell_ID]],'registe maintenance'!A:D,4,FALSE)," non répertoriées")</f>
        <v>19.362325999999999</v>
      </c>
      <c r="H579" t="str">
        <f>IFERROR(VLOOKUP(logos[[#This Row],[Cell_ID]],'registe maintenance'!A:E,5,FALSE)," non répertoriées")</f>
        <v>3G</v>
      </c>
      <c r="I579" t="str">
        <f>IFERROR(VLOOKUP(logos[[#This Row],[Cell_ID]],'registe maintenance'!A:F,6,FALSE)," non répertoriées")</f>
        <v>Nokia</v>
      </c>
      <c r="J579">
        <f>IFERROR(VLOOKUP(B579,'logos transformer '!A:B,2,FALSE),"na")</f>
        <v>1</v>
      </c>
      <c r="K579">
        <f>IFERROR(VLOOKUP(B579,'logos transformer '!A:C,3,FALSE),"na")</f>
        <v>112</v>
      </c>
      <c r="L579" s="1">
        <f>IFERROR(VLOOKUP(B579,'logos transformer '!A:D,4,FALSE),"na")</f>
        <v>45227.091666666667</v>
      </c>
    </row>
    <row r="580" spans="1:12" x14ac:dyDescent="0.3">
      <c r="A580" s="1">
        <v>45225.781944444447</v>
      </c>
      <c r="B580" t="s">
        <v>439</v>
      </c>
      <c r="C580">
        <v>113</v>
      </c>
      <c r="D580" t="s">
        <v>8</v>
      </c>
      <c r="E580" t="str">
        <f>IFERROR(VLOOKUP(logos[[#This Row],[Cell_ID]],'registe maintenance'!A:B,2,FALSE)," non répertoriées")</f>
        <v>Tanganyika</v>
      </c>
      <c r="F580">
        <f>IFERROR(VLOOKUP(logos[[#This Row],[Cell_ID]],'registe maintenance'!A:C,3,FALSE)," non répertoriées")</f>
        <v>-7.9425049999999997</v>
      </c>
      <c r="G580">
        <f>IFERROR(VLOOKUP(logos[[#This Row],[Cell_ID]],'registe maintenance'!A:D,4,FALSE)," non répertoriées")</f>
        <v>24.111059000000001</v>
      </c>
      <c r="H580" t="str">
        <f>IFERROR(VLOOKUP(logos[[#This Row],[Cell_ID]],'registe maintenance'!A:E,5,FALSE)," non répertoriées")</f>
        <v>3G</v>
      </c>
      <c r="I580" t="str">
        <f>IFERROR(VLOOKUP(logos[[#This Row],[Cell_ID]],'registe maintenance'!A:F,6,FALSE)," non répertoriées")</f>
        <v>ZTE</v>
      </c>
      <c r="J580">
        <f>IFERROR(VLOOKUP(B580,'logos transformer '!A:B,2,FALSE),"na")</f>
        <v>1</v>
      </c>
      <c r="K580">
        <f>IFERROR(VLOOKUP(B580,'logos transformer '!A:C,3,FALSE),"na")</f>
        <v>113</v>
      </c>
      <c r="L580" s="1">
        <f>IFERROR(VLOOKUP(B580,'logos transformer '!A:D,4,FALSE),"na")</f>
        <v>45225.781944444447</v>
      </c>
    </row>
    <row r="581" spans="1:12" x14ac:dyDescent="0.3">
      <c r="A581" s="1">
        <v>45221.717361111107</v>
      </c>
      <c r="B581" t="s">
        <v>35</v>
      </c>
      <c r="C581">
        <v>14</v>
      </c>
      <c r="D581" t="s">
        <v>5</v>
      </c>
      <c r="E581" t="str">
        <f>IFERROR(VLOOKUP(logos[[#This Row],[Cell_ID]],'registe maintenance'!A:B,2,FALSE)," non répertoriées")</f>
        <v>Tanganyika</v>
      </c>
      <c r="F581">
        <f>IFERROR(VLOOKUP(logos[[#This Row],[Cell_ID]],'registe maintenance'!A:C,3,FALSE)," non répertoriées")</f>
        <v>-2.4662510000000002</v>
      </c>
      <c r="G581">
        <f>IFERROR(VLOOKUP(logos[[#This Row],[Cell_ID]],'registe maintenance'!A:D,4,FALSE)," non répertoriées")</f>
        <v>18.007998000000001</v>
      </c>
      <c r="H581" t="str">
        <f>IFERROR(VLOOKUP(logos[[#This Row],[Cell_ID]],'registe maintenance'!A:E,5,FALSE)," non répertoriées")</f>
        <v>5G</v>
      </c>
      <c r="I581" t="str">
        <f>IFERROR(VLOOKUP(logos[[#This Row],[Cell_ID]],'registe maintenance'!A:F,6,FALSE)," non répertoriées")</f>
        <v>Ericsson</v>
      </c>
      <c r="J581">
        <f>IFERROR(VLOOKUP(B581,'logos transformer '!A:B,2,FALSE),"na")</f>
        <v>2</v>
      </c>
      <c r="K581">
        <f>IFERROR(VLOOKUP(B581,'logos transformer '!A:C,3,FALSE),"na")</f>
        <v>51</v>
      </c>
      <c r="L581" s="1">
        <f>IFERROR(VLOOKUP(B581,'logos transformer '!A:D,4,FALSE),"na")</f>
        <v>45221.717361111114</v>
      </c>
    </row>
    <row r="582" spans="1:12" x14ac:dyDescent="0.3">
      <c r="A582" s="1">
        <v>45215.288194444453</v>
      </c>
      <c r="B582" t="s">
        <v>440</v>
      </c>
      <c r="C582">
        <v>109</v>
      </c>
      <c r="D582" t="s">
        <v>5</v>
      </c>
      <c r="E582" t="str">
        <f>IFERROR(VLOOKUP(logos[[#This Row],[Cell_ID]],'registe maintenance'!A:B,2,FALSE)," non répertoriées")</f>
        <v>Kongo-Central</v>
      </c>
      <c r="F582">
        <f>IFERROR(VLOOKUP(logos[[#This Row],[Cell_ID]],'registe maintenance'!A:C,3,FALSE)," non répertoriées")</f>
        <v>-11.157245</v>
      </c>
      <c r="G582">
        <f>IFERROR(VLOOKUP(logos[[#This Row],[Cell_ID]],'registe maintenance'!A:D,4,FALSE)," non répertoriées")</f>
        <v>21.262627999999999</v>
      </c>
      <c r="H582" t="str">
        <f>IFERROR(VLOOKUP(logos[[#This Row],[Cell_ID]],'registe maintenance'!A:E,5,FALSE)," non répertoriées")</f>
        <v>5G</v>
      </c>
      <c r="I582" t="str">
        <f>IFERROR(VLOOKUP(logos[[#This Row],[Cell_ID]],'registe maintenance'!A:F,6,FALSE)," non répertoriées")</f>
        <v>ZTE</v>
      </c>
      <c r="J582">
        <f>IFERROR(VLOOKUP(B582,'logos transformer '!A:B,2,FALSE),"na")</f>
        <v>1</v>
      </c>
      <c r="K582">
        <f>IFERROR(VLOOKUP(B582,'logos transformer '!A:C,3,FALSE),"na")</f>
        <v>109</v>
      </c>
      <c r="L582" s="1">
        <f>IFERROR(VLOOKUP(B582,'logos transformer '!A:D,4,FALSE),"na")</f>
        <v>45215.288194444445</v>
      </c>
    </row>
    <row r="583" spans="1:12" x14ac:dyDescent="0.3">
      <c r="A583" s="1">
        <v>45229.429861111108</v>
      </c>
      <c r="B583" t="s">
        <v>282</v>
      </c>
      <c r="C583">
        <v>90</v>
      </c>
      <c r="D583" t="s">
        <v>5</v>
      </c>
      <c r="E583" t="str">
        <f>IFERROR(VLOOKUP(logos[[#This Row],[Cell_ID]],'registe maintenance'!A:B,2,FALSE)," non répertoriées")</f>
        <v xml:space="preserve"> non répertoriées</v>
      </c>
      <c r="F583" t="str">
        <f>IFERROR(VLOOKUP(logos[[#This Row],[Cell_ID]],'registe maintenance'!A:C,3,FALSE)," non répertoriées")</f>
        <v xml:space="preserve"> non répertoriées</v>
      </c>
      <c r="G583" t="str">
        <f>IFERROR(VLOOKUP(logos[[#This Row],[Cell_ID]],'registe maintenance'!A:D,4,FALSE)," non répertoriées")</f>
        <v xml:space="preserve"> non répertoriées</v>
      </c>
      <c r="H583" t="str">
        <f>IFERROR(VLOOKUP(logos[[#This Row],[Cell_ID]],'registe maintenance'!A:E,5,FALSE)," non répertoriées")</f>
        <v xml:space="preserve"> non répertoriées</v>
      </c>
      <c r="I583" t="str">
        <f>IFERROR(VLOOKUP(logos[[#This Row],[Cell_ID]],'registe maintenance'!A:F,6,FALSE)," non répertoriées")</f>
        <v xml:space="preserve"> non répertoriées</v>
      </c>
      <c r="J583">
        <f>IFERROR(VLOOKUP(B583,'logos transformer '!A:B,2,FALSE),"na")</f>
        <v>2</v>
      </c>
      <c r="K583">
        <f>IFERROR(VLOOKUP(B583,'logos transformer '!A:C,3,FALSE),"na")</f>
        <v>145</v>
      </c>
      <c r="L583" s="1">
        <f>IFERROR(VLOOKUP(B583,'logos transformer '!A:D,4,FALSE),"na")</f>
        <v>45230.776388888888</v>
      </c>
    </row>
    <row r="584" spans="1:12" x14ac:dyDescent="0.3">
      <c r="A584" s="1">
        <v>45230.009027777778</v>
      </c>
      <c r="B584" t="s">
        <v>83</v>
      </c>
      <c r="C584">
        <v>11</v>
      </c>
      <c r="D584" t="s">
        <v>8</v>
      </c>
      <c r="E584" t="str">
        <f>IFERROR(VLOOKUP(logos[[#This Row],[Cell_ID]],'registe maintenance'!A:B,2,FALSE)," non répertoriées")</f>
        <v>Nord-Ubangi</v>
      </c>
      <c r="F584">
        <f>IFERROR(VLOOKUP(logos[[#This Row],[Cell_ID]],'registe maintenance'!A:C,3,FALSE)," non répertoriées")</f>
        <v>0.94539899999999999</v>
      </c>
      <c r="G584">
        <f>IFERROR(VLOOKUP(logos[[#This Row],[Cell_ID]],'registe maintenance'!A:D,4,FALSE)," non répertoriées")</f>
        <v>14.401821999999999</v>
      </c>
      <c r="H584" t="str">
        <f>IFERROR(VLOOKUP(logos[[#This Row],[Cell_ID]],'registe maintenance'!A:E,5,FALSE)," non répertoriées")</f>
        <v>5G</v>
      </c>
      <c r="I584" t="str">
        <f>IFERROR(VLOOKUP(logos[[#This Row],[Cell_ID]],'registe maintenance'!A:F,6,FALSE)," non répertoriées")</f>
        <v>Nokia</v>
      </c>
      <c r="J584">
        <f>IFERROR(VLOOKUP(B584,'logos transformer '!A:B,2,FALSE),"na")</f>
        <v>2</v>
      </c>
      <c r="K584">
        <f>IFERROR(VLOOKUP(B584,'logos transformer '!A:C,3,FALSE),"na")</f>
        <v>29</v>
      </c>
      <c r="L584" s="1">
        <f>IFERROR(VLOOKUP(B584,'logos transformer '!A:D,4,FALSE),"na")</f>
        <v>45230.009027777778</v>
      </c>
    </row>
    <row r="585" spans="1:12" x14ac:dyDescent="0.3">
      <c r="A585" s="1">
        <v>45229.282638888893</v>
      </c>
      <c r="B585" t="s">
        <v>49</v>
      </c>
      <c r="C585">
        <v>102</v>
      </c>
      <c r="D585" t="s">
        <v>8</v>
      </c>
      <c r="E585" t="str">
        <f>IFERROR(VLOOKUP(logos[[#This Row],[Cell_ID]],'registe maintenance'!A:B,2,FALSE)," non répertoriées")</f>
        <v xml:space="preserve"> non répertoriées</v>
      </c>
      <c r="F585" t="str">
        <f>IFERROR(VLOOKUP(logos[[#This Row],[Cell_ID]],'registe maintenance'!A:C,3,FALSE)," non répertoriées")</f>
        <v xml:space="preserve"> non répertoriées</v>
      </c>
      <c r="G585" t="str">
        <f>IFERROR(VLOOKUP(logos[[#This Row],[Cell_ID]],'registe maintenance'!A:D,4,FALSE)," non répertoriées")</f>
        <v xml:space="preserve"> non répertoriées</v>
      </c>
      <c r="H585" t="str">
        <f>IFERROR(VLOOKUP(logos[[#This Row],[Cell_ID]],'registe maintenance'!A:E,5,FALSE)," non répertoriées")</f>
        <v xml:space="preserve"> non répertoriées</v>
      </c>
      <c r="I585" t="str">
        <f>IFERROR(VLOOKUP(logos[[#This Row],[Cell_ID]],'registe maintenance'!A:F,6,FALSE)," non répertoriées")</f>
        <v xml:space="preserve"> non répertoriées</v>
      </c>
      <c r="J585">
        <f>IFERROR(VLOOKUP(B585,'logos transformer '!A:B,2,FALSE),"na")</f>
        <v>6</v>
      </c>
      <c r="K585">
        <f>IFERROR(VLOOKUP(B585,'logos transformer '!A:C,3,FALSE),"na")</f>
        <v>330</v>
      </c>
      <c r="L585" s="1">
        <f>IFERROR(VLOOKUP(B585,'logos transformer '!A:D,4,FALSE),"na")</f>
        <v>45230.834722222222</v>
      </c>
    </row>
    <row r="586" spans="1:12" x14ac:dyDescent="0.3">
      <c r="A586" s="1">
        <v>45203.991666666669</v>
      </c>
      <c r="B586" t="s">
        <v>441</v>
      </c>
      <c r="C586">
        <v>5</v>
      </c>
      <c r="D586" t="s">
        <v>10</v>
      </c>
      <c r="E586" t="str">
        <f>IFERROR(VLOOKUP(logos[[#This Row],[Cell_ID]],'registe maintenance'!A:B,2,FALSE)," non répertoriées")</f>
        <v xml:space="preserve"> non répertoriées</v>
      </c>
      <c r="F586" t="str">
        <f>IFERROR(VLOOKUP(logos[[#This Row],[Cell_ID]],'registe maintenance'!A:C,3,FALSE)," non répertoriées")</f>
        <v xml:space="preserve"> non répertoriées</v>
      </c>
      <c r="G586" t="str">
        <f>IFERROR(VLOOKUP(logos[[#This Row],[Cell_ID]],'registe maintenance'!A:D,4,FALSE)," non répertoriées")</f>
        <v xml:space="preserve"> non répertoriées</v>
      </c>
      <c r="H586" t="str">
        <f>IFERROR(VLOOKUP(logos[[#This Row],[Cell_ID]],'registe maintenance'!A:E,5,FALSE)," non répertoriées")</f>
        <v xml:space="preserve"> non répertoriées</v>
      </c>
      <c r="I586" t="str">
        <f>IFERROR(VLOOKUP(logos[[#This Row],[Cell_ID]],'registe maintenance'!A:F,6,FALSE)," non répertoriées")</f>
        <v xml:space="preserve"> non répertoriées</v>
      </c>
      <c r="J586">
        <f>IFERROR(VLOOKUP(B586,'logos transformer '!A:B,2,FALSE),"na")</f>
        <v>1</v>
      </c>
      <c r="K586">
        <f>IFERROR(VLOOKUP(B586,'logos transformer '!A:C,3,FALSE),"na")</f>
        <v>5</v>
      </c>
      <c r="L586" s="1">
        <f>IFERROR(VLOOKUP(B586,'logos transformer '!A:D,4,FALSE),"na")</f>
        <v>45203.991666666669</v>
      </c>
    </row>
    <row r="587" spans="1:12" x14ac:dyDescent="0.3">
      <c r="A587" s="1">
        <v>45215.322222222218</v>
      </c>
      <c r="B587" t="s">
        <v>442</v>
      </c>
      <c r="C587">
        <v>57</v>
      </c>
      <c r="D587" t="s">
        <v>10</v>
      </c>
      <c r="E587" t="str">
        <f>IFERROR(VLOOKUP(logos[[#This Row],[Cell_ID]],'registe maintenance'!A:B,2,FALSE)," non répertoriées")</f>
        <v xml:space="preserve"> non répertoriées</v>
      </c>
      <c r="F587" t="str">
        <f>IFERROR(VLOOKUP(logos[[#This Row],[Cell_ID]],'registe maintenance'!A:C,3,FALSE)," non répertoriées")</f>
        <v xml:space="preserve"> non répertoriées</v>
      </c>
      <c r="G587" t="str">
        <f>IFERROR(VLOOKUP(logos[[#This Row],[Cell_ID]],'registe maintenance'!A:D,4,FALSE)," non répertoriées")</f>
        <v xml:space="preserve"> non répertoriées</v>
      </c>
      <c r="H587" t="str">
        <f>IFERROR(VLOOKUP(logos[[#This Row],[Cell_ID]],'registe maintenance'!A:E,5,FALSE)," non répertoriées")</f>
        <v xml:space="preserve"> non répertoriées</v>
      </c>
      <c r="I587" t="str">
        <f>IFERROR(VLOOKUP(logos[[#This Row],[Cell_ID]],'registe maintenance'!A:F,6,FALSE)," non répertoriées")</f>
        <v xml:space="preserve"> non répertoriées</v>
      </c>
      <c r="J587">
        <f>IFERROR(VLOOKUP(B587,'logos transformer '!A:B,2,FALSE),"na")</f>
        <v>3</v>
      </c>
      <c r="K587">
        <f>IFERROR(VLOOKUP(B587,'logos transformer '!A:C,3,FALSE),"na")</f>
        <v>114</v>
      </c>
      <c r="L587" s="1">
        <f>IFERROR(VLOOKUP(B587,'logos transformer '!A:D,4,FALSE),"na")</f>
        <v>45229.986805555556</v>
      </c>
    </row>
    <row r="588" spans="1:12" x14ac:dyDescent="0.3">
      <c r="A588" s="1">
        <v>45219.925694444442</v>
      </c>
      <c r="B588" t="s">
        <v>443</v>
      </c>
      <c r="C588">
        <v>22</v>
      </c>
      <c r="D588" t="s">
        <v>5</v>
      </c>
      <c r="E588" t="str">
        <f>IFERROR(VLOOKUP(logos[[#This Row],[Cell_ID]],'registe maintenance'!A:B,2,FALSE)," non répertoriées")</f>
        <v xml:space="preserve"> non répertoriées</v>
      </c>
      <c r="F588" t="str">
        <f>IFERROR(VLOOKUP(logos[[#This Row],[Cell_ID]],'registe maintenance'!A:C,3,FALSE)," non répertoriées")</f>
        <v xml:space="preserve"> non répertoriées</v>
      </c>
      <c r="G588" t="str">
        <f>IFERROR(VLOOKUP(logos[[#This Row],[Cell_ID]],'registe maintenance'!A:D,4,FALSE)," non répertoriées")</f>
        <v xml:space="preserve"> non répertoriées</v>
      </c>
      <c r="H588" t="str">
        <f>IFERROR(VLOOKUP(logos[[#This Row],[Cell_ID]],'registe maintenance'!A:E,5,FALSE)," non répertoriées")</f>
        <v xml:space="preserve"> non répertoriées</v>
      </c>
      <c r="I588" t="str">
        <f>IFERROR(VLOOKUP(logos[[#This Row],[Cell_ID]],'registe maintenance'!A:F,6,FALSE)," non répertoriées")</f>
        <v xml:space="preserve"> non répertoriées</v>
      </c>
      <c r="J588">
        <f>IFERROR(VLOOKUP(B588,'logos transformer '!A:B,2,FALSE),"na")</f>
        <v>2</v>
      </c>
      <c r="K588">
        <f>IFERROR(VLOOKUP(B588,'logos transformer '!A:C,3,FALSE),"na")</f>
        <v>49</v>
      </c>
      <c r="L588" s="1">
        <f>IFERROR(VLOOKUP(B588,'logos transformer '!A:D,4,FALSE),"na")</f>
        <v>45229.772222222222</v>
      </c>
    </row>
    <row r="589" spans="1:12" x14ac:dyDescent="0.3">
      <c r="A589" s="1">
        <v>45212.315972222219</v>
      </c>
      <c r="B589" t="s">
        <v>172</v>
      </c>
      <c r="C589">
        <v>112</v>
      </c>
      <c r="D589" t="s">
        <v>5</v>
      </c>
      <c r="E589" t="str">
        <f>IFERROR(VLOOKUP(logos[[#This Row],[Cell_ID]],'registe maintenance'!A:B,2,FALSE)," non répertoriées")</f>
        <v xml:space="preserve"> non répertoriées</v>
      </c>
      <c r="F589" t="str">
        <f>IFERROR(VLOOKUP(logos[[#This Row],[Cell_ID]],'registe maintenance'!A:C,3,FALSE)," non répertoriées")</f>
        <v xml:space="preserve"> non répertoriées</v>
      </c>
      <c r="G589" t="str">
        <f>IFERROR(VLOOKUP(logos[[#This Row],[Cell_ID]],'registe maintenance'!A:D,4,FALSE)," non répertoriées")</f>
        <v xml:space="preserve"> non répertoriées</v>
      </c>
      <c r="H589" t="str">
        <f>IFERROR(VLOOKUP(logos[[#This Row],[Cell_ID]],'registe maintenance'!A:E,5,FALSE)," non répertoriées")</f>
        <v xml:space="preserve"> non répertoriées</v>
      </c>
      <c r="I589" t="str">
        <f>IFERROR(VLOOKUP(logos[[#This Row],[Cell_ID]],'registe maintenance'!A:F,6,FALSE)," non répertoriées")</f>
        <v xml:space="preserve"> non répertoriées</v>
      </c>
      <c r="J589">
        <f>IFERROR(VLOOKUP(B589,'logos transformer '!A:B,2,FALSE),"na")</f>
        <v>4</v>
      </c>
      <c r="K589">
        <f>IFERROR(VLOOKUP(B589,'logos transformer '!A:C,3,FALSE),"na")</f>
        <v>162</v>
      </c>
      <c r="L589" s="1">
        <f>IFERROR(VLOOKUP(B589,'logos transformer '!A:D,4,FALSE),"na")</f>
        <v>45220.651388888888</v>
      </c>
    </row>
    <row r="590" spans="1:12" x14ac:dyDescent="0.3">
      <c r="A590" s="1">
        <v>45210.39166666667</v>
      </c>
      <c r="B590" t="s">
        <v>103</v>
      </c>
      <c r="C590">
        <v>85</v>
      </c>
      <c r="D590" t="s">
        <v>8</v>
      </c>
      <c r="E590" t="str">
        <f>IFERROR(VLOOKUP(logos[[#This Row],[Cell_ID]],'registe maintenance'!A:B,2,FALSE)," non répertoriées")</f>
        <v>Nord-Kivu</v>
      </c>
      <c r="F590">
        <f>IFERROR(VLOOKUP(logos[[#This Row],[Cell_ID]],'registe maintenance'!A:C,3,FALSE)," non répertoriées")</f>
        <v>1.017161</v>
      </c>
      <c r="G590">
        <f>IFERROR(VLOOKUP(logos[[#This Row],[Cell_ID]],'registe maintenance'!A:D,4,FALSE)," non répertoriées")</f>
        <v>16.519689</v>
      </c>
      <c r="H590" t="str">
        <f>IFERROR(VLOOKUP(logos[[#This Row],[Cell_ID]],'registe maintenance'!A:E,5,FALSE)," non répertoriées")</f>
        <v>3G</v>
      </c>
      <c r="I590" t="str">
        <f>IFERROR(VLOOKUP(logos[[#This Row],[Cell_ID]],'registe maintenance'!A:F,6,FALSE)," non répertoriées")</f>
        <v>Nokia</v>
      </c>
      <c r="J590">
        <f>IFERROR(VLOOKUP(B590,'logos transformer '!A:B,2,FALSE),"na")</f>
        <v>2</v>
      </c>
      <c r="K590">
        <f>IFERROR(VLOOKUP(B590,'logos transformer '!A:C,3,FALSE),"na")</f>
        <v>153</v>
      </c>
      <c r="L590" s="1">
        <f>IFERROR(VLOOKUP(B590,'logos transformer '!A:D,4,FALSE),"na")</f>
        <v>45210.39166666667</v>
      </c>
    </row>
    <row r="591" spans="1:12" x14ac:dyDescent="0.3">
      <c r="A591" s="1">
        <v>45214.736805555563</v>
      </c>
      <c r="B591" t="s">
        <v>444</v>
      </c>
      <c r="C591">
        <v>34</v>
      </c>
      <c r="D591" t="s">
        <v>10</v>
      </c>
      <c r="E591" t="str">
        <f>IFERROR(VLOOKUP(logos[[#This Row],[Cell_ID]],'registe maintenance'!A:B,2,FALSE)," non répertoriées")</f>
        <v>Kwilu</v>
      </c>
      <c r="F591">
        <f>IFERROR(VLOOKUP(logos[[#This Row],[Cell_ID]],'registe maintenance'!A:C,3,FALSE)," non répertoriées")</f>
        <v>5.3608999999999997E-2</v>
      </c>
      <c r="G591">
        <f>IFERROR(VLOOKUP(logos[[#This Row],[Cell_ID]],'registe maintenance'!A:D,4,FALSE)," non répertoriées")</f>
        <v>28.346852999999999</v>
      </c>
      <c r="H591" t="str">
        <f>IFERROR(VLOOKUP(logos[[#This Row],[Cell_ID]],'registe maintenance'!A:E,5,FALSE)," non répertoriées")</f>
        <v>3G</v>
      </c>
      <c r="I591" t="str">
        <f>IFERROR(VLOOKUP(logos[[#This Row],[Cell_ID]],'registe maintenance'!A:F,6,FALSE)," non répertoriées")</f>
        <v>ZTE</v>
      </c>
      <c r="J591">
        <f>IFERROR(VLOOKUP(B591,'logos transformer '!A:B,2,FALSE),"na")</f>
        <v>1</v>
      </c>
      <c r="K591">
        <f>IFERROR(VLOOKUP(B591,'logos transformer '!A:C,3,FALSE),"na")</f>
        <v>34</v>
      </c>
      <c r="L591" s="1">
        <f>IFERROR(VLOOKUP(B591,'logos transformer '!A:D,4,FALSE),"na")</f>
        <v>45214.736805555556</v>
      </c>
    </row>
    <row r="592" spans="1:12" x14ac:dyDescent="0.3">
      <c r="A592" s="1">
        <v>45211.386111111111</v>
      </c>
      <c r="B592" t="s">
        <v>195</v>
      </c>
      <c r="C592">
        <v>13</v>
      </c>
      <c r="D592" t="s">
        <v>8</v>
      </c>
      <c r="E592" t="str">
        <f>IFERROR(VLOOKUP(logos[[#This Row],[Cell_ID]],'registe maintenance'!A:B,2,FALSE)," non répertoriées")</f>
        <v xml:space="preserve"> non répertoriées</v>
      </c>
      <c r="F592" t="str">
        <f>IFERROR(VLOOKUP(logos[[#This Row],[Cell_ID]],'registe maintenance'!A:C,3,FALSE)," non répertoriées")</f>
        <v xml:space="preserve"> non répertoriées</v>
      </c>
      <c r="G592" t="str">
        <f>IFERROR(VLOOKUP(logos[[#This Row],[Cell_ID]],'registe maintenance'!A:D,4,FALSE)," non répertoriées")</f>
        <v xml:space="preserve"> non répertoriées</v>
      </c>
      <c r="H592" t="str">
        <f>IFERROR(VLOOKUP(logos[[#This Row],[Cell_ID]],'registe maintenance'!A:E,5,FALSE)," non répertoriées")</f>
        <v xml:space="preserve"> non répertoriées</v>
      </c>
      <c r="I592" t="str">
        <f>IFERROR(VLOOKUP(logos[[#This Row],[Cell_ID]],'registe maintenance'!A:F,6,FALSE)," non répertoriées")</f>
        <v xml:space="preserve"> non répertoriées</v>
      </c>
      <c r="J592">
        <f>IFERROR(VLOOKUP(B592,'logos transformer '!A:B,2,FALSE),"na")</f>
        <v>3</v>
      </c>
      <c r="K592">
        <f>IFERROR(VLOOKUP(B592,'logos transformer '!A:C,3,FALSE),"na")</f>
        <v>221</v>
      </c>
      <c r="L592" s="1">
        <f>IFERROR(VLOOKUP(B592,'logos transformer '!A:D,4,FALSE),"na")</f>
        <v>45225.859027777777</v>
      </c>
    </row>
    <row r="593" spans="1:12" x14ac:dyDescent="0.3">
      <c r="A593" s="1">
        <v>45211.705555555563</v>
      </c>
      <c r="B593" t="s">
        <v>445</v>
      </c>
      <c r="C593">
        <v>95</v>
      </c>
      <c r="D593" t="s">
        <v>8</v>
      </c>
      <c r="E593" t="str">
        <f>IFERROR(VLOOKUP(logos[[#This Row],[Cell_ID]],'registe maintenance'!A:B,2,FALSE)," non répertoriées")</f>
        <v xml:space="preserve"> non répertoriées</v>
      </c>
      <c r="F593" t="str">
        <f>IFERROR(VLOOKUP(logos[[#This Row],[Cell_ID]],'registe maintenance'!A:C,3,FALSE)," non répertoriées")</f>
        <v xml:space="preserve"> non répertoriées</v>
      </c>
      <c r="G593" t="str">
        <f>IFERROR(VLOOKUP(logos[[#This Row],[Cell_ID]],'registe maintenance'!A:D,4,FALSE)," non répertoriées")</f>
        <v xml:space="preserve"> non répertoriées</v>
      </c>
      <c r="H593" t="str">
        <f>IFERROR(VLOOKUP(logos[[#This Row],[Cell_ID]],'registe maintenance'!A:E,5,FALSE)," non répertoriées")</f>
        <v xml:space="preserve"> non répertoriées</v>
      </c>
      <c r="I593" t="str">
        <f>IFERROR(VLOOKUP(logos[[#This Row],[Cell_ID]],'registe maintenance'!A:F,6,FALSE)," non répertoriées")</f>
        <v xml:space="preserve"> non répertoriées</v>
      </c>
      <c r="J593">
        <f>IFERROR(VLOOKUP(B593,'logos transformer '!A:B,2,FALSE),"na")</f>
        <v>3</v>
      </c>
      <c r="K593">
        <f>IFERROR(VLOOKUP(B593,'logos transformer '!A:C,3,FALSE),"na")</f>
        <v>195</v>
      </c>
      <c r="L593" s="1">
        <f>IFERROR(VLOOKUP(B593,'logos transformer '!A:D,4,FALSE),"na")</f>
        <v>45211.705555555556</v>
      </c>
    </row>
    <row r="594" spans="1:12" x14ac:dyDescent="0.3">
      <c r="A594" s="1">
        <v>45215.587500000001</v>
      </c>
      <c r="B594" t="s">
        <v>446</v>
      </c>
      <c r="C594">
        <v>24</v>
      </c>
      <c r="D594" t="s">
        <v>8</v>
      </c>
      <c r="E594" t="str">
        <f>IFERROR(VLOOKUP(logos[[#This Row],[Cell_ID]],'registe maintenance'!A:B,2,FALSE)," non répertoriées")</f>
        <v>Maniema</v>
      </c>
      <c r="F594">
        <f>IFERROR(VLOOKUP(logos[[#This Row],[Cell_ID]],'registe maintenance'!A:C,3,FALSE)," non répertoriées")</f>
        <v>2.5458379999999998</v>
      </c>
      <c r="G594">
        <f>IFERROR(VLOOKUP(logos[[#This Row],[Cell_ID]],'registe maintenance'!A:D,4,FALSE)," non répertoriées")</f>
        <v>13.308655</v>
      </c>
      <c r="H594" t="str">
        <f>IFERROR(VLOOKUP(logos[[#This Row],[Cell_ID]],'registe maintenance'!A:E,5,FALSE)," non répertoriées")</f>
        <v>5G</v>
      </c>
      <c r="I594" t="str">
        <f>IFERROR(VLOOKUP(logos[[#This Row],[Cell_ID]],'registe maintenance'!A:F,6,FALSE)," non répertoriées")</f>
        <v>ZTE</v>
      </c>
      <c r="J594">
        <f>IFERROR(VLOOKUP(B594,'logos transformer '!A:B,2,FALSE),"na")</f>
        <v>2</v>
      </c>
      <c r="K594">
        <f>IFERROR(VLOOKUP(B594,'logos transformer '!A:C,3,FALSE),"na")</f>
        <v>57</v>
      </c>
      <c r="L594" s="1">
        <f>IFERROR(VLOOKUP(B594,'logos transformer '!A:D,4,FALSE),"na")</f>
        <v>45215.587500000001</v>
      </c>
    </row>
    <row r="595" spans="1:12" x14ac:dyDescent="0.3">
      <c r="A595" s="1">
        <v>45225.979166666657</v>
      </c>
      <c r="B595" t="s">
        <v>283</v>
      </c>
      <c r="C595">
        <v>6</v>
      </c>
      <c r="D595" t="s">
        <v>5</v>
      </c>
      <c r="E595" t="str">
        <f>IFERROR(VLOOKUP(logos[[#This Row],[Cell_ID]],'registe maintenance'!A:B,2,FALSE)," non répertoriées")</f>
        <v>Tshuapa</v>
      </c>
      <c r="F595">
        <f>IFERROR(VLOOKUP(logos[[#This Row],[Cell_ID]],'registe maintenance'!A:C,3,FALSE)," non répertoriées")</f>
        <v>-10.577049000000001</v>
      </c>
      <c r="G595">
        <f>IFERROR(VLOOKUP(logos[[#This Row],[Cell_ID]],'registe maintenance'!A:D,4,FALSE)," non répertoriées")</f>
        <v>23.721854</v>
      </c>
      <c r="H595" t="str">
        <f>IFERROR(VLOOKUP(logos[[#This Row],[Cell_ID]],'registe maintenance'!A:E,5,FALSE)," non répertoriées")</f>
        <v>4G</v>
      </c>
      <c r="I595" t="str">
        <f>IFERROR(VLOOKUP(logos[[#This Row],[Cell_ID]],'registe maintenance'!A:F,6,FALSE)," non répertoriées")</f>
        <v>ZTE</v>
      </c>
      <c r="J595">
        <f>IFERROR(VLOOKUP(B595,'logos transformer '!A:B,2,FALSE),"na")</f>
        <v>3</v>
      </c>
      <c r="K595">
        <f>IFERROR(VLOOKUP(B595,'logos transformer '!A:C,3,FALSE),"na")</f>
        <v>239</v>
      </c>
      <c r="L595" s="1">
        <f>IFERROR(VLOOKUP(B595,'logos transformer '!A:D,4,FALSE),"na")</f>
        <v>45225.979166666664</v>
      </c>
    </row>
    <row r="596" spans="1:12" x14ac:dyDescent="0.3">
      <c r="A596" s="1">
        <v>45224.456944444442</v>
      </c>
      <c r="B596" t="s">
        <v>29</v>
      </c>
      <c r="C596">
        <v>32</v>
      </c>
      <c r="D596" t="s">
        <v>5</v>
      </c>
      <c r="E596" t="str">
        <f>IFERROR(VLOOKUP(logos[[#This Row],[Cell_ID]],'registe maintenance'!A:B,2,FALSE)," non répertoriées")</f>
        <v xml:space="preserve"> non répertoriées</v>
      </c>
      <c r="F596" t="str">
        <f>IFERROR(VLOOKUP(logos[[#This Row],[Cell_ID]],'registe maintenance'!A:C,3,FALSE)," non répertoriées")</f>
        <v xml:space="preserve"> non répertoriées</v>
      </c>
      <c r="G596" t="str">
        <f>IFERROR(VLOOKUP(logos[[#This Row],[Cell_ID]],'registe maintenance'!A:D,4,FALSE)," non répertoriées")</f>
        <v xml:space="preserve"> non répertoriées</v>
      </c>
      <c r="H596" t="str">
        <f>IFERROR(VLOOKUP(logos[[#This Row],[Cell_ID]],'registe maintenance'!A:E,5,FALSE)," non répertoriées")</f>
        <v xml:space="preserve"> non répertoriées</v>
      </c>
      <c r="I596" t="str">
        <f>IFERROR(VLOOKUP(logos[[#This Row],[Cell_ID]],'registe maintenance'!A:F,6,FALSE)," non répertoriées")</f>
        <v xml:space="preserve"> non répertoriées</v>
      </c>
      <c r="J596">
        <f>IFERROR(VLOOKUP(B596,'logos transformer '!A:B,2,FALSE),"na")</f>
        <v>2</v>
      </c>
      <c r="K596">
        <f>IFERROR(VLOOKUP(B596,'logos transformer '!A:C,3,FALSE),"na")</f>
        <v>91</v>
      </c>
      <c r="L596" s="1">
        <f>IFERROR(VLOOKUP(B596,'logos transformer '!A:D,4,FALSE),"na")</f>
        <v>45224.456944444442</v>
      </c>
    </row>
    <row r="597" spans="1:12" x14ac:dyDescent="0.3">
      <c r="A597" s="1">
        <v>45206.472222222219</v>
      </c>
      <c r="B597" t="s">
        <v>447</v>
      </c>
      <c r="C597">
        <v>69</v>
      </c>
      <c r="D597" t="s">
        <v>10</v>
      </c>
      <c r="E597" t="str">
        <f>IFERROR(VLOOKUP(logos[[#This Row],[Cell_ID]],'registe maintenance'!A:B,2,FALSE)," non répertoriées")</f>
        <v xml:space="preserve"> non répertoriées</v>
      </c>
      <c r="F597" t="str">
        <f>IFERROR(VLOOKUP(logos[[#This Row],[Cell_ID]],'registe maintenance'!A:C,3,FALSE)," non répertoriées")</f>
        <v xml:space="preserve"> non répertoriées</v>
      </c>
      <c r="G597" t="str">
        <f>IFERROR(VLOOKUP(logos[[#This Row],[Cell_ID]],'registe maintenance'!A:D,4,FALSE)," non répertoriées")</f>
        <v xml:space="preserve"> non répertoriées</v>
      </c>
      <c r="H597" t="str">
        <f>IFERROR(VLOOKUP(logos[[#This Row],[Cell_ID]],'registe maintenance'!A:E,5,FALSE)," non répertoriées")</f>
        <v xml:space="preserve"> non répertoriées</v>
      </c>
      <c r="I597" t="str">
        <f>IFERROR(VLOOKUP(logos[[#This Row],[Cell_ID]],'registe maintenance'!A:F,6,FALSE)," non répertoriées")</f>
        <v xml:space="preserve"> non répertoriées</v>
      </c>
      <c r="J597">
        <f>IFERROR(VLOOKUP(B597,'logos transformer '!A:B,2,FALSE),"na")</f>
        <v>1</v>
      </c>
      <c r="K597">
        <f>IFERROR(VLOOKUP(B597,'logos transformer '!A:C,3,FALSE),"na")</f>
        <v>69</v>
      </c>
      <c r="L597" s="1">
        <f>IFERROR(VLOOKUP(B597,'logos transformer '!A:D,4,FALSE),"na")</f>
        <v>45206.472222222219</v>
      </c>
    </row>
    <row r="598" spans="1:12" x14ac:dyDescent="0.3">
      <c r="A598" s="1">
        <v>45213.066666666673</v>
      </c>
      <c r="B598" t="s">
        <v>336</v>
      </c>
      <c r="C598">
        <v>63</v>
      </c>
      <c r="D598" t="s">
        <v>5</v>
      </c>
      <c r="E598" t="str">
        <f>IFERROR(VLOOKUP(logos[[#This Row],[Cell_ID]],'registe maintenance'!A:B,2,FALSE)," non répertoriées")</f>
        <v>Sud-Ubangi</v>
      </c>
      <c r="F598">
        <f>IFERROR(VLOOKUP(logos[[#This Row],[Cell_ID]],'registe maintenance'!A:C,3,FALSE)," non répertoriées")</f>
        <v>-11.387295999999999</v>
      </c>
      <c r="G598">
        <f>IFERROR(VLOOKUP(logos[[#This Row],[Cell_ID]],'registe maintenance'!A:D,4,FALSE)," non répertoriées")</f>
        <v>19.384257999999999</v>
      </c>
      <c r="H598" t="str">
        <f>IFERROR(VLOOKUP(logos[[#This Row],[Cell_ID]],'registe maintenance'!A:E,5,FALSE)," non répertoriées")</f>
        <v>3G</v>
      </c>
      <c r="I598" t="str">
        <f>IFERROR(VLOOKUP(logos[[#This Row],[Cell_ID]],'registe maintenance'!A:F,6,FALSE)," non répertoriées")</f>
        <v>Huawei</v>
      </c>
      <c r="J598">
        <f>IFERROR(VLOOKUP(B598,'logos transformer '!A:B,2,FALSE),"na")</f>
        <v>2</v>
      </c>
      <c r="K598">
        <f>IFERROR(VLOOKUP(B598,'logos transformer '!A:C,3,FALSE),"na")</f>
        <v>122</v>
      </c>
      <c r="L598" s="1">
        <f>IFERROR(VLOOKUP(B598,'logos transformer '!A:D,4,FALSE),"na")</f>
        <v>45213.066666666666</v>
      </c>
    </row>
    <row r="599" spans="1:12" x14ac:dyDescent="0.3">
      <c r="A599" s="1">
        <v>45227.324305555558</v>
      </c>
      <c r="B599" t="s">
        <v>448</v>
      </c>
      <c r="C599">
        <v>52</v>
      </c>
      <c r="D599" t="s">
        <v>5</v>
      </c>
      <c r="E599" t="str">
        <f>IFERROR(VLOOKUP(logos[[#This Row],[Cell_ID]],'registe maintenance'!A:B,2,FALSE)," non répertoriées")</f>
        <v xml:space="preserve"> non répertoriées</v>
      </c>
      <c r="F599" t="str">
        <f>IFERROR(VLOOKUP(logos[[#This Row],[Cell_ID]],'registe maintenance'!A:C,3,FALSE)," non répertoriées")</f>
        <v xml:space="preserve"> non répertoriées</v>
      </c>
      <c r="G599" t="str">
        <f>IFERROR(VLOOKUP(logos[[#This Row],[Cell_ID]],'registe maintenance'!A:D,4,FALSE)," non répertoriées")</f>
        <v xml:space="preserve"> non répertoriées</v>
      </c>
      <c r="H599" t="str">
        <f>IFERROR(VLOOKUP(logos[[#This Row],[Cell_ID]],'registe maintenance'!A:E,5,FALSE)," non répertoriées")</f>
        <v xml:space="preserve"> non répertoriées</v>
      </c>
      <c r="I599" t="str">
        <f>IFERROR(VLOOKUP(logos[[#This Row],[Cell_ID]],'registe maintenance'!A:F,6,FALSE)," non répertoriées")</f>
        <v xml:space="preserve"> non répertoriées</v>
      </c>
      <c r="J599">
        <f>IFERROR(VLOOKUP(B599,'logos transformer '!A:B,2,FALSE),"na")</f>
        <v>1</v>
      </c>
      <c r="K599">
        <f>IFERROR(VLOOKUP(B599,'logos transformer '!A:C,3,FALSE),"na")</f>
        <v>52</v>
      </c>
      <c r="L599" s="1">
        <f>IFERROR(VLOOKUP(B599,'logos transformer '!A:D,4,FALSE),"na")</f>
        <v>45227.324305555558</v>
      </c>
    </row>
    <row r="600" spans="1:12" x14ac:dyDescent="0.3">
      <c r="A600" s="1">
        <v>45204.011111111111</v>
      </c>
      <c r="B600" t="s">
        <v>449</v>
      </c>
      <c r="C600">
        <v>12</v>
      </c>
      <c r="D600" t="s">
        <v>8</v>
      </c>
      <c r="E600" t="str">
        <f>IFERROR(VLOOKUP(logos[[#This Row],[Cell_ID]],'registe maintenance'!A:B,2,FALSE)," non répertoriées")</f>
        <v>Maniema</v>
      </c>
      <c r="F600">
        <f>IFERROR(VLOOKUP(logos[[#This Row],[Cell_ID]],'registe maintenance'!A:C,3,FALSE)," non répertoriées")</f>
        <v>-1.6488929999999999</v>
      </c>
      <c r="G600">
        <f>IFERROR(VLOOKUP(logos[[#This Row],[Cell_ID]],'registe maintenance'!A:D,4,FALSE)," non répertoriées")</f>
        <v>27.284617000000001</v>
      </c>
      <c r="H600" t="str">
        <f>IFERROR(VLOOKUP(logos[[#This Row],[Cell_ID]],'registe maintenance'!A:E,5,FALSE)," non répertoriées")</f>
        <v>5G</v>
      </c>
      <c r="I600" t="str">
        <f>IFERROR(VLOOKUP(logos[[#This Row],[Cell_ID]],'registe maintenance'!A:F,6,FALSE)," non répertoriées")</f>
        <v>Nokia</v>
      </c>
      <c r="J600">
        <f>IFERROR(VLOOKUP(B600,'logos transformer '!A:B,2,FALSE),"na")</f>
        <v>1</v>
      </c>
      <c r="K600">
        <f>IFERROR(VLOOKUP(B600,'logos transformer '!A:C,3,FALSE),"na")</f>
        <v>12</v>
      </c>
      <c r="L600" s="1">
        <f>IFERROR(VLOOKUP(B600,'logos transformer '!A:D,4,FALSE),"na")</f>
        <v>45204.011111111111</v>
      </c>
    </row>
    <row r="601" spans="1:12" x14ac:dyDescent="0.3">
      <c r="A601" s="1">
        <v>45217.775694444441</v>
      </c>
      <c r="B601" t="s">
        <v>160</v>
      </c>
      <c r="C601">
        <v>84</v>
      </c>
      <c r="D601" t="s">
        <v>5</v>
      </c>
      <c r="E601" t="str">
        <f>IFERROR(VLOOKUP(logos[[#This Row],[Cell_ID]],'registe maintenance'!A:B,2,FALSE)," non répertoriées")</f>
        <v>Maniema</v>
      </c>
      <c r="F601">
        <f>IFERROR(VLOOKUP(logos[[#This Row],[Cell_ID]],'registe maintenance'!A:C,3,FALSE)," non répertoriées")</f>
        <v>-2.3743210000000001</v>
      </c>
      <c r="G601">
        <f>IFERROR(VLOOKUP(logos[[#This Row],[Cell_ID]],'registe maintenance'!A:D,4,FALSE)," non répertoriées")</f>
        <v>22.399491000000001</v>
      </c>
      <c r="H601" t="str">
        <f>IFERROR(VLOOKUP(logos[[#This Row],[Cell_ID]],'registe maintenance'!A:E,5,FALSE)," non répertoriées")</f>
        <v>5G</v>
      </c>
      <c r="I601" t="str">
        <f>IFERROR(VLOOKUP(logos[[#This Row],[Cell_ID]],'registe maintenance'!A:F,6,FALSE)," non répertoriées")</f>
        <v>Ericsson</v>
      </c>
      <c r="J601">
        <f>IFERROR(VLOOKUP(B601,'logos transformer '!A:B,2,FALSE),"na")</f>
        <v>3</v>
      </c>
      <c r="K601">
        <f>IFERROR(VLOOKUP(B601,'logos transformer '!A:C,3,FALSE),"na")</f>
        <v>227</v>
      </c>
      <c r="L601" s="1">
        <f>IFERROR(VLOOKUP(B601,'logos transformer '!A:D,4,FALSE),"na")</f>
        <v>45217.775694444441</v>
      </c>
    </row>
    <row r="602" spans="1:12" x14ac:dyDescent="0.3">
      <c r="A602" s="1">
        <v>45223.554166666669</v>
      </c>
      <c r="B602" t="s">
        <v>450</v>
      </c>
      <c r="C602">
        <v>86</v>
      </c>
      <c r="D602" t="s">
        <v>8</v>
      </c>
      <c r="E602" t="str">
        <f>IFERROR(VLOOKUP(logos[[#This Row],[Cell_ID]],'registe maintenance'!A:B,2,FALSE)," non répertoriées")</f>
        <v>Sud-Ubangi</v>
      </c>
      <c r="F602">
        <f>IFERROR(VLOOKUP(logos[[#This Row],[Cell_ID]],'registe maintenance'!A:C,3,FALSE)," non répertoriées")</f>
        <v>-12.050063</v>
      </c>
      <c r="G602">
        <f>IFERROR(VLOOKUP(logos[[#This Row],[Cell_ID]],'registe maintenance'!A:D,4,FALSE)," non répertoriées")</f>
        <v>26.636987999999999</v>
      </c>
      <c r="H602" t="str">
        <f>IFERROR(VLOOKUP(logos[[#This Row],[Cell_ID]],'registe maintenance'!A:E,5,FALSE)," non répertoriées")</f>
        <v>3G</v>
      </c>
      <c r="I602" t="str">
        <f>IFERROR(VLOOKUP(logos[[#This Row],[Cell_ID]],'registe maintenance'!A:F,6,FALSE)," non répertoriées")</f>
        <v>Nokia</v>
      </c>
      <c r="J602">
        <f>IFERROR(VLOOKUP(B602,'logos transformer '!A:B,2,FALSE),"na")</f>
        <v>2</v>
      </c>
      <c r="K602">
        <f>IFERROR(VLOOKUP(B602,'logos transformer '!A:C,3,FALSE),"na")</f>
        <v>128</v>
      </c>
      <c r="L602" s="1">
        <f>IFERROR(VLOOKUP(B602,'logos transformer '!A:D,4,FALSE),"na")</f>
        <v>45227.751388888886</v>
      </c>
    </row>
    <row r="603" spans="1:12" x14ac:dyDescent="0.3">
      <c r="A603" s="1">
        <v>45204.26458333333</v>
      </c>
      <c r="B603" t="s">
        <v>381</v>
      </c>
      <c r="C603">
        <v>90</v>
      </c>
      <c r="D603" t="s">
        <v>10</v>
      </c>
      <c r="E603" t="str">
        <f>IFERROR(VLOOKUP(logos[[#This Row],[Cell_ID]],'registe maintenance'!A:B,2,FALSE)," non répertoriées")</f>
        <v>Lualaba</v>
      </c>
      <c r="F603">
        <f>IFERROR(VLOOKUP(logos[[#This Row],[Cell_ID]],'registe maintenance'!A:C,3,FALSE)," non répertoriées")</f>
        <v>2.0392079999999999</v>
      </c>
      <c r="G603">
        <f>IFERROR(VLOOKUP(logos[[#This Row],[Cell_ID]],'registe maintenance'!A:D,4,FALSE)," non répertoriées")</f>
        <v>19.090841999999999</v>
      </c>
      <c r="H603" t="str">
        <f>IFERROR(VLOOKUP(logos[[#This Row],[Cell_ID]],'registe maintenance'!A:E,5,FALSE)," non répertoriées")</f>
        <v>4G</v>
      </c>
      <c r="I603" t="str">
        <f>IFERROR(VLOOKUP(logos[[#This Row],[Cell_ID]],'registe maintenance'!A:F,6,FALSE)," non répertoriées")</f>
        <v>Nokia</v>
      </c>
      <c r="J603">
        <f>IFERROR(VLOOKUP(B603,'logos transformer '!A:B,2,FALSE),"na")</f>
        <v>2</v>
      </c>
      <c r="K603">
        <f>IFERROR(VLOOKUP(B603,'logos transformer '!A:C,3,FALSE),"na")</f>
        <v>196</v>
      </c>
      <c r="L603" s="1">
        <f>IFERROR(VLOOKUP(B603,'logos transformer '!A:D,4,FALSE),"na")</f>
        <v>45228.672222222223</v>
      </c>
    </row>
    <row r="604" spans="1:12" x14ac:dyDescent="0.3">
      <c r="A604" s="1">
        <v>45207.525000000001</v>
      </c>
      <c r="B604" t="s">
        <v>451</v>
      </c>
      <c r="C604">
        <v>83</v>
      </c>
      <c r="D604" t="s">
        <v>5</v>
      </c>
      <c r="E604" t="str">
        <f>IFERROR(VLOOKUP(logos[[#This Row],[Cell_ID]],'registe maintenance'!A:B,2,FALSE)," non répertoriées")</f>
        <v xml:space="preserve"> non répertoriées</v>
      </c>
      <c r="F604" t="str">
        <f>IFERROR(VLOOKUP(logos[[#This Row],[Cell_ID]],'registe maintenance'!A:C,3,FALSE)," non répertoriées")</f>
        <v xml:space="preserve"> non répertoriées</v>
      </c>
      <c r="G604" t="str">
        <f>IFERROR(VLOOKUP(logos[[#This Row],[Cell_ID]],'registe maintenance'!A:D,4,FALSE)," non répertoriées")</f>
        <v xml:space="preserve"> non répertoriées</v>
      </c>
      <c r="H604" t="str">
        <f>IFERROR(VLOOKUP(logos[[#This Row],[Cell_ID]],'registe maintenance'!A:E,5,FALSE)," non répertoriées")</f>
        <v xml:space="preserve"> non répertoriées</v>
      </c>
      <c r="I604" t="str">
        <f>IFERROR(VLOOKUP(logos[[#This Row],[Cell_ID]],'registe maintenance'!A:F,6,FALSE)," non répertoriées")</f>
        <v xml:space="preserve"> non répertoriées</v>
      </c>
      <c r="J604">
        <f>IFERROR(VLOOKUP(B604,'logos transformer '!A:B,2,FALSE),"na")</f>
        <v>1</v>
      </c>
      <c r="K604">
        <f>IFERROR(VLOOKUP(B604,'logos transformer '!A:C,3,FALSE),"na")</f>
        <v>83</v>
      </c>
      <c r="L604" s="1">
        <f>IFERROR(VLOOKUP(B604,'logos transformer '!A:D,4,FALSE),"na")</f>
        <v>45207.525000000001</v>
      </c>
    </row>
    <row r="605" spans="1:12" x14ac:dyDescent="0.3">
      <c r="A605" s="1">
        <v>45226.313194444447</v>
      </c>
      <c r="B605" t="s">
        <v>452</v>
      </c>
      <c r="C605">
        <v>66</v>
      </c>
      <c r="D605" t="s">
        <v>10</v>
      </c>
      <c r="E605" t="str">
        <f>IFERROR(VLOOKUP(logos[[#This Row],[Cell_ID]],'registe maintenance'!A:B,2,FALSE)," non répertoriées")</f>
        <v>Equateur</v>
      </c>
      <c r="F605">
        <f>IFERROR(VLOOKUP(logos[[#This Row],[Cell_ID]],'registe maintenance'!A:C,3,FALSE)," non répertoriées")</f>
        <v>-12.839263000000001</v>
      </c>
      <c r="G605">
        <f>IFERROR(VLOOKUP(logos[[#This Row],[Cell_ID]],'registe maintenance'!A:D,4,FALSE)," non répertoriées")</f>
        <v>12.355677</v>
      </c>
      <c r="H605" t="str">
        <f>IFERROR(VLOOKUP(logos[[#This Row],[Cell_ID]],'registe maintenance'!A:E,5,FALSE)," non répertoriées")</f>
        <v>3G</v>
      </c>
      <c r="I605" t="str">
        <f>IFERROR(VLOOKUP(logos[[#This Row],[Cell_ID]],'registe maintenance'!A:F,6,FALSE)," non répertoriées")</f>
        <v>Huawei</v>
      </c>
      <c r="J605">
        <f>IFERROR(VLOOKUP(B605,'logos transformer '!A:B,2,FALSE),"na")</f>
        <v>2</v>
      </c>
      <c r="K605">
        <f>IFERROR(VLOOKUP(B605,'logos transformer '!A:C,3,FALSE),"na")</f>
        <v>93</v>
      </c>
      <c r="L605" s="1">
        <f>IFERROR(VLOOKUP(B605,'logos transformer '!A:D,4,FALSE),"na")</f>
        <v>45226.313194444447</v>
      </c>
    </row>
    <row r="606" spans="1:12" x14ac:dyDescent="0.3">
      <c r="A606" s="1">
        <v>45217.863194444442</v>
      </c>
      <c r="B606" t="s">
        <v>453</v>
      </c>
      <c r="C606">
        <v>89</v>
      </c>
      <c r="D606" t="s">
        <v>5</v>
      </c>
      <c r="E606" t="str">
        <f>IFERROR(VLOOKUP(logos[[#This Row],[Cell_ID]],'registe maintenance'!A:B,2,FALSE)," non répertoriées")</f>
        <v xml:space="preserve"> non répertoriées</v>
      </c>
      <c r="F606" t="str">
        <f>IFERROR(VLOOKUP(logos[[#This Row],[Cell_ID]],'registe maintenance'!A:C,3,FALSE)," non répertoriées")</f>
        <v xml:space="preserve"> non répertoriées</v>
      </c>
      <c r="G606" t="str">
        <f>IFERROR(VLOOKUP(logos[[#This Row],[Cell_ID]],'registe maintenance'!A:D,4,FALSE)," non répertoriées")</f>
        <v xml:space="preserve"> non répertoriées</v>
      </c>
      <c r="H606" t="str">
        <f>IFERROR(VLOOKUP(logos[[#This Row],[Cell_ID]],'registe maintenance'!A:E,5,FALSE)," non répertoriées")</f>
        <v xml:space="preserve"> non répertoriées</v>
      </c>
      <c r="I606" t="str">
        <f>IFERROR(VLOOKUP(logos[[#This Row],[Cell_ID]],'registe maintenance'!A:F,6,FALSE)," non répertoriées")</f>
        <v xml:space="preserve"> non répertoriées</v>
      </c>
      <c r="J606">
        <f>IFERROR(VLOOKUP(B606,'logos transformer '!A:B,2,FALSE),"na")</f>
        <v>1</v>
      </c>
      <c r="K606">
        <f>IFERROR(VLOOKUP(B606,'logos transformer '!A:C,3,FALSE),"na")</f>
        <v>89</v>
      </c>
      <c r="L606" s="1">
        <f>IFERROR(VLOOKUP(B606,'logos transformer '!A:D,4,FALSE),"na")</f>
        <v>45217.863194444442</v>
      </c>
    </row>
    <row r="607" spans="1:12" x14ac:dyDescent="0.3">
      <c r="A607" s="1">
        <v>45210.366666666669</v>
      </c>
      <c r="B607" t="s">
        <v>454</v>
      </c>
      <c r="C607">
        <v>67</v>
      </c>
      <c r="D607" t="s">
        <v>8</v>
      </c>
      <c r="E607" t="str">
        <f>IFERROR(VLOOKUP(logos[[#This Row],[Cell_ID]],'registe maintenance'!A:B,2,FALSE)," non répertoriées")</f>
        <v>Lualaba</v>
      </c>
      <c r="F607">
        <f>IFERROR(VLOOKUP(logos[[#This Row],[Cell_ID]],'registe maintenance'!A:C,3,FALSE)," non répertoriées")</f>
        <v>-8.0301989999999996</v>
      </c>
      <c r="G607">
        <f>IFERROR(VLOOKUP(logos[[#This Row],[Cell_ID]],'registe maintenance'!A:D,4,FALSE)," non répertoriées")</f>
        <v>24.122495000000001</v>
      </c>
      <c r="H607" t="str">
        <f>IFERROR(VLOOKUP(logos[[#This Row],[Cell_ID]],'registe maintenance'!A:E,5,FALSE)," non répertoriées")</f>
        <v>5G</v>
      </c>
      <c r="I607" t="str">
        <f>IFERROR(VLOOKUP(logos[[#This Row],[Cell_ID]],'registe maintenance'!A:F,6,FALSE)," non répertoriées")</f>
        <v>ZTE</v>
      </c>
      <c r="J607">
        <f>IFERROR(VLOOKUP(B607,'logos transformer '!A:B,2,FALSE),"na")</f>
        <v>3</v>
      </c>
      <c r="K607">
        <f>IFERROR(VLOOKUP(B607,'logos transformer '!A:C,3,FALSE),"na")</f>
        <v>182</v>
      </c>
      <c r="L607" s="1">
        <f>IFERROR(VLOOKUP(B607,'logos transformer '!A:D,4,FALSE),"na")</f>
        <v>45228.747916666667</v>
      </c>
    </row>
    <row r="608" spans="1:12" x14ac:dyDescent="0.3">
      <c r="A608" s="1">
        <v>45226.656944444447</v>
      </c>
      <c r="B608" t="s">
        <v>251</v>
      </c>
      <c r="C608">
        <v>7</v>
      </c>
      <c r="D608" t="s">
        <v>5</v>
      </c>
      <c r="E608" t="str">
        <f>IFERROR(VLOOKUP(logos[[#This Row],[Cell_ID]],'registe maintenance'!A:B,2,FALSE)," non répertoriées")</f>
        <v xml:space="preserve"> non répertoriées</v>
      </c>
      <c r="F608" t="str">
        <f>IFERROR(VLOOKUP(logos[[#This Row],[Cell_ID]],'registe maintenance'!A:C,3,FALSE)," non répertoriées")</f>
        <v xml:space="preserve"> non répertoriées</v>
      </c>
      <c r="G608" t="str">
        <f>IFERROR(VLOOKUP(logos[[#This Row],[Cell_ID]],'registe maintenance'!A:D,4,FALSE)," non répertoriées")</f>
        <v xml:space="preserve"> non répertoriées</v>
      </c>
      <c r="H608" t="str">
        <f>IFERROR(VLOOKUP(logos[[#This Row],[Cell_ID]],'registe maintenance'!A:E,5,FALSE)," non répertoriées")</f>
        <v xml:space="preserve"> non répertoriées</v>
      </c>
      <c r="I608" t="str">
        <f>IFERROR(VLOOKUP(logos[[#This Row],[Cell_ID]],'registe maintenance'!A:F,6,FALSE)," non répertoriées")</f>
        <v xml:space="preserve"> non répertoriées</v>
      </c>
      <c r="J608">
        <f>IFERROR(VLOOKUP(B608,'logos transformer '!A:B,2,FALSE),"na")</f>
        <v>2</v>
      </c>
      <c r="K608">
        <f>IFERROR(VLOOKUP(B608,'logos transformer '!A:C,3,FALSE),"na")</f>
        <v>69</v>
      </c>
      <c r="L608" s="1">
        <f>IFERROR(VLOOKUP(B608,'logos transformer '!A:D,4,FALSE),"na")</f>
        <v>45226.656944444447</v>
      </c>
    </row>
    <row r="609" spans="1:12" x14ac:dyDescent="0.3">
      <c r="A609" s="1">
        <v>45224.963888888888</v>
      </c>
      <c r="B609" t="s">
        <v>455</v>
      </c>
      <c r="C609">
        <v>83</v>
      </c>
      <c r="D609" t="s">
        <v>8</v>
      </c>
      <c r="E609" t="str">
        <f>IFERROR(VLOOKUP(logos[[#This Row],[Cell_ID]],'registe maintenance'!A:B,2,FALSE)," non répertoriées")</f>
        <v xml:space="preserve"> non répertoriées</v>
      </c>
      <c r="F609" t="str">
        <f>IFERROR(VLOOKUP(logos[[#This Row],[Cell_ID]],'registe maintenance'!A:C,3,FALSE)," non répertoriées")</f>
        <v xml:space="preserve"> non répertoriées</v>
      </c>
      <c r="G609" t="str">
        <f>IFERROR(VLOOKUP(logos[[#This Row],[Cell_ID]],'registe maintenance'!A:D,4,FALSE)," non répertoriées")</f>
        <v xml:space="preserve"> non répertoriées</v>
      </c>
      <c r="H609" t="str">
        <f>IFERROR(VLOOKUP(logos[[#This Row],[Cell_ID]],'registe maintenance'!A:E,5,FALSE)," non répertoriées")</f>
        <v xml:space="preserve"> non répertoriées</v>
      </c>
      <c r="I609" t="str">
        <f>IFERROR(VLOOKUP(logos[[#This Row],[Cell_ID]],'registe maintenance'!A:F,6,FALSE)," non répertoriées")</f>
        <v xml:space="preserve"> non répertoriées</v>
      </c>
      <c r="J609">
        <f>IFERROR(VLOOKUP(B609,'logos transformer '!A:B,2,FALSE),"na")</f>
        <v>1</v>
      </c>
      <c r="K609">
        <f>IFERROR(VLOOKUP(B609,'logos transformer '!A:C,3,FALSE),"na")</f>
        <v>83</v>
      </c>
      <c r="L609" s="1">
        <f>IFERROR(VLOOKUP(B609,'logos transformer '!A:D,4,FALSE),"na")</f>
        <v>45224.963888888888</v>
      </c>
    </row>
    <row r="610" spans="1:12" x14ac:dyDescent="0.3">
      <c r="A610" s="1">
        <v>45225.948611111111</v>
      </c>
      <c r="B610" t="s">
        <v>456</v>
      </c>
      <c r="C610">
        <v>30</v>
      </c>
      <c r="D610" t="s">
        <v>5</v>
      </c>
      <c r="E610" t="str">
        <f>IFERROR(VLOOKUP(logos[[#This Row],[Cell_ID]],'registe maintenance'!A:B,2,FALSE)," non répertoriées")</f>
        <v>Kwango</v>
      </c>
      <c r="F610">
        <f>IFERROR(VLOOKUP(logos[[#This Row],[Cell_ID]],'registe maintenance'!A:C,3,FALSE)," non répertoriées")</f>
        <v>-10.653247</v>
      </c>
      <c r="G610">
        <f>IFERROR(VLOOKUP(logos[[#This Row],[Cell_ID]],'registe maintenance'!A:D,4,FALSE)," non répertoriées")</f>
        <v>14.685601</v>
      </c>
      <c r="H610" t="str">
        <f>IFERROR(VLOOKUP(logos[[#This Row],[Cell_ID]],'registe maintenance'!A:E,5,FALSE)," non répertoriées")</f>
        <v>4G</v>
      </c>
      <c r="I610" t="str">
        <f>IFERROR(VLOOKUP(logos[[#This Row],[Cell_ID]],'registe maintenance'!A:F,6,FALSE)," non répertoriées")</f>
        <v>Ericsson</v>
      </c>
      <c r="J610">
        <f>IFERROR(VLOOKUP(B610,'logos transformer '!A:B,2,FALSE),"na")</f>
        <v>1</v>
      </c>
      <c r="K610">
        <f>IFERROR(VLOOKUP(B610,'logos transformer '!A:C,3,FALSE),"na")</f>
        <v>30</v>
      </c>
      <c r="L610" s="1">
        <f>IFERROR(VLOOKUP(B610,'logos transformer '!A:D,4,FALSE),"na")</f>
        <v>45225.948611111111</v>
      </c>
    </row>
    <row r="611" spans="1:12" x14ac:dyDescent="0.3">
      <c r="A611" s="1">
        <v>45202.699305555558</v>
      </c>
      <c r="B611" t="s">
        <v>457</v>
      </c>
      <c r="C611">
        <v>63</v>
      </c>
      <c r="D611" t="s">
        <v>8</v>
      </c>
      <c r="E611" t="str">
        <f>IFERROR(VLOOKUP(logos[[#This Row],[Cell_ID]],'registe maintenance'!A:B,2,FALSE)," non répertoriées")</f>
        <v>Tshopo</v>
      </c>
      <c r="F611">
        <f>IFERROR(VLOOKUP(logos[[#This Row],[Cell_ID]],'registe maintenance'!A:C,3,FALSE)," non répertoriées")</f>
        <v>1.400674</v>
      </c>
      <c r="G611">
        <f>IFERROR(VLOOKUP(logos[[#This Row],[Cell_ID]],'registe maintenance'!A:D,4,FALSE)," non répertoriées")</f>
        <v>13.503126999999999</v>
      </c>
      <c r="H611" t="str">
        <f>IFERROR(VLOOKUP(logos[[#This Row],[Cell_ID]],'registe maintenance'!A:E,5,FALSE)," non répertoriées")</f>
        <v>5G</v>
      </c>
      <c r="I611" t="str">
        <f>IFERROR(VLOOKUP(logos[[#This Row],[Cell_ID]],'registe maintenance'!A:F,6,FALSE)," non répertoriées")</f>
        <v>ZTE</v>
      </c>
      <c r="J611">
        <f>IFERROR(VLOOKUP(B611,'logos transformer '!A:B,2,FALSE),"na")</f>
        <v>2</v>
      </c>
      <c r="K611">
        <f>IFERROR(VLOOKUP(B611,'logos transformer '!A:C,3,FALSE),"na")</f>
        <v>126</v>
      </c>
      <c r="L611" s="1">
        <f>IFERROR(VLOOKUP(B611,'logos transformer '!A:D,4,FALSE),"na")</f>
        <v>45202.699305555558</v>
      </c>
    </row>
    <row r="612" spans="1:12" x14ac:dyDescent="0.3">
      <c r="A612" s="1">
        <v>45211.04583333333</v>
      </c>
      <c r="B612" t="s">
        <v>306</v>
      </c>
      <c r="C612">
        <v>18</v>
      </c>
      <c r="D612" t="s">
        <v>10</v>
      </c>
      <c r="E612" t="str">
        <f>IFERROR(VLOOKUP(logos[[#This Row],[Cell_ID]],'registe maintenance'!A:B,2,FALSE)," non répertoriées")</f>
        <v>Mongala</v>
      </c>
      <c r="F612">
        <f>IFERROR(VLOOKUP(logos[[#This Row],[Cell_ID]],'registe maintenance'!A:C,3,FALSE)," non répertoriées")</f>
        <v>-5.3762689999999997</v>
      </c>
      <c r="G612">
        <f>IFERROR(VLOOKUP(logos[[#This Row],[Cell_ID]],'registe maintenance'!A:D,4,FALSE)," non répertoriées")</f>
        <v>28.189575999999999</v>
      </c>
      <c r="H612" t="str">
        <f>IFERROR(VLOOKUP(logos[[#This Row],[Cell_ID]],'registe maintenance'!A:E,5,FALSE)," non répertoriées")</f>
        <v>5G</v>
      </c>
      <c r="I612" t="str">
        <f>IFERROR(VLOOKUP(logos[[#This Row],[Cell_ID]],'registe maintenance'!A:F,6,FALSE)," non répertoriées")</f>
        <v>Huawei</v>
      </c>
      <c r="J612">
        <f>IFERROR(VLOOKUP(B612,'logos transformer '!A:B,2,FALSE),"na")</f>
        <v>4</v>
      </c>
      <c r="K612">
        <f>IFERROR(VLOOKUP(B612,'logos transformer '!A:C,3,FALSE),"na")</f>
        <v>237</v>
      </c>
      <c r="L612" s="1">
        <f>IFERROR(VLOOKUP(B612,'logos transformer '!A:D,4,FALSE),"na")</f>
        <v>45223.759722222225</v>
      </c>
    </row>
    <row r="613" spans="1:12" x14ac:dyDescent="0.3">
      <c r="A613" s="1">
        <v>45213.328472222223</v>
      </c>
      <c r="B613" t="s">
        <v>458</v>
      </c>
      <c r="C613">
        <v>22</v>
      </c>
      <c r="D613" t="s">
        <v>10</v>
      </c>
      <c r="E613" t="str">
        <f>IFERROR(VLOOKUP(logos[[#This Row],[Cell_ID]],'registe maintenance'!A:B,2,FALSE)," non répertoriées")</f>
        <v xml:space="preserve"> non répertoriées</v>
      </c>
      <c r="F613" t="str">
        <f>IFERROR(VLOOKUP(logos[[#This Row],[Cell_ID]],'registe maintenance'!A:C,3,FALSE)," non répertoriées")</f>
        <v xml:space="preserve"> non répertoriées</v>
      </c>
      <c r="G613" t="str">
        <f>IFERROR(VLOOKUP(logos[[#This Row],[Cell_ID]],'registe maintenance'!A:D,4,FALSE)," non répertoriées")</f>
        <v xml:space="preserve"> non répertoriées</v>
      </c>
      <c r="H613" t="str">
        <f>IFERROR(VLOOKUP(logos[[#This Row],[Cell_ID]],'registe maintenance'!A:E,5,FALSE)," non répertoriées")</f>
        <v xml:space="preserve"> non répertoriées</v>
      </c>
      <c r="I613" t="str">
        <f>IFERROR(VLOOKUP(logos[[#This Row],[Cell_ID]],'registe maintenance'!A:F,6,FALSE)," non répertoriées")</f>
        <v xml:space="preserve"> non répertoriées</v>
      </c>
      <c r="J613">
        <f>IFERROR(VLOOKUP(B613,'logos transformer '!A:B,2,FALSE),"na")</f>
        <v>1</v>
      </c>
      <c r="K613">
        <f>IFERROR(VLOOKUP(B613,'logos transformer '!A:C,3,FALSE),"na")</f>
        <v>22</v>
      </c>
      <c r="L613" s="1">
        <f>IFERROR(VLOOKUP(B613,'logos transformer '!A:D,4,FALSE),"na")</f>
        <v>45213.328472222223</v>
      </c>
    </row>
    <row r="614" spans="1:12" x14ac:dyDescent="0.3">
      <c r="A614" s="1">
        <v>45202.443055555559</v>
      </c>
      <c r="B614" t="s">
        <v>374</v>
      </c>
      <c r="C614">
        <v>43</v>
      </c>
      <c r="D614" t="s">
        <v>5</v>
      </c>
      <c r="E614" t="str">
        <f>IFERROR(VLOOKUP(logos[[#This Row],[Cell_ID]],'registe maintenance'!A:B,2,FALSE)," non répertoriées")</f>
        <v xml:space="preserve"> non répertoriées</v>
      </c>
      <c r="F614" t="str">
        <f>IFERROR(VLOOKUP(logos[[#This Row],[Cell_ID]],'registe maintenance'!A:C,3,FALSE)," non répertoriées")</f>
        <v xml:space="preserve"> non répertoriées</v>
      </c>
      <c r="G614" t="str">
        <f>IFERROR(VLOOKUP(logos[[#This Row],[Cell_ID]],'registe maintenance'!A:D,4,FALSE)," non répertoriées")</f>
        <v xml:space="preserve"> non répertoriées</v>
      </c>
      <c r="H614" t="str">
        <f>IFERROR(VLOOKUP(logos[[#This Row],[Cell_ID]],'registe maintenance'!A:E,5,FALSE)," non répertoriées")</f>
        <v xml:space="preserve"> non répertoriées</v>
      </c>
      <c r="I614" t="str">
        <f>IFERROR(VLOOKUP(logos[[#This Row],[Cell_ID]],'registe maintenance'!A:F,6,FALSE)," non répertoriées")</f>
        <v xml:space="preserve"> non répertoriées</v>
      </c>
      <c r="J614">
        <f>IFERROR(VLOOKUP(B614,'logos transformer '!A:B,2,FALSE),"na")</f>
        <v>3</v>
      </c>
      <c r="K614">
        <f>IFERROR(VLOOKUP(B614,'logos transformer '!A:C,3,FALSE),"na")</f>
        <v>105</v>
      </c>
      <c r="L614" s="1">
        <f>IFERROR(VLOOKUP(B614,'logos transformer '!A:D,4,FALSE),"na")</f>
        <v>45219.453472222223</v>
      </c>
    </row>
    <row r="615" spans="1:12" x14ac:dyDescent="0.3">
      <c r="A615" s="1">
        <v>45224.818055555559</v>
      </c>
      <c r="B615" t="s">
        <v>222</v>
      </c>
      <c r="C615">
        <v>5</v>
      </c>
      <c r="D615" t="s">
        <v>10</v>
      </c>
      <c r="E615" t="str">
        <f>IFERROR(VLOOKUP(logos[[#This Row],[Cell_ID]],'registe maintenance'!A:B,2,FALSE)," non répertoriées")</f>
        <v xml:space="preserve"> non répertoriées</v>
      </c>
      <c r="F615" t="str">
        <f>IFERROR(VLOOKUP(logos[[#This Row],[Cell_ID]],'registe maintenance'!A:C,3,FALSE)," non répertoriées")</f>
        <v xml:space="preserve"> non répertoriées</v>
      </c>
      <c r="G615" t="str">
        <f>IFERROR(VLOOKUP(logos[[#This Row],[Cell_ID]],'registe maintenance'!A:D,4,FALSE)," non répertoriées")</f>
        <v xml:space="preserve"> non répertoriées</v>
      </c>
      <c r="H615" t="str">
        <f>IFERROR(VLOOKUP(logos[[#This Row],[Cell_ID]],'registe maintenance'!A:E,5,FALSE)," non répertoriées")</f>
        <v xml:space="preserve"> non répertoriées</v>
      </c>
      <c r="I615" t="str">
        <f>IFERROR(VLOOKUP(logos[[#This Row],[Cell_ID]],'registe maintenance'!A:F,6,FALSE)," non répertoriées")</f>
        <v xml:space="preserve"> non répertoriées</v>
      </c>
      <c r="J615">
        <f>IFERROR(VLOOKUP(B615,'logos transformer '!A:B,2,FALSE),"na")</f>
        <v>2</v>
      </c>
      <c r="K615">
        <f>IFERROR(VLOOKUP(B615,'logos transformer '!A:C,3,FALSE),"na")</f>
        <v>94</v>
      </c>
      <c r="L615" s="1">
        <f>IFERROR(VLOOKUP(B615,'logos transformer '!A:D,4,FALSE),"na")</f>
        <v>45224.818055555559</v>
      </c>
    </row>
    <row r="616" spans="1:12" x14ac:dyDescent="0.3">
      <c r="A616" s="1">
        <v>45212.417361111111</v>
      </c>
      <c r="B616" t="s">
        <v>459</v>
      </c>
      <c r="C616">
        <v>55</v>
      </c>
      <c r="D616" t="s">
        <v>8</v>
      </c>
      <c r="E616" t="str">
        <f>IFERROR(VLOOKUP(logos[[#This Row],[Cell_ID]],'registe maintenance'!A:B,2,FALSE)," non répertoriées")</f>
        <v>Maniema</v>
      </c>
      <c r="F616">
        <f>IFERROR(VLOOKUP(logos[[#This Row],[Cell_ID]],'registe maintenance'!A:C,3,FALSE)," non répertoriées")</f>
        <v>1.938083</v>
      </c>
      <c r="G616">
        <f>IFERROR(VLOOKUP(logos[[#This Row],[Cell_ID]],'registe maintenance'!A:D,4,FALSE)," non répertoriées")</f>
        <v>28.25281</v>
      </c>
      <c r="H616" t="str">
        <f>IFERROR(VLOOKUP(logos[[#This Row],[Cell_ID]],'registe maintenance'!A:E,5,FALSE)," non répertoriées")</f>
        <v>4G</v>
      </c>
      <c r="I616" t="str">
        <f>IFERROR(VLOOKUP(logos[[#This Row],[Cell_ID]],'registe maintenance'!A:F,6,FALSE)," non répertoriées")</f>
        <v>Nokia</v>
      </c>
      <c r="J616">
        <f>IFERROR(VLOOKUP(B616,'logos transformer '!A:B,2,FALSE),"na")</f>
        <v>3</v>
      </c>
      <c r="K616">
        <f>IFERROR(VLOOKUP(B616,'logos transformer '!A:C,3,FALSE),"na")</f>
        <v>205</v>
      </c>
      <c r="L616" s="1">
        <f>IFERROR(VLOOKUP(B616,'logos transformer '!A:D,4,FALSE),"na")</f>
        <v>45216.435416666667</v>
      </c>
    </row>
    <row r="617" spans="1:12" x14ac:dyDescent="0.3">
      <c r="A617" s="1">
        <v>45220.368055555547</v>
      </c>
      <c r="B617" t="s">
        <v>460</v>
      </c>
      <c r="C617">
        <v>47</v>
      </c>
      <c r="D617" t="s">
        <v>10</v>
      </c>
      <c r="E617" t="str">
        <f>IFERROR(VLOOKUP(logos[[#This Row],[Cell_ID]],'registe maintenance'!A:B,2,FALSE)," non répertoriées")</f>
        <v xml:space="preserve"> non répertoriées</v>
      </c>
      <c r="F617" t="str">
        <f>IFERROR(VLOOKUP(logos[[#This Row],[Cell_ID]],'registe maintenance'!A:C,3,FALSE)," non répertoriées")</f>
        <v xml:space="preserve"> non répertoriées</v>
      </c>
      <c r="G617" t="str">
        <f>IFERROR(VLOOKUP(logos[[#This Row],[Cell_ID]],'registe maintenance'!A:D,4,FALSE)," non répertoriées")</f>
        <v xml:space="preserve"> non répertoriées</v>
      </c>
      <c r="H617" t="str">
        <f>IFERROR(VLOOKUP(logos[[#This Row],[Cell_ID]],'registe maintenance'!A:E,5,FALSE)," non répertoriées")</f>
        <v xml:space="preserve"> non répertoriées</v>
      </c>
      <c r="I617" t="str">
        <f>IFERROR(VLOOKUP(logos[[#This Row],[Cell_ID]],'registe maintenance'!A:F,6,FALSE)," non répertoriées")</f>
        <v xml:space="preserve"> non répertoriées</v>
      </c>
      <c r="J617">
        <f>IFERROR(VLOOKUP(B617,'logos transformer '!A:B,2,FALSE),"na")</f>
        <v>3</v>
      </c>
      <c r="K617">
        <f>IFERROR(VLOOKUP(B617,'logos transformer '!A:C,3,FALSE),"na")</f>
        <v>214</v>
      </c>
      <c r="L617" s="1">
        <f>IFERROR(VLOOKUP(B617,'logos transformer '!A:D,4,FALSE),"na")</f>
        <v>45220.368055555555</v>
      </c>
    </row>
    <row r="618" spans="1:12" x14ac:dyDescent="0.3">
      <c r="A618" s="1">
        <v>45214.634722222218</v>
      </c>
      <c r="B618" t="s">
        <v>461</v>
      </c>
      <c r="C618">
        <v>112</v>
      </c>
      <c r="D618" t="s">
        <v>8</v>
      </c>
      <c r="E618" t="str">
        <f>IFERROR(VLOOKUP(logos[[#This Row],[Cell_ID]],'registe maintenance'!A:B,2,FALSE)," non répertoriées")</f>
        <v>Equateur</v>
      </c>
      <c r="F618">
        <f>IFERROR(VLOOKUP(logos[[#This Row],[Cell_ID]],'registe maintenance'!A:C,3,FALSE)," non répertoriées")</f>
        <v>-6.1490739999999997</v>
      </c>
      <c r="G618">
        <f>IFERROR(VLOOKUP(logos[[#This Row],[Cell_ID]],'registe maintenance'!A:D,4,FALSE)," non répertoriées")</f>
        <v>23.304411000000002</v>
      </c>
      <c r="H618" t="str">
        <f>IFERROR(VLOOKUP(logos[[#This Row],[Cell_ID]],'registe maintenance'!A:E,5,FALSE)," non répertoriées")</f>
        <v>5G</v>
      </c>
      <c r="I618" t="str">
        <f>IFERROR(VLOOKUP(logos[[#This Row],[Cell_ID]],'registe maintenance'!A:F,6,FALSE)," non répertoriées")</f>
        <v>ZTE</v>
      </c>
      <c r="J618">
        <f>IFERROR(VLOOKUP(B618,'logos transformer '!A:B,2,FALSE),"na")</f>
        <v>3</v>
      </c>
      <c r="K618">
        <f>IFERROR(VLOOKUP(B618,'logos transformer '!A:C,3,FALSE),"na")</f>
        <v>197</v>
      </c>
      <c r="L618" s="1">
        <f>IFERROR(VLOOKUP(B618,'logos transformer '!A:D,4,FALSE),"na")</f>
        <v>45214.634722222225</v>
      </c>
    </row>
    <row r="619" spans="1:12" x14ac:dyDescent="0.3">
      <c r="A619" s="1">
        <v>45211.724999999999</v>
      </c>
      <c r="B619" t="s">
        <v>307</v>
      </c>
      <c r="C619">
        <v>84</v>
      </c>
      <c r="D619" t="s">
        <v>10</v>
      </c>
      <c r="E619" t="str">
        <f>IFERROR(VLOOKUP(logos[[#This Row],[Cell_ID]],'registe maintenance'!A:B,2,FALSE)," non répertoriées")</f>
        <v>Sankuru</v>
      </c>
      <c r="F619">
        <f>IFERROR(VLOOKUP(logos[[#This Row],[Cell_ID]],'registe maintenance'!A:C,3,FALSE)," non répertoriées")</f>
        <v>-1.4110389999999999</v>
      </c>
      <c r="G619">
        <f>IFERROR(VLOOKUP(logos[[#This Row],[Cell_ID]],'registe maintenance'!A:D,4,FALSE)," non répertoriées")</f>
        <v>21.261644</v>
      </c>
      <c r="H619" t="str">
        <f>IFERROR(VLOOKUP(logos[[#This Row],[Cell_ID]],'registe maintenance'!A:E,5,FALSE)," non répertoriées")</f>
        <v>4G</v>
      </c>
      <c r="I619" t="str">
        <f>IFERROR(VLOOKUP(logos[[#This Row],[Cell_ID]],'registe maintenance'!A:F,6,FALSE)," non répertoriées")</f>
        <v>ZTE</v>
      </c>
      <c r="J619">
        <f>IFERROR(VLOOKUP(B619,'logos transformer '!A:B,2,FALSE),"na")</f>
        <v>3</v>
      </c>
      <c r="K619">
        <f>IFERROR(VLOOKUP(B619,'logos transformer '!A:C,3,FALSE),"na")</f>
        <v>270</v>
      </c>
      <c r="L619" s="1">
        <f>IFERROR(VLOOKUP(B619,'logos transformer '!A:D,4,FALSE),"na")</f>
        <v>45215.990277777775</v>
      </c>
    </row>
    <row r="620" spans="1:12" x14ac:dyDescent="0.3">
      <c r="A620" s="1">
        <v>45213.238194444442</v>
      </c>
      <c r="B620" t="s">
        <v>462</v>
      </c>
      <c r="C620">
        <v>53</v>
      </c>
      <c r="D620" t="s">
        <v>8</v>
      </c>
      <c r="E620" t="str">
        <f>IFERROR(VLOOKUP(logos[[#This Row],[Cell_ID]],'registe maintenance'!A:B,2,FALSE)," non répertoriées")</f>
        <v>Nord-Ubangi</v>
      </c>
      <c r="F620">
        <f>IFERROR(VLOOKUP(logos[[#This Row],[Cell_ID]],'registe maintenance'!A:C,3,FALSE)," non répertoriées")</f>
        <v>-8.4985189999999999</v>
      </c>
      <c r="G620">
        <f>IFERROR(VLOOKUP(logos[[#This Row],[Cell_ID]],'registe maintenance'!A:D,4,FALSE)," non répertoriées")</f>
        <v>12.929456999999999</v>
      </c>
      <c r="H620" t="str">
        <f>IFERROR(VLOOKUP(logos[[#This Row],[Cell_ID]],'registe maintenance'!A:E,5,FALSE)," non répertoriées")</f>
        <v>4G</v>
      </c>
      <c r="I620" t="str">
        <f>IFERROR(VLOOKUP(logos[[#This Row],[Cell_ID]],'registe maintenance'!A:F,6,FALSE)," non répertoriées")</f>
        <v>Ericsson</v>
      </c>
      <c r="J620">
        <f>IFERROR(VLOOKUP(B620,'logos transformer '!A:B,2,FALSE),"na")</f>
        <v>3</v>
      </c>
      <c r="K620">
        <f>IFERROR(VLOOKUP(B620,'logos transformer '!A:C,3,FALSE),"na")</f>
        <v>139</v>
      </c>
      <c r="L620" s="1">
        <f>IFERROR(VLOOKUP(B620,'logos transformer '!A:D,4,FALSE),"na")</f>
        <v>45229.972222222219</v>
      </c>
    </row>
    <row r="621" spans="1:12" x14ac:dyDescent="0.3">
      <c r="A621" s="1">
        <v>45218.89166666667</v>
      </c>
      <c r="B621" t="s">
        <v>84</v>
      </c>
      <c r="C621">
        <v>107</v>
      </c>
      <c r="D621" t="s">
        <v>8</v>
      </c>
      <c r="E621" t="str">
        <f>IFERROR(VLOOKUP(logos[[#This Row],[Cell_ID]],'registe maintenance'!A:B,2,FALSE)," non répertoriées")</f>
        <v xml:space="preserve"> non répertoriées</v>
      </c>
      <c r="F621" t="str">
        <f>IFERROR(VLOOKUP(logos[[#This Row],[Cell_ID]],'registe maintenance'!A:C,3,FALSE)," non répertoriées")</f>
        <v xml:space="preserve"> non répertoriées</v>
      </c>
      <c r="G621" t="str">
        <f>IFERROR(VLOOKUP(logos[[#This Row],[Cell_ID]],'registe maintenance'!A:D,4,FALSE)," non répertoriées")</f>
        <v xml:space="preserve"> non répertoriées</v>
      </c>
      <c r="H621" t="str">
        <f>IFERROR(VLOOKUP(logos[[#This Row],[Cell_ID]],'registe maintenance'!A:E,5,FALSE)," non répertoriées")</f>
        <v xml:space="preserve"> non répertoriées</v>
      </c>
      <c r="I621" t="str">
        <f>IFERROR(VLOOKUP(logos[[#This Row],[Cell_ID]],'registe maintenance'!A:F,6,FALSE)," non répertoriées")</f>
        <v xml:space="preserve"> non répertoriées</v>
      </c>
      <c r="J621">
        <f>IFERROR(VLOOKUP(B621,'logos transformer '!A:B,2,FALSE),"na")</f>
        <v>2</v>
      </c>
      <c r="K621">
        <f>IFERROR(VLOOKUP(B621,'logos transformer '!A:C,3,FALSE),"na")</f>
        <v>207</v>
      </c>
      <c r="L621" s="1">
        <f>IFERROR(VLOOKUP(B621,'logos transformer '!A:D,4,FALSE),"na")</f>
        <v>45218.89166666667</v>
      </c>
    </row>
    <row r="622" spans="1:12" x14ac:dyDescent="0.3">
      <c r="A622" s="1">
        <v>45202.804166666669</v>
      </c>
      <c r="B622" t="s">
        <v>463</v>
      </c>
      <c r="C622">
        <v>115</v>
      </c>
      <c r="D622" t="s">
        <v>8</v>
      </c>
      <c r="E622" t="str">
        <f>IFERROR(VLOOKUP(logos[[#This Row],[Cell_ID]],'registe maintenance'!A:B,2,FALSE)," non répertoriées")</f>
        <v>Haut-Uele</v>
      </c>
      <c r="F622">
        <f>IFERROR(VLOOKUP(logos[[#This Row],[Cell_ID]],'registe maintenance'!A:C,3,FALSE)," non répertoriées")</f>
        <v>1.2391989999999999</v>
      </c>
      <c r="G622">
        <f>IFERROR(VLOOKUP(logos[[#This Row],[Cell_ID]],'registe maintenance'!A:D,4,FALSE)," non répertoriées")</f>
        <v>15.386718999999999</v>
      </c>
      <c r="H622" t="str">
        <f>IFERROR(VLOOKUP(logos[[#This Row],[Cell_ID]],'registe maintenance'!A:E,5,FALSE)," non répertoriées")</f>
        <v>5G</v>
      </c>
      <c r="I622" t="str">
        <f>IFERROR(VLOOKUP(logos[[#This Row],[Cell_ID]],'registe maintenance'!A:F,6,FALSE)," non répertoriées")</f>
        <v>ZTE</v>
      </c>
      <c r="J622">
        <f>IFERROR(VLOOKUP(B622,'logos transformer '!A:B,2,FALSE),"na")</f>
        <v>1</v>
      </c>
      <c r="K622">
        <f>IFERROR(VLOOKUP(B622,'logos transformer '!A:C,3,FALSE),"na")</f>
        <v>115</v>
      </c>
      <c r="L622" s="1">
        <f>IFERROR(VLOOKUP(B622,'logos transformer '!A:D,4,FALSE),"na")</f>
        <v>45202.804166666669</v>
      </c>
    </row>
    <row r="623" spans="1:12" x14ac:dyDescent="0.3">
      <c r="A623" s="1">
        <v>45225.322916666657</v>
      </c>
      <c r="B623" t="s">
        <v>464</v>
      </c>
      <c r="C623">
        <v>47</v>
      </c>
      <c r="D623" t="s">
        <v>10</v>
      </c>
      <c r="E623" t="str">
        <f>IFERROR(VLOOKUP(logos[[#This Row],[Cell_ID]],'registe maintenance'!A:B,2,FALSE)," non répertoriées")</f>
        <v xml:space="preserve"> non répertoriées</v>
      </c>
      <c r="F623" t="str">
        <f>IFERROR(VLOOKUP(logos[[#This Row],[Cell_ID]],'registe maintenance'!A:C,3,FALSE)," non répertoriées")</f>
        <v xml:space="preserve"> non répertoriées</v>
      </c>
      <c r="G623" t="str">
        <f>IFERROR(VLOOKUP(logos[[#This Row],[Cell_ID]],'registe maintenance'!A:D,4,FALSE)," non répertoriées")</f>
        <v xml:space="preserve"> non répertoriées</v>
      </c>
      <c r="H623" t="str">
        <f>IFERROR(VLOOKUP(logos[[#This Row],[Cell_ID]],'registe maintenance'!A:E,5,FALSE)," non répertoriées")</f>
        <v xml:space="preserve"> non répertoriées</v>
      </c>
      <c r="I623" t="str">
        <f>IFERROR(VLOOKUP(logos[[#This Row],[Cell_ID]],'registe maintenance'!A:F,6,FALSE)," non répertoriées")</f>
        <v xml:space="preserve"> non répertoriées</v>
      </c>
      <c r="J623">
        <f>IFERROR(VLOOKUP(B623,'logos transformer '!A:B,2,FALSE),"na")</f>
        <v>1</v>
      </c>
      <c r="K623">
        <f>IFERROR(VLOOKUP(B623,'logos transformer '!A:C,3,FALSE),"na")</f>
        <v>47</v>
      </c>
      <c r="L623" s="1">
        <f>IFERROR(VLOOKUP(B623,'logos transformer '!A:D,4,FALSE),"na")</f>
        <v>45225.322916666664</v>
      </c>
    </row>
    <row r="624" spans="1:12" x14ac:dyDescent="0.3">
      <c r="A624" s="1">
        <v>45202.095138888893</v>
      </c>
      <c r="B624" t="s">
        <v>465</v>
      </c>
      <c r="C624">
        <v>61</v>
      </c>
      <c r="D624" t="s">
        <v>8</v>
      </c>
      <c r="E624" t="str">
        <f>IFERROR(VLOOKUP(logos[[#This Row],[Cell_ID]],'registe maintenance'!A:B,2,FALSE)," non répertoriées")</f>
        <v xml:space="preserve"> non répertoriées</v>
      </c>
      <c r="F624" t="str">
        <f>IFERROR(VLOOKUP(logos[[#This Row],[Cell_ID]],'registe maintenance'!A:C,3,FALSE)," non répertoriées")</f>
        <v xml:space="preserve"> non répertoriées</v>
      </c>
      <c r="G624" t="str">
        <f>IFERROR(VLOOKUP(logos[[#This Row],[Cell_ID]],'registe maintenance'!A:D,4,FALSE)," non répertoriées")</f>
        <v xml:space="preserve"> non répertoriées</v>
      </c>
      <c r="H624" t="str">
        <f>IFERROR(VLOOKUP(logos[[#This Row],[Cell_ID]],'registe maintenance'!A:E,5,FALSE)," non répertoriées")</f>
        <v xml:space="preserve"> non répertoriées</v>
      </c>
      <c r="I624" t="str">
        <f>IFERROR(VLOOKUP(logos[[#This Row],[Cell_ID]],'registe maintenance'!A:F,6,FALSE)," non répertoriées")</f>
        <v xml:space="preserve"> non répertoriées</v>
      </c>
      <c r="J624">
        <f>IFERROR(VLOOKUP(B624,'logos transformer '!A:B,2,FALSE),"na")</f>
        <v>1</v>
      </c>
      <c r="K624">
        <f>IFERROR(VLOOKUP(B624,'logos transformer '!A:C,3,FALSE),"na")</f>
        <v>61</v>
      </c>
      <c r="L624" s="1">
        <f>IFERROR(VLOOKUP(B624,'logos transformer '!A:D,4,FALSE),"na")</f>
        <v>45202.095138888886</v>
      </c>
    </row>
    <row r="625" spans="1:12" x14ac:dyDescent="0.3">
      <c r="A625" s="1">
        <v>45204.53125</v>
      </c>
      <c r="B625" t="s">
        <v>170</v>
      </c>
      <c r="C625">
        <v>47</v>
      </c>
      <c r="D625" t="s">
        <v>5</v>
      </c>
      <c r="E625" t="str">
        <f>IFERROR(VLOOKUP(logos[[#This Row],[Cell_ID]],'registe maintenance'!A:B,2,FALSE)," non répertoriées")</f>
        <v>Nord-Kivu</v>
      </c>
      <c r="F625">
        <f>IFERROR(VLOOKUP(logos[[#This Row],[Cell_ID]],'registe maintenance'!A:C,3,FALSE)," non répertoriées")</f>
        <v>-12.336202</v>
      </c>
      <c r="G625">
        <f>IFERROR(VLOOKUP(logos[[#This Row],[Cell_ID]],'registe maintenance'!A:D,4,FALSE)," non répertoriées")</f>
        <v>13.693683999999999</v>
      </c>
      <c r="H625" t="str">
        <f>IFERROR(VLOOKUP(logos[[#This Row],[Cell_ID]],'registe maintenance'!A:E,5,FALSE)," non répertoriées")</f>
        <v>5G</v>
      </c>
      <c r="I625" t="str">
        <f>IFERROR(VLOOKUP(logos[[#This Row],[Cell_ID]],'registe maintenance'!A:F,6,FALSE)," non répertoriées")</f>
        <v>Huawei</v>
      </c>
      <c r="J625">
        <f>IFERROR(VLOOKUP(B625,'logos transformer '!A:B,2,FALSE),"na")</f>
        <v>4</v>
      </c>
      <c r="K625">
        <f>IFERROR(VLOOKUP(B625,'logos transformer '!A:C,3,FALSE),"na")</f>
        <v>190</v>
      </c>
      <c r="L625" s="1">
        <f>IFERROR(VLOOKUP(B625,'logos transformer '!A:D,4,FALSE),"na")</f>
        <v>45230.486111111109</v>
      </c>
    </row>
    <row r="626" spans="1:12" x14ac:dyDescent="0.3">
      <c r="A626" s="1">
        <v>45225.839583333327</v>
      </c>
      <c r="B626" t="s">
        <v>466</v>
      </c>
      <c r="C626">
        <v>60</v>
      </c>
      <c r="D626" t="s">
        <v>10</v>
      </c>
      <c r="E626" t="str">
        <f>IFERROR(VLOOKUP(logos[[#This Row],[Cell_ID]],'registe maintenance'!A:B,2,FALSE)," non répertoriées")</f>
        <v xml:space="preserve"> non répertoriées</v>
      </c>
      <c r="F626" t="str">
        <f>IFERROR(VLOOKUP(logos[[#This Row],[Cell_ID]],'registe maintenance'!A:C,3,FALSE)," non répertoriées")</f>
        <v xml:space="preserve"> non répertoriées</v>
      </c>
      <c r="G626" t="str">
        <f>IFERROR(VLOOKUP(logos[[#This Row],[Cell_ID]],'registe maintenance'!A:D,4,FALSE)," non répertoriées")</f>
        <v xml:space="preserve"> non répertoriées</v>
      </c>
      <c r="H626" t="str">
        <f>IFERROR(VLOOKUP(logos[[#This Row],[Cell_ID]],'registe maintenance'!A:E,5,FALSE)," non répertoriées")</f>
        <v xml:space="preserve"> non répertoriées</v>
      </c>
      <c r="I626" t="str">
        <f>IFERROR(VLOOKUP(logos[[#This Row],[Cell_ID]],'registe maintenance'!A:F,6,FALSE)," non répertoriées")</f>
        <v xml:space="preserve"> non répertoriées</v>
      </c>
      <c r="J626">
        <f>IFERROR(VLOOKUP(B626,'logos transformer '!A:B,2,FALSE),"na")</f>
        <v>2</v>
      </c>
      <c r="K626">
        <f>IFERROR(VLOOKUP(B626,'logos transformer '!A:C,3,FALSE),"na")</f>
        <v>143</v>
      </c>
      <c r="L626" s="1">
        <f>IFERROR(VLOOKUP(B626,'logos transformer '!A:D,4,FALSE),"na")</f>
        <v>45225.839583333334</v>
      </c>
    </row>
    <row r="627" spans="1:12" x14ac:dyDescent="0.3">
      <c r="A627" s="1">
        <v>45223.513888888891</v>
      </c>
      <c r="B627" t="s">
        <v>342</v>
      </c>
      <c r="C627">
        <v>109</v>
      </c>
      <c r="D627" t="s">
        <v>8</v>
      </c>
      <c r="E627" t="str">
        <f>IFERROR(VLOOKUP(logos[[#This Row],[Cell_ID]],'registe maintenance'!A:B,2,FALSE)," non répertoriées")</f>
        <v xml:space="preserve"> non répertoriées</v>
      </c>
      <c r="F627" t="str">
        <f>IFERROR(VLOOKUP(logos[[#This Row],[Cell_ID]],'registe maintenance'!A:C,3,FALSE)," non répertoriées")</f>
        <v xml:space="preserve"> non répertoriées</v>
      </c>
      <c r="G627" t="str">
        <f>IFERROR(VLOOKUP(logos[[#This Row],[Cell_ID]],'registe maintenance'!A:D,4,FALSE)," non répertoriées")</f>
        <v xml:space="preserve"> non répertoriées</v>
      </c>
      <c r="H627" t="str">
        <f>IFERROR(VLOOKUP(logos[[#This Row],[Cell_ID]],'registe maintenance'!A:E,5,FALSE)," non répertoriées")</f>
        <v xml:space="preserve"> non répertoriées</v>
      </c>
      <c r="I627" t="str">
        <f>IFERROR(VLOOKUP(logos[[#This Row],[Cell_ID]],'registe maintenance'!A:F,6,FALSE)," non répertoriées")</f>
        <v xml:space="preserve"> non répertoriées</v>
      </c>
      <c r="J627">
        <f>IFERROR(VLOOKUP(B627,'logos transformer '!A:B,2,FALSE),"na")</f>
        <v>3</v>
      </c>
      <c r="K627">
        <f>IFERROR(VLOOKUP(B627,'logos transformer '!A:C,3,FALSE),"na")</f>
        <v>210</v>
      </c>
      <c r="L627" s="1">
        <f>IFERROR(VLOOKUP(B627,'logos transformer '!A:D,4,FALSE),"na")</f>
        <v>45226.895138888889</v>
      </c>
    </row>
    <row r="628" spans="1:12" x14ac:dyDescent="0.3">
      <c r="A628" s="1">
        <v>45211.128472222219</v>
      </c>
      <c r="B628" t="s">
        <v>467</v>
      </c>
      <c r="C628">
        <v>110</v>
      </c>
      <c r="D628" t="s">
        <v>8</v>
      </c>
      <c r="E628" t="str">
        <f>IFERROR(VLOOKUP(logos[[#This Row],[Cell_ID]],'registe maintenance'!A:B,2,FALSE)," non répertoriées")</f>
        <v>Sud-Kivu</v>
      </c>
      <c r="F628">
        <f>IFERROR(VLOOKUP(logos[[#This Row],[Cell_ID]],'registe maintenance'!A:C,3,FALSE)," non répertoriées")</f>
        <v>2.453036</v>
      </c>
      <c r="G628">
        <f>IFERROR(VLOOKUP(logos[[#This Row],[Cell_ID]],'registe maintenance'!A:D,4,FALSE)," non répertoriées")</f>
        <v>20.555484</v>
      </c>
      <c r="H628" t="str">
        <f>IFERROR(VLOOKUP(logos[[#This Row],[Cell_ID]],'registe maintenance'!A:E,5,FALSE)," non répertoriées")</f>
        <v>5G</v>
      </c>
      <c r="I628" t="str">
        <f>IFERROR(VLOOKUP(logos[[#This Row],[Cell_ID]],'registe maintenance'!A:F,6,FALSE)," non répertoriées")</f>
        <v>Ericsson</v>
      </c>
      <c r="J628">
        <f>IFERROR(VLOOKUP(B628,'logos transformer '!A:B,2,FALSE),"na")</f>
        <v>1</v>
      </c>
      <c r="K628">
        <f>IFERROR(VLOOKUP(B628,'logos transformer '!A:C,3,FALSE),"na")</f>
        <v>119</v>
      </c>
      <c r="L628" s="1">
        <f>IFERROR(VLOOKUP(B628,'logos transformer '!A:D,4,FALSE),"na")</f>
        <v>45228.651388888888</v>
      </c>
    </row>
    <row r="629" spans="1:12" x14ac:dyDescent="0.3">
      <c r="A629" s="1">
        <v>45200.394444444442</v>
      </c>
      <c r="B629" t="s">
        <v>299</v>
      </c>
      <c r="C629">
        <v>115</v>
      </c>
      <c r="D629" t="s">
        <v>8</v>
      </c>
      <c r="E629" t="str">
        <f>IFERROR(VLOOKUP(logos[[#This Row],[Cell_ID]],'registe maintenance'!A:B,2,FALSE)," non répertoriées")</f>
        <v xml:space="preserve"> non répertoriées</v>
      </c>
      <c r="F629" t="str">
        <f>IFERROR(VLOOKUP(logos[[#This Row],[Cell_ID]],'registe maintenance'!A:C,3,FALSE)," non répertoriées")</f>
        <v xml:space="preserve"> non répertoriées</v>
      </c>
      <c r="G629" t="str">
        <f>IFERROR(VLOOKUP(logos[[#This Row],[Cell_ID]],'registe maintenance'!A:D,4,FALSE)," non répertoriées")</f>
        <v xml:space="preserve"> non répertoriées</v>
      </c>
      <c r="H629" t="str">
        <f>IFERROR(VLOOKUP(logos[[#This Row],[Cell_ID]],'registe maintenance'!A:E,5,FALSE)," non répertoriées")</f>
        <v xml:space="preserve"> non répertoriées</v>
      </c>
      <c r="I629" t="str">
        <f>IFERROR(VLOOKUP(logos[[#This Row],[Cell_ID]],'registe maintenance'!A:F,6,FALSE)," non répertoriées")</f>
        <v xml:space="preserve"> non répertoriées</v>
      </c>
      <c r="J629">
        <f>IFERROR(VLOOKUP(B629,'logos transformer '!A:B,2,FALSE),"na")</f>
        <v>3</v>
      </c>
      <c r="K629">
        <f>IFERROR(VLOOKUP(B629,'logos transformer '!A:C,3,FALSE),"na")</f>
        <v>209</v>
      </c>
      <c r="L629" s="1">
        <f>IFERROR(VLOOKUP(B629,'logos transformer '!A:D,4,FALSE),"na")</f>
        <v>45202.695138888892</v>
      </c>
    </row>
    <row r="630" spans="1:12" x14ac:dyDescent="0.3">
      <c r="A630" s="1">
        <v>45211.337500000001</v>
      </c>
      <c r="B630" t="s">
        <v>468</v>
      </c>
      <c r="C630">
        <v>88</v>
      </c>
      <c r="D630" t="s">
        <v>8</v>
      </c>
      <c r="E630" t="str">
        <f>IFERROR(VLOOKUP(logos[[#This Row],[Cell_ID]],'registe maintenance'!A:B,2,FALSE)," non répertoriées")</f>
        <v>Ituri</v>
      </c>
      <c r="F630">
        <f>IFERROR(VLOOKUP(logos[[#This Row],[Cell_ID]],'registe maintenance'!A:C,3,FALSE)," non répertoriées")</f>
        <v>-12.364127999999999</v>
      </c>
      <c r="G630">
        <f>IFERROR(VLOOKUP(logos[[#This Row],[Cell_ID]],'registe maintenance'!A:D,4,FALSE)," non répertoriées")</f>
        <v>19.576150999999999</v>
      </c>
      <c r="H630" t="str">
        <f>IFERROR(VLOOKUP(logos[[#This Row],[Cell_ID]],'registe maintenance'!A:E,5,FALSE)," non répertoriées")</f>
        <v>3G</v>
      </c>
      <c r="I630" t="str">
        <f>IFERROR(VLOOKUP(logos[[#This Row],[Cell_ID]],'registe maintenance'!A:F,6,FALSE)," non répertoriées")</f>
        <v>Nokia</v>
      </c>
      <c r="J630">
        <f>IFERROR(VLOOKUP(B630,'logos transformer '!A:B,2,FALSE),"na")</f>
        <v>1</v>
      </c>
      <c r="K630">
        <f>IFERROR(VLOOKUP(B630,'logos transformer '!A:C,3,FALSE),"na")</f>
        <v>88</v>
      </c>
      <c r="L630" s="1">
        <f>IFERROR(VLOOKUP(B630,'logos transformer '!A:D,4,FALSE),"na")</f>
        <v>45211.337500000001</v>
      </c>
    </row>
    <row r="631" spans="1:12" x14ac:dyDescent="0.3">
      <c r="A631" s="1">
        <v>45204.09097222222</v>
      </c>
      <c r="B631" t="s">
        <v>469</v>
      </c>
      <c r="C631">
        <v>81</v>
      </c>
      <c r="D631" t="s">
        <v>5</v>
      </c>
      <c r="E631" t="str">
        <f>IFERROR(VLOOKUP(logos[[#This Row],[Cell_ID]],'registe maintenance'!A:B,2,FALSE)," non répertoriées")</f>
        <v xml:space="preserve"> non répertoriées</v>
      </c>
      <c r="F631" t="str">
        <f>IFERROR(VLOOKUP(logos[[#This Row],[Cell_ID]],'registe maintenance'!A:C,3,FALSE)," non répertoriées")</f>
        <v xml:space="preserve"> non répertoriées</v>
      </c>
      <c r="G631" t="str">
        <f>IFERROR(VLOOKUP(logos[[#This Row],[Cell_ID]],'registe maintenance'!A:D,4,FALSE)," non répertoriées")</f>
        <v xml:space="preserve"> non répertoriées</v>
      </c>
      <c r="H631" t="str">
        <f>IFERROR(VLOOKUP(logos[[#This Row],[Cell_ID]],'registe maintenance'!A:E,5,FALSE)," non répertoriées")</f>
        <v xml:space="preserve"> non répertoriées</v>
      </c>
      <c r="I631" t="str">
        <f>IFERROR(VLOOKUP(logos[[#This Row],[Cell_ID]],'registe maintenance'!A:F,6,FALSE)," non répertoriées")</f>
        <v xml:space="preserve"> non répertoriées</v>
      </c>
      <c r="J631">
        <f>IFERROR(VLOOKUP(B631,'logos transformer '!A:B,2,FALSE),"na")</f>
        <v>1</v>
      </c>
      <c r="K631">
        <f>IFERROR(VLOOKUP(B631,'logos transformer '!A:C,3,FALSE),"na")</f>
        <v>81</v>
      </c>
      <c r="L631" s="1">
        <f>IFERROR(VLOOKUP(B631,'logos transformer '!A:D,4,FALSE),"na")</f>
        <v>45204.09097222222</v>
      </c>
    </row>
    <row r="632" spans="1:12" x14ac:dyDescent="0.3">
      <c r="A632" s="1">
        <v>45213.607638888891</v>
      </c>
      <c r="B632" t="s">
        <v>470</v>
      </c>
      <c r="C632">
        <v>22</v>
      </c>
      <c r="D632" t="s">
        <v>5</v>
      </c>
      <c r="E632" t="str">
        <f>IFERROR(VLOOKUP(logos[[#This Row],[Cell_ID]],'registe maintenance'!A:B,2,FALSE)," non répertoriées")</f>
        <v xml:space="preserve"> non répertoriées</v>
      </c>
      <c r="F632" t="str">
        <f>IFERROR(VLOOKUP(logos[[#This Row],[Cell_ID]],'registe maintenance'!A:C,3,FALSE)," non répertoriées")</f>
        <v xml:space="preserve"> non répertoriées</v>
      </c>
      <c r="G632" t="str">
        <f>IFERROR(VLOOKUP(logos[[#This Row],[Cell_ID]],'registe maintenance'!A:D,4,FALSE)," non répertoriées")</f>
        <v xml:space="preserve"> non répertoriées</v>
      </c>
      <c r="H632" t="str">
        <f>IFERROR(VLOOKUP(logos[[#This Row],[Cell_ID]],'registe maintenance'!A:E,5,FALSE)," non répertoriées")</f>
        <v xml:space="preserve"> non répertoriées</v>
      </c>
      <c r="I632" t="str">
        <f>IFERROR(VLOOKUP(logos[[#This Row],[Cell_ID]],'registe maintenance'!A:F,6,FALSE)," non répertoriées")</f>
        <v xml:space="preserve"> non répertoriées</v>
      </c>
      <c r="J632">
        <f>IFERROR(VLOOKUP(B632,'logos transformer '!A:B,2,FALSE),"na")</f>
        <v>1</v>
      </c>
      <c r="K632">
        <f>IFERROR(VLOOKUP(B632,'logos transformer '!A:C,3,FALSE),"na")</f>
        <v>22</v>
      </c>
      <c r="L632" s="1">
        <f>IFERROR(VLOOKUP(B632,'logos transformer '!A:D,4,FALSE),"na")</f>
        <v>45213.607638888891</v>
      </c>
    </row>
    <row r="633" spans="1:12" x14ac:dyDescent="0.3">
      <c r="A633" s="1">
        <v>45217.68472222222</v>
      </c>
      <c r="B633" t="s">
        <v>200</v>
      </c>
      <c r="C633">
        <v>43</v>
      </c>
      <c r="D633" t="s">
        <v>5</v>
      </c>
      <c r="E633" t="str">
        <f>IFERROR(VLOOKUP(logos[[#This Row],[Cell_ID]],'registe maintenance'!A:B,2,FALSE)," non répertoriées")</f>
        <v xml:space="preserve"> non répertoriées</v>
      </c>
      <c r="F633" t="str">
        <f>IFERROR(VLOOKUP(logos[[#This Row],[Cell_ID]],'registe maintenance'!A:C,3,FALSE)," non répertoriées")</f>
        <v xml:space="preserve"> non répertoriées</v>
      </c>
      <c r="G633" t="str">
        <f>IFERROR(VLOOKUP(logos[[#This Row],[Cell_ID]],'registe maintenance'!A:D,4,FALSE)," non répertoriées")</f>
        <v xml:space="preserve"> non répertoriées</v>
      </c>
      <c r="H633" t="str">
        <f>IFERROR(VLOOKUP(logos[[#This Row],[Cell_ID]],'registe maintenance'!A:E,5,FALSE)," non répertoriées")</f>
        <v xml:space="preserve"> non répertoriées</v>
      </c>
      <c r="I633" t="str">
        <f>IFERROR(VLOOKUP(logos[[#This Row],[Cell_ID]],'registe maintenance'!A:F,6,FALSE)," non répertoriées")</f>
        <v xml:space="preserve"> non répertoriées</v>
      </c>
      <c r="J633">
        <f>IFERROR(VLOOKUP(B633,'logos transformer '!A:B,2,FALSE),"na")</f>
        <v>3</v>
      </c>
      <c r="K633">
        <f>IFERROR(VLOOKUP(B633,'logos transformer '!A:C,3,FALSE),"na")</f>
        <v>144</v>
      </c>
      <c r="L633" s="1">
        <f>IFERROR(VLOOKUP(B633,'logos transformer '!A:D,4,FALSE),"na")</f>
        <v>45217.68472222222</v>
      </c>
    </row>
    <row r="634" spans="1:12" x14ac:dyDescent="0.3">
      <c r="A634" s="1">
        <v>45203.003472222219</v>
      </c>
      <c r="B634" t="s">
        <v>471</v>
      </c>
      <c r="C634">
        <v>46</v>
      </c>
      <c r="D634" t="s">
        <v>8</v>
      </c>
      <c r="E634" t="str">
        <f>IFERROR(VLOOKUP(logos[[#This Row],[Cell_ID]],'registe maintenance'!A:B,2,FALSE)," non répertoriées")</f>
        <v xml:space="preserve"> non répertoriées</v>
      </c>
      <c r="F634" t="str">
        <f>IFERROR(VLOOKUP(logos[[#This Row],[Cell_ID]],'registe maintenance'!A:C,3,FALSE)," non répertoriées")</f>
        <v xml:space="preserve"> non répertoriées</v>
      </c>
      <c r="G634" t="str">
        <f>IFERROR(VLOOKUP(logos[[#This Row],[Cell_ID]],'registe maintenance'!A:D,4,FALSE)," non répertoriées")</f>
        <v xml:space="preserve"> non répertoriées</v>
      </c>
      <c r="H634" t="str">
        <f>IFERROR(VLOOKUP(logos[[#This Row],[Cell_ID]],'registe maintenance'!A:E,5,FALSE)," non répertoriées")</f>
        <v xml:space="preserve"> non répertoriées</v>
      </c>
      <c r="I634" t="str">
        <f>IFERROR(VLOOKUP(logos[[#This Row],[Cell_ID]],'registe maintenance'!A:F,6,FALSE)," non répertoriées")</f>
        <v xml:space="preserve"> non répertoriées</v>
      </c>
      <c r="J634">
        <f>IFERROR(VLOOKUP(B634,'logos transformer '!A:B,2,FALSE),"na")</f>
        <v>1</v>
      </c>
      <c r="K634">
        <f>IFERROR(VLOOKUP(B634,'logos transformer '!A:C,3,FALSE),"na")</f>
        <v>46</v>
      </c>
      <c r="L634" s="1">
        <f>IFERROR(VLOOKUP(B634,'logos transformer '!A:D,4,FALSE),"na")</f>
        <v>45203.003472222219</v>
      </c>
    </row>
    <row r="635" spans="1:12" x14ac:dyDescent="0.3">
      <c r="A635" s="1">
        <v>45211.711805555547</v>
      </c>
      <c r="B635" t="s">
        <v>472</v>
      </c>
      <c r="C635">
        <v>82</v>
      </c>
      <c r="D635" t="s">
        <v>8</v>
      </c>
      <c r="E635" t="str">
        <f>IFERROR(VLOOKUP(logos[[#This Row],[Cell_ID]],'registe maintenance'!A:B,2,FALSE)," non répertoriées")</f>
        <v xml:space="preserve"> non répertoriées</v>
      </c>
      <c r="F635" t="str">
        <f>IFERROR(VLOOKUP(logos[[#This Row],[Cell_ID]],'registe maintenance'!A:C,3,FALSE)," non répertoriées")</f>
        <v xml:space="preserve"> non répertoriées</v>
      </c>
      <c r="G635" t="str">
        <f>IFERROR(VLOOKUP(logos[[#This Row],[Cell_ID]],'registe maintenance'!A:D,4,FALSE)," non répertoriées")</f>
        <v xml:space="preserve"> non répertoriées</v>
      </c>
      <c r="H635" t="str">
        <f>IFERROR(VLOOKUP(logos[[#This Row],[Cell_ID]],'registe maintenance'!A:E,5,FALSE)," non répertoriées")</f>
        <v xml:space="preserve"> non répertoriées</v>
      </c>
      <c r="I635" t="str">
        <f>IFERROR(VLOOKUP(logos[[#This Row],[Cell_ID]],'registe maintenance'!A:F,6,FALSE)," non répertoriées")</f>
        <v xml:space="preserve"> non répertoriées</v>
      </c>
      <c r="J635">
        <f>IFERROR(VLOOKUP(B635,'logos transformer '!A:B,2,FALSE),"na")</f>
        <v>2</v>
      </c>
      <c r="K635">
        <f>IFERROR(VLOOKUP(B635,'logos transformer '!A:C,3,FALSE),"na")</f>
        <v>100</v>
      </c>
      <c r="L635" s="1">
        <f>IFERROR(VLOOKUP(B635,'logos transformer '!A:D,4,FALSE),"na")</f>
        <v>45211.711805555555</v>
      </c>
    </row>
    <row r="636" spans="1:12" x14ac:dyDescent="0.3">
      <c r="A636" s="1">
        <v>45219.826388888891</v>
      </c>
      <c r="B636" t="s">
        <v>45</v>
      </c>
      <c r="C636">
        <v>93</v>
      </c>
      <c r="D636" t="s">
        <v>10</v>
      </c>
      <c r="E636" t="str">
        <f>IFERROR(VLOOKUP(logos[[#This Row],[Cell_ID]],'registe maintenance'!A:B,2,FALSE)," non répertoriées")</f>
        <v>Sud-Kivu</v>
      </c>
      <c r="F636">
        <f>IFERROR(VLOOKUP(logos[[#This Row],[Cell_ID]],'registe maintenance'!A:C,3,FALSE)," non répertoriées")</f>
        <v>4.2493650000000001</v>
      </c>
      <c r="G636">
        <f>IFERROR(VLOOKUP(logos[[#This Row],[Cell_ID]],'registe maintenance'!A:D,4,FALSE)," non répertoriées")</f>
        <v>28.355039999999999</v>
      </c>
      <c r="H636" t="str">
        <f>IFERROR(VLOOKUP(logos[[#This Row],[Cell_ID]],'registe maintenance'!A:E,5,FALSE)," non répertoriées")</f>
        <v>3G</v>
      </c>
      <c r="I636" t="str">
        <f>IFERROR(VLOOKUP(logos[[#This Row],[Cell_ID]],'registe maintenance'!A:F,6,FALSE)," non répertoriées")</f>
        <v>ZTE</v>
      </c>
      <c r="J636">
        <f>IFERROR(VLOOKUP(B636,'logos transformer '!A:B,2,FALSE),"na")</f>
        <v>3</v>
      </c>
      <c r="K636">
        <f>IFERROR(VLOOKUP(B636,'logos transformer '!A:C,3,FALSE),"na")</f>
        <v>215</v>
      </c>
      <c r="L636" s="1">
        <f>IFERROR(VLOOKUP(B636,'logos transformer '!A:D,4,FALSE),"na")</f>
        <v>45226.07708333333</v>
      </c>
    </row>
    <row r="637" spans="1:12" x14ac:dyDescent="0.3">
      <c r="A637" s="1">
        <v>45210.5</v>
      </c>
      <c r="B637" t="s">
        <v>473</v>
      </c>
      <c r="C637">
        <v>30</v>
      </c>
      <c r="D637" t="s">
        <v>5</v>
      </c>
      <c r="E637" t="str">
        <f>IFERROR(VLOOKUP(logos[[#This Row],[Cell_ID]],'registe maintenance'!A:B,2,FALSE)," non répertoriées")</f>
        <v xml:space="preserve"> non répertoriées</v>
      </c>
      <c r="F637" t="str">
        <f>IFERROR(VLOOKUP(logos[[#This Row],[Cell_ID]],'registe maintenance'!A:C,3,FALSE)," non répertoriées")</f>
        <v xml:space="preserve"> non répertoriées</v>
      </c>
      <c r="G637" t="str">
        <f>IFERROR(VLOOKUP(logos[[#This Row],[Cell_ID]],'registe maintenance'!A:D,4,FALSE)," non répertoriées")</f>
        <v xml:space="preserve"> non répertoriées</v>
      </c>
      <c r="H637" t="str">
        <f>IFERROR(VLOOKUP(logos[[#This Row],[Cell_ID]],'registe maintenance'!A:E,5,FALSE)," non répertoriées")</f>
        <v xml:space="preserve"> non répertoriées</v>
      </c>
      <c r="I637" t="str">
        <f>IFERROR(VLOOKUP(logos[[#This Row],[Cell_ID]],'registe maintenance'!A:F,6,FALSE)," non répertoriées")</f>
        <v xml:space="preserve"> non répertoriées</v>
      </c>
      <c r="J637">
        <f>IFERROR(VLOOKUP(B637,'logos transformer '!A:B,2,FALSE),"na")</f>
        <v>1</v>
      </c>
      <c r="K637">
        <f>IFERROR(VLOOKUP(B637,'logos transformer '!A:C,3,FALSE),"na")</f>
        <v>30</v>
      </c>
      <c r="L637" s="1">
        <f>IFERROR(VLOOKUP(B637,'logos transformer '!A:D,4,FALSE),"na")</f>
        <v>45210.5</v>
      </c>
    </row>
    <row r="638" spans="1:12" x14ac:dyDescent="0.3">
      <c r="A638" s="1">
        <v>45209.558333333327</v>
      </c>
      <c r="B638" t="s">
        <v>474</v>
      </c>
      <c r="C638">
        <v>66</v>
      </c>
      <c r="D638" t="s">
        <v>8</v>
      </c>
      <c r="E638" t="str">
        <f>IFERROR(VLOOKUP(logos[[#This Row],[Cell_ID]],'registe maintenance'!A:B,2,FALSE)," non répertoriées")</f>
        <v>Ituri</v>
      </c>
      <c r="F638">
        <f>IFERROR(VLOOKUP(logos[[#This Row],[Cell_ID]],'registe maintenance'!A:C,3,FALSE)," non répertoriées")</f>
        <v>-12.595355</v>
      </c>
      <c r="G638">
        <f>IFERROR(VLOOKUP(logos[[#This Row],[Cell_ID]],'registe maintenance'!A:D,4,FALSE)," non répertoriées")</f>
        <v>17.897442000000002</v>
      </c>
      <c r="H638" t="str">
        <f>IFERROR(VLOOKUP(logos[[#This Row],[Cell_ID]],'registe maintenance'!A:E,5,FALSE)," non répertoriées")</f>
        <v>4G</v>
      </c>
      <c r="I638" t="str">
        <f>IFERROR(VLOOKUP(logos[[#This Row],[Cell_ID]],'registe maintenance'!A:F,6,FALSE)," non répertoriées")</f>
        <v>Huawei</v>
      </c>
      <c r="J638">
        <f>IFERROR(VLOOKUP(B638,'logos transformer '!A:B,2,FALSE),"na")</f>
        <v>1</v>
      </c>
      <c r="K638">
        <f>IFERROR(VLOOKUP(B638,'logos transformer '!A:C,3,FALSE),"na")</f>
        <v>66</v>
      </c>
      <c r="L638" s="1">
        <f>IFERROR(VLOOKUP(B638,'logos transformer '!A:D,4,FALSE),"na")</f>
        <v>45209.558333333334</v>
      </c>
    </row>
    <row r="639" spans="1:12" x14ac:dyDescent="0.3">
      <c r="A639" s="1">
        <v>45224.115277777782</v>
      </c>
      <c r="B639" t="s">
        <v>475</v>
      </c>
      <c r="C639">
        <v>45</v>
      </c>
      <c r="D639" t="s">
        <v>8</v>
      </c>
      <c r="E639" t="str">
        <f>IFERROR(VLOOKUP(logos[[#This Row],[Cell_ID]],'registe maintenance'!A:B,2,FALSE)," non répertoriées")</f>
        <v>Tshopo</v>
      </c>
      <c r="F639">
        <f>IFERROR(VLOOKUP(logos[[#This Row],[Cell_ID]],'registe maintenance'!A:C,3,FALSE)," non répertoriées")</f>
        <v>-11.265995</v>
      </c>
      <c r="G639">
        <f>IFERROR(VLOOKUP(logos[[#This Row],[Cell_ID]],'registe maintenance'!A:D,4,FALSE)," non répertoriées")</f>
        <v>28.935514999999999</v>
      </c>
      <c r="H639" t="str">
        <f>IFERROR(VLOOKUP(logos[[#This Row],[Cell_ID]],'registe maintenance'!A:E,5,FALSE)," non répertoriées")</f>
        <v>4G</v>
      </c>
      <c r="I639" t="str">
        <f>IFERROR(VLOOKUP(logos[[#This Row],[Cell_ID]],'registe maintenance'!A:F,6,FALSE)," non répertoriées")</f>
        <v>Ericsson</v>
      </c>
      <c r="J639">
        <f>IFERROR(VLOOKUP(B639,'logos transformer '!A:B,2,FALSE),"na")</f>
        <v>2</v>
      </c>
      <c r="K639">
        <f>IFERROR(VLOOKUP(B639,'logos transformer '!A:C,3,FALSE),"na")</f>
        <v>89</v>
      </c>
      <c r="L639" s="1">
        <f>IFERROR(VLOOKUP(B639,'logos transformer '!A:D,4,FALSE),"na")</f>
        <v>45228.563194444447</v>
      </c>
    </row>
    <row r="640" spans="1:12" x14ac:dyDescent="0.3">
      <c r="A640" s="1">
        <v>45228.747916666667</v>
      </c>
      <c r="B640" t="s">
        <v>454</v>
      </c>
      <c r="C640">
        <v>27</v>
      </c>
      <c r="D640" t="s">
        <v>5</v>
      </c>
      <c r="E640" t="str">
        <f>IFERROR(VLOOKUP(logos[[#This Row],[Cell_ID]],'registe maintenance'!A:B,2,FALSE)," non répertoriées")</f>
        <v>Lualaba</v>
      </c>
      <c r="F640">
        <f>IFERROR(VLOOKUP(logos[[#This Row],[Cell_ID]],'registe maintenance'!A:C,3,FALSE)," non répertoriées")</f>
        <v>-8.0301989999999996</v>
      </c>
      <c r="G640">
        <f>IFERROR(VLOOKUP(logos[[#This Row],[Cell_ID]],'registe maintenance'!A:D,4,FALSE)," non répertoriées")</f>
        <v>24.122495000000001</v>
      </c>
      <c r="H640" t="str">
        <f>IFERROR(VLOOKUP(logos[[#This Row],[Cell_ID]],'registe maintenance'!A:E,5,FALSE)," non répertoriées")</f>
        <v>5G</v>
      </c>
      <c r="I640" t="str">
        <f>IFERROR(VLOOKUP(logos[[#This Row],[Cell_ID]],'registe maintenance'!A:F,6,FALSE)," non répertoriées")</f>
        <v>ZTE</v>
      </c>
      <c r="J640">
        <f>IFERROR(VLOOKUP(B640,'logos transformer '!A:B,2,FALSE),"na")</f>
        <v>3</v>
      </c>
      <c r="K640">
        <f>IFERROR(VLOOKUP(B640,'logos transformer '!A:C,3,FALSE),"na")</f>
        <v>182</v>
      </c>
      <c r="L640" s="1">
        <f>IFERROR(VLOOKUP(B640,'logos transformer '!A:D,4,FALSE),"na")</f>
        <v>45228.747916666667</v>
      </c>
    </row>
    <row r="641" spans="1:12" x14ac:dyDescent="0.3">
      <c r="A641" s="1">
        <v>45207.772916666669</v>
      </c>
      <c r="B641" t="s">
        <v>445</v>
      </c>
      <c r="C641">
        <v>55</v>
      </c>
      <c r="D641" t="s">
        <v>8</v>
      </c>
      <c r="E641" t="str">
        <f>IFERROR(VLOOKUP(logos[[#This Row],[Cell_ID]],'registe maintenance'!A:B,2,FALSE)," non répertoriées")</f>
        <v xml:space="preserve"> non répertoriées</v>
      </c>
      <c r="F641" t="str">
        <f>IFERROR(VLOOKUP(logos[[#This Row],[Cell_ID]],'registe maintenance'!A:C,3,FALSE)," non répertoriées")</f>
        <v xml:space="preserve"> non répertoriées</v>
      </c>
      <c r="G641" t="str">
        <f>IFERROR(VLOOKUP(logos[[#This Row],[Cell_ID]],'registe maintenance'!A:D,4,FALSE)," non répertoriées")</f>
        <v xml:space="preserve"> non répertoriées</v>
      </c>
      <c r="H641" t="str">
        <f>IFERROR(VLOOKUP(logos[[#This Row],[Cell_ID]],'registe maintenance'!A:E,5,FALSE)," non répertoriées")</f>
        <v xml:space="preserve"> non répertoriées</v>
      </c>
      <c r="I641" t="str">
        <f>IFERROR(VLOOKUP(logos[[#This Row],[Cell_ID]],'registe maintenance'!A:F,6,FALSE)," non répertoriées")</f>
        <v xml:space="preserve"> non répertoriées</v>
      </c>
      <c r="J641">
        <f>IFERROR(VLOOKUP(B641,'logos transformer '!A:B,2,FALSE),"na")</f>
        <v>3</v>
      </c>
      <c r="K641">
        <f>IFERROR(VLOOKUP(B641,'logos transformer '!A:C,3,FALSE),"na")</f>
        <v>195</v>
      </c>
      <c r="L641" s="1">
        <f>IFERROR(VLOOKUP(B641,'logos transformer '!A:D,4,FALSE),"na")</f>
        <v>45211.705555555556</v>
      </c>
    </row>
    <row r="642" spans="1:12" x14ac:dyDescent="0.3">
      <c r="A642" s="1">
        <v>45205.89166666667</v>
      </c>
      <c r="B642" t="s">
        <v>445</v>
      </c>
      <c r="C642">
        <v>45</v>
      </c>
      <c r="D642" t="s">
        <v>8</v>
      </c>
      <c r="E642" t="str">
        <f>IFERROR(VLOOKUP(logos[[#This Row],[Cell_ID]],'registe maintenance'!A:B,2,FALSE)," non répertoriées")</f>
        <v xml:space="preserve"> non répertoriées</v>
      </c>
      <c r="F642" t="str">
        <f>IFERROR(VLOOKUP(logos[[#This Row],[Cell_ID]],'registe maintenance'!A:C,3,FALSE)," non répertoriées")</f>
        <v xml:space="preserve"> non répertoriées</v>
      </c>
      <c r="G642" t="str">
        <f>IFERROR(VLOOKUP(logos[[#This Row],[Cell_ID]],'registe maintenance'!A:D,4,FALSE)," non répertoriées")</f>
        <v xml:space="preserve"> non répertoriées</v>
      </c>
      <c r="H642" t="str">
        <f>IFERROR(VLOOKUP(logos[[#This Row],[Cell_ID]],'registe maintenance'!A:E,5,FALSE)," non répertoriées")</f>
        <v xml:space="preserve"> non répertoriées</v>
      </c>
      <c r="I642" t="str">
        <f>IFERROR(VLOOKUP(logos[[#This Row],[Cell_ID]],'registe maintenance'!A:F,6,FALSE)," non répertoriées")</f>
        <v xml:space="preserve"> non répertoriées</v>
      </c>
      <c r="J642">
        <f>IFERROR(VLOOKUP(B642,'logos transformer '!A:B,2,FALSE),"na")</f>
        <v>3</v>
      </c>
      <c r="K642">
        <f>IFERROR(VLOOKUP(B642,'logos transformer '!A:C,3,FALSE),"na")</f>
        <v>195</v>
      </c>
      <c r="L642" s="1">
        <f>IFERROR(VLOOKUP(B642,'logos transformer '!A:D,4,FALSE),"na")</f>
        <v>45211.705555555556</v>
      </c>
    </row>
    <row r="643" spans="1:12" x14ac:dyDescent="0.3">
      <c r="A643" s="1">
        <v>45205.178472222222</v>
      </c>
      <c r="B643" t="s">
        <v>476</v>
      </c>
      <c r="C643">
        <v>42</v>
      </c>
      <c r="D643" t="s">
        <v>8</v>
      </c>
      <c r="E643" t="str">
        <f>IFERROR(VLOOKUP(logos[[#This Row],[Cell_ID]],'registe maintenance'!A:B,2,FALSE)," non répertoriées")</f>
        <v>Sud-Ubangi</v>
      </c>
      <c r="F643">
        <f>IFERROR(VLOOKUP(logos[[#This Row],[Cell_ID]],'registe maintenance'!A:C,3,FALSE)," non répertoriées")</f>
        <v>3.611561</v>
      </c>
      <c r="G643">
        <f>IFERROR(VLOOKUP(logos[[#This Row],[Cell_ID]],'registe maintenance'!A:D,4,FALSE)," non répertoriées")</f>
        <v>17.725974999999998</v>
      </c>
      <c r="H643" t="str">
        <f>IFERROR(VLOOKUP(logos[[#This Row],[Cell_ID]],'registe maintenance'!A:E,5,FALSE)," non répertoriées")</f>
        <v>3G</v>
      </c>
      <c r="I643" t="str">
        <f>IFERROR(VLOOKUP(logos[[#This Row],[Cell_ID]],'registe maintenance'!A:F,6,FALSE)," non répertoriées")</f>
        <v>ZTE</v>
      </c>
      <c r="J643">
        <f>IFERROR(VLOOKUP(B643,'logos transformer '!A:B,2,FALSE),"na")</f>
        <v>1</v>
      </c>
      <c r="K643">
        <f>IFERROR(VLOOKUP(B643,'logos transformer '!A:C,3,FALSE),"na")</f>
        <v>42</v>
      </c>
      <c r="L643" s="1">
        <f>IFERROR(VLOOKUP(B643,'logos transformer '!A:D,4,FALSE),"na")</f>
        <v>45205.178472222222</v>
      </c>
    </row>
    <row r="644" spans="1:12" x14ac:dyDescent="0.3">
      <c r="A644" s="1">
        <v>45209.354861111111</v>
      </c>
      <c r="B644" t="s">
        <v>411</v>
      </c>
      <c r="C644">
        <v>99</v>
      </c>
      <c r="D644" t="s">
        <v>8</v>
      </c>
      <c r="E644" t="str">
        <f>IFERROR(VLOOKUP(logos[[#This Row],[Cell_ID]],'registe maintenance'!A:B,2,FALSE)," non répertoriées")</f>
        <v>Kinshasa</v>
      </c>
      <c r="F644">
        <f>IFERROR(VLOOKUP(logos[[#This Row],[Cell_ID]],'registe maintenance'!A:C,3,FALSE)," non répertoriées")</f>
        <v>1.3006180000000001</v>
      </c>
      <c r="G644">
        <f>IFERROR(VLOOKUP(logos[[#This Row],[Cell_ID]],'registe maintenance'!A:D,4,FALSE)," non répertoriées")</f>
        <v>29.060970999999999</v>
      </c>
      <c r="H644" t="str">
        <f>IFERROR(VLOOKUP(logos[[#This Row],[Cell_ID]],'registe maintenance'!A:E,5,FALSE)," non répertoriées")</f>
        <v>3G</v>
      </c>
      <c r="I644" t="str">
        <f>IFERROR(VLOOKUP(logos[[#This Row],[Cell_ID]],'registe maintenance'!A:F,6,FALSE)," non répertoriées")</f>
        <v>ZTE</v>
      </c>
      <c r="J644">
        <f>IFERROR(VLOOKUP(B644,'logos transformer '!A:B,2,FALSE),"na")</f>
        <v>2</v>
      </c>
      <c r="K644">
        <f>IFERROR(VLOOKUP(B644,'logos transformer '!A:C,3,FALSE),"na")</f>
        <v>140</v>
      </c>
      <c r="L644" s="1">
        <f>IFERROR(VLOOKUP(B644,'logos transformer '!A:D,4,FALSE),"na")</f>
        <v>45209.354861111111</v>
      </c>
    </row>
    <row r="645" spans="1:12" x14ac:dyDescent="0.3">
      <c r="A645" s="1">
        <v>45204.090277777781</v>
      </c>
      <c r="B645" t="s">
        <v>477</v>
      </c>
      <c r="C645">
        <v>93</v>
      </c>
      <c r="D645" t="s">
        <v>10</v>
      </c>
      <c r="E645" t="str">
        <f>IFERROR(VLOOKUP(logos[[#This Row],[Cell_ID]],'registe maintenance'!A:B,2,FALSE)," non répertoriées")</f>
        <v xml:space="preserve"> non répertoriées</v>
      </c>
      <c r="F645" t="str">
        <f>IFERROR(VLOOKUP(logos[[#This Row],[Cell_ID]],'registe maintenance'!A:C,3,FALSE)," non répertoriées")</f>
        <v xml:space="preserve"> non répertoriées</v>
      </c>
      <c r="G645" t="str">
        <f>IFERROR(VLOOKUP(logos[[#This Row],[Cell_ID]],'registe maintenance'!A:D,4,FALSE)," non répertoriées")</f>
        <v xml:space="preserve"> non répertoriées</v>
      </c>
      <c r="H645" t="str">
        <f>IFERROR(VLOOKUP(logos[[#This Row],[Cell_ID]],'registe maintenance'!A:E,5,FALSE)," non répertoriées")</f>
        <v xml:space="preserve"> non répertoriées</v>
      </c>
      <c r="I645" t="str">
        <f>IFERROR(VLOOKUP(logos[[#This Row],[Cell_ID]],'registe maintenance'!A:F,6,FALSE)," non répertoriées")</f>
        <v xml:space="preserve"> non répertoriées</v>
      </c>
      <c r="J645">
        <f>IFERROR(VLOOKUP(B645,'logos transformer '!A:B,2,FALSE),"na")</f>
        <v>2</v>
      </c>
      <c r="K645">
        <f>IFERROR(VLOOKUP(B645,'logos transformer '!A:C,3,FALSE),"na")</f>
        <v>142</v>
      </c>
      <c r="L645" s="1">
        <f>IFERROR(VLOOKUP(B645,'logos transformer '!A:D,4,FALSE),"na")</f>
        <v>45204.090277777781</v>
      </c>
    </row>
    <row r="646" spans="1:12" x14ac:dyDescent="0.3">
      <c r="A646" s="1">
        <v>45213.351388888892</v>
      </c>
      <c r="B646" t="s">
        <v>478</v>
      </c>
      <c r="C646">
        <v>86</v>
      </c>
      <c r="D646" t="s">
        <v>10</v>
      </c>
      <c r="E646" t="str">
        <f>IFERROR(VLOOKUP(logos[[#This Row],[Cell_ID]],'registe maintenance'!A:B,2,FALSE)," non répertoriées")</f>
        <v>Maniema</v>
      </c>
      <c r="F646">
        <f>IFERROR(VLOOKUP(logos[[#This Row],[Cell_ID]],'registe maintenance'!A:C,3,FALSE)," non répertoriées")</f>
        <v>4.8228650000000002</v>
      </c>
      <c r="G646">
        <f>IFERROR(VLOOKUP(logos[[#This Row],[Cell_ID]],'registe maintenance'!A:D,4,FALSE)," non répertoriées")</f>
        <v>30.555627000000001</v>
      </c>
      <c r="H646" t="str">
        <f>IFERROR(VLOOKUP(logos[[#This Row],[Cell_ID]],'registe maintenance'!A:E,5,FALSE)," non répertoriées")</f>
        <v>4G</v>
      </c>
      <c r="I646" t="str">
        <f>IFERROR(VLOOKUP(logos[[#This Row],[Cell_ID]],'registe maintenance'!A:F,6,FALSE)," non répertoriées")</f>
        <v>Huawei</v>
      </c>
      <c r="J646">
        <f>IFERROR(VLOOKUP(B646,'logos transformer '!A:B,2,FALSE),"na")</f>
        <v>1</v>
      </c>
      <c r="K646">
        <f>IFERROR(VLOOKUP(B646,'logos transformer '!A:C,3,FALSE),"na")</f>
        <v>86</v>
      </c>
      <c r="L646" s="1">
        <f>IFERROR(VLOOKUP(B646,'logos transformer '!A:D,4,FALSE),"na")</f>
        <v>45213.351388888892</v>
      </c>
    </row>
    <row r="647" spans="1:12" x14ac:dyDescent="0.3">
      <c r="A647" s="1">
        <v>45209.659722222219</v>
      </c>
      <c r="B647" t="s">
        <v>257</v>
      </c>
      <c r="C647">
        <v>67</v>
      </c>
      <c r="D647" t="s">
        <v>10</v>
      </c>
      <c r="E647" t="str">
        <f>IFERROR(VLOOKUP(logos[[#This Row],[Cell_ID]],'registe maintenance'!A:B,2,FALSE)," non répertoriées")</f>
        <v>Nord-Ubangi</v>
      </c>
      <c r="F647">
        <f>IFERROR(VLOOKUP(logos[[#This Row],[Cell_ID]],'registe maintenance'!A:C,3,FALSE)," non répertoriées")</f>
        <v>-7.7839049999999999</v>
      </c>
      <c r="G647">
        <f>IFERROR(VLOOKUP(logos[[#This Row],[Cell_ID]],'registe maintenance'!A:D,4,FALSE)," non répertoriées")</f>
        <v>14.114281999999999</v>
      </c>
      <c r="H647" t="str">
        <f>IFERROR(VLOOKUP(logos[[#This Row],[Cell_ID]],'registe maintenance'!A:E,5,FALSE)," non répertoriées")</f>
        <v>3G</v>
      </c>
      <c r="I647" t="str">
        <f>IFERROR(VLOOKUP(logos[[#This Row],[Cell_ID]],'registe maintenance'!A:F,6,FALSE)," non répertoriées")</f>
        <v>ZTE</v>
      </c>
      <c r="J647">
        <f>IFERROR(VLOOKUP(B647,'logos transformer '!A:B,2,FALSE),"na")</f>
        <v>3</v>
      </c>
      <c r="K647">
        <f>IFERROR(VLOOKUP(B647,'logos transformer '!A:C,3,FALSE),"na")</f>
        <v>156</v>
      </c>
      <c r="L647" s="1">
        <f>IFERROR(VLOOKUP(B647,'logos transformer '!A:D,4,FALSE),"na")</f>
        <v>45226.586805555555</v>
      </c>
    </row>
    <row r="648" spans="1:12" x14ac:dyDescent="0.3">
      <c r="A648" s="1">
        <v>45202.469444444447</v>
      </c>
      <c r="B648" t="s">
        <v>479</v>
      </c>
      <c r="C648">
        <v>78</v>
      </c>
      <c r="D648" t="s">
        <v>5</v>
      </c>
      <c r="E648" t="str">
        <f>IFERROR(VLOOKUP(logos[[#This Row],[Cell_ID]],'registe maintenance'!A:B,2,FALSE)," non répertoriées")</f>
        <v xml:space="preserve"> non répertoriées</v>
      </c>
      <c r="F648" t="str">
        <f>IFERROR(VLOOKUP(logos[[#This Row],[Cell_ID]],'registe maintenance'!A:C,3,FALSE)," non répertoriées")</f>
        <v xml:space="preserve"> non répertoriées</v>
      </c>
      <c r="G648" t="str">
        <f>IFERROR(VLOOKUP(logos[[#This Row],[Cell_ID]],'registe maintenance'!A:D,4,FALSE)," non répertoriées")</f>
        <v xml:space="preserve"> non répertoriées</v>
      </c>
      <c r="H648" t="str">
        <f>IFERROR(VLOOKUP(logos[[#This Row],[Cell_ID]],'registe maintenance'!A:E,5,FALSE)," non répertoriées")</f>
        <v xml:space="preserve"> non répertoriées</v>
      </c>
      <c r="I648" t="str">
        <f>IFERROR(VLOOKUP(logos[[#This Row],[Cell_ID]],'registe maintenance'!A:F,6,FALSE)," non répertoriées")</f>
        <v xml:space="preserve"> non répertoriées</v>
      </c>
      <c r="J648">
        <f>IFERROR(VLOOKUP(B648,'logos transformer '!A:B,2,FALSE),"na")</f>
        <v>1</v>
      </c>
      <c r="K648">
        <f>IFERROR(VLOOKUP(B648,'logos transformer '!A:C,3,FALSE),"na")</f>
        <v>78</v>
      </c>
      <c r="L648" s="1">
        <f>IFERROR(VLOOKUP(B648,'logos transformer '!A:D,4,FALSE),"na")</f>
        <v>45202.469444444447</v>
      </c>
    </row>
    <row r="649" spans="1:12" x14ac:dyDescent="0.3">
      <c r="A649" s="1">
        <v>45230.323611111111</v>
      </c>
      <c r="B649" t="s">
        <v>143</v>
      </c>
      <c r="C649">
        <v>105</v>
      </c>
      <c r="D649" t="s">
        <v>5</v>
      </c>
      <c r="E649" t="str">
        <f>IFERROR(VLOOKUP(logos[[#This Row],[Cell_ID]],'registe maintenance'!A:B,2,FALSE)," non répertoriées")</f>
        <v>Haut-Uele</v>
      </c>
      <c r="F649">
        <f>IFERROR(VLOOKUP(logos[[#This Row],[Cell_ID]],'registe maintenance'!A:C,3,FALSE)," non répertoriées")</f>
        <v>-4.4351269999999996</v>
      </c>
      <c r="G649">
        <f>IFERROR(VLOOKUP(logos[[#This Row],[Cell_ID]],'registe maintenance'!A:D,4,FALSE)," non répertoriées")</f>
        <v>24.825467</v>
      </c>
      <c r="H649" t="str">
        <f>IFERROR(VLOOKUP(logos[[#This Row],[Cell_ID]],'registe maintenance'!A:E,5,FALSE)," non répertoriées")</f>
        <v>4G</v>
      </c>
      <c r="I649" t="str">
        <f>IFERROR(VLOOKUP(logos[[#This Row],[Cell_ID]],'registe maintenance'!A:F,6,FALSE)," non répertoriées")</f>
        <v>Huawei</v>
      </c>
      <c r="J649">
        <f>IFERROR(VLOOKUP(B649,'logos transformer '!A:B,2,FALSE),"na")</f>
        <v>2</v>
      </c>
      <c r="K649">
        <f>IFERROR(VLOOKUP(B649,'logos transformer '!A:C,3,FALSE),"na")</f>
        <v>169</v>
      </c>
      <c r="L649" s="1">
        <f>IFERROR(VLOOKUP(B649,'logos transformer '!A:D,4,FALSE),"na")</f>
        <v>45230.323611111111</v>
      </c>
    </row>
    <row r="650" spans="1:12" x14ac:dyDescent="0.3">
      <c r="A650" s="1">
        <v>45220.651388888888</v>
      </c>
      <c r="B650" t="s">
        <v>172</v>
      </c>
      <c r="C650">
        <v>36</v>
      </c>
      <c r="D650" t="s">
        <v>5</v>
      </c>
      <c r="E650" t="str">
        <f>IFERROR(VLOOKUP(logos[[#This Row],[Cell_ID]],'registe maintenance'!A:B,2,FALSE)," non répertoriées")</f>
        <v xml:space="preserve"> non répertoriées</v>
      </c>
      <c r="F650" t="str">
        <f>IFERROR(VLOOKUP(logos[[#This Row],[Cell_ID]],'registe maintenance'!A:C,3,FALSE)," non répertoriées")</f>
        <v xml:space="preserve"> non répertoriées</v>
      </c>
      <c r="G650" t="str">
        <f>IFERROR(VLOOKUP(logos[[#This Row],[Cell_ID]],'registe maintenance'!A:D,4,FALSE)," non répertoriées")</f>
        <v xml:space="preserve"> non répertoriées</v>
      </c>
      <c r="H650" t="str">
        <f>IFERROR(VLOOKUP(logos[[#This Row],[Cell_ID]],'registe maintenance'!A:E,5,FALSE)," non répertoriées")</f>
        <v xml:space="preserve"> non répertoriées</v>
      </c>
      <c r="I650" t="str">
        <f>IFERROR(VLOOKUP(logos[[#This Row],[Cell_ID]],'registe maintenance'!A:F,6,FALSE)," non répertoriées")</f>
        <v xml:space="preserve"> non répertoriées</v>
      </c>
      <c r="J650">
        <f>IFERROR(VLOOKUP(B650,'logos transformer '!A:B,2,FALSE),"na")</f>
        <v>4</v>
      </c>
      <c r="K650">
        <f>IFERROR(VLOOKUP(B650,'logos transformer '!A:C,3,FALSE),"na")</f>
        <v>162</v>
      </c>
      <c r="L650" s="1">
        <f>IFERROR(VLOOKUP(B650,'logos transformer '!A:D,4,FALSE),"na")</f>
        <v>45220.651388888888</v>
      </c>
    </row>
    <row r="651" spans="1:12" x14ac:dyDescent="0.3">
      <c r="A651" s="1">
        <v>45202.699305555558</v>
      </c>
      <c r="B651" t="s">
        <v>457</v>
      </c>
      <c r="C651">
        <v>63</v>
      </c>
      <c r="D651" t="s">
        <v>8</v>
      </c>
      <c r="E651" t="str">
        <f>IFERROR(VLOOKUP(logos[[#This Row],[Cell_ID]],'registe maintenance'!A:B,2,FALSE)," non répertoriées")</f>
        <v>Tshopo</v>
      </c>
      <c r="F651">
        <f>IFERROR(VLOOKUP(logos[[#This Row],[Cell_ID]],'registe maintenance'!A:C,3,FALSE)," non répertoriées")</f>
        <v>1.400674</v>
      </c>
      <c r="G651">
        <f>IFERROR(VLOOKUP(logos[[#This Row],[Cell_ID]],'registe maintenance'!A:D,4,FALSE)," non répertoriées")</f>
        <v>13.503126999999999</v>
      </c>
      <c r="H651" t="str">
        <f>IFERROR(VLOOKUP(logos[[#This Row],[Cell_ID]],'registe maintenance'!A:E,5,FALSE)," non répertoriées")</f>
        <v>5G</v>
      </c>
      <c r="I651" t="str">
        <f>IFERROR(VLOOKUP(logos[[#This Row],[Cell_ID]],'registe maintenance'!A:F,6,FALSE)," non répertoriées")</f>
        <v>ZTE</v>
      </c>
      <c r="J651">
        <f>IFERROR(VLOOKUP(B651,'logos transformer '!A:B,2,FALSE),"na")</f>
        <v>2</v>
      </c>
      <c r="K651">
        <f>IFERROR(VLOOKUP(B651,'logos transformer '!A:C,3,FALSE),"na")</f>
        <v>126</v>
      </c>
      <c r="L651" s="1">
        <f>IFERROR(VLOOKUP(B651,'logos transformer '!A:D,4,FALSE),"na")</f>
        <v>45202.699305555558</v>
      </c>
    </row>
    <row r="652" spans="1:12" x14ac:dyDescent="0.3">
      <c r="A652" s="1">
        <v>45207.599305555559</v>
      </c>
      <c r="B652" t="s">
        <v>127</v>
      </c>
      <c r="C652">
        <v>59</v>
      </c>
      <c r="D652" t="s">
        <v>5</v>
      </c>
      <c r="E652" t="str">
        <f>IFERROR(VLOOKUP(logos[[#This Row],[Cell_ID]],'registe maintenance'!A:B,2,FALSE)," non répertoriées")</f>
        <v>Nord-Kivu</v>
      </c>
      <c r="F652">
        <f>IFERROR(VLOOKUP(logos[[#This Row],[Cell_ID]],'registe maintenance'!A:C,3,FALSE)," non répertoriées")</f>
        <v>-10.25074</v>
      </c>
      <c r="G652">
        <f>IFERROR(VLOOKUP(logos[[#This Row],[Cell_ID]],'registe maintenance'!A:D,4,FALSE)," non répertoriées")</f>
        <v>26.099086</v>
      </c>
      <c r="H652" t="str">
        <f>IFERROR(VLOOKUP(logos[[#This Row],[Cell_ID]],'registe maintenance'!A:E,5,FALSE)," non répertoriées")</f>
        <v>4G</v>
      </c>
      <c r="I652" t="str">
        <f>IFERROR(VLOOKUP(logos[[#This Row],[Cell_ID]],'registe maintenance'!A:F,6,FALSE)," non répertoriées")</f>
        <v>Huawei</v>
      </c>
      <c r="J652">
        <f>IFERROR(VLOOKUP(B652,'logos transformer '!A:B,2,FALSE),"na")</f>
        <v>5</v>
      </c>
      <c r="K652">
        <f>IFERROR(VLOOKUP(B652,'logos transformer '!A:C,3,FALSE),"na")</f>
        <v>237</v>
      </c>
      <c r="L652" s="1">
        <f>IFERROR(VLOOKUP(B652,'logos transformer '!A:D,4,FALSE),"na")</f>
        <v>45227.92291666667</v>
      </c>
    </row>
    <row r="653" spans="1:12" x14ac:dyDescent="0.3">
      <c r="A653" s="1">
        <v>45212.617361111108</v>
      </c>
      <c r="B653" t="s">
        <v>480</v>
      </c>
      <c r="C653">
        <v>28</v>
      </c>
      <c r="D653" t="s">
        <v>5</v>
      </c>
      <c r="E653" t="str">
        <f>IFERROR(VLOOKUP(logos[[#This Row],[Cell_ID]],'registe maintenance'!A:B,2,FALSE)," non répertoriées")</f>
        <v xml:space="preserve"> non répertoriées</v>
      </c>
      <c r="F653" t="str">
        <f>IFERROR(VLOOKUP(logos[[#This Row],[Cell_ID]],'registe maintenance'!A:C,3,FALSE)," non répertoriées")</f>
        <v xml:space="preserve"> non répertoriées</v>
      </c>
      <c r="G653" t="str">
        <f>IFERROR(VLOOKUP(logos[[#This Row],[Cell_ID]],'registe maintenance'!A:D,4,FALSE)," non répertoriées")</f>
        <v xml:space="preserve"> non répertoriées</v>
      </c>
      <c r="H653" t="str">
        <f>IFERROR(VLOOKUP(logos[[#This Row],[Cell_ID]],'registe maintenance'!A:E,5,FALSE)," non répertoriées")</f>
        <v xml:space="preserve"> non répertoriées</v>
      </c>
      <c r="I653" t="str">
        <f>IFERROR(VLOOKUP(logos[[#This Row],[Cell_ID]],'registe maintenance'!A:F,6,FALSE)," non répertoriées")</f>
        <v xml:space="preserve"> non répertoriées</v>
      </c>
      <c r="J653">
        <f>IFERROR(VLOOKUP(B653,'logos transformer '!A:B,2,FALSE),"na")</f>
        <v>1</v>
      </c>
      <c r="K653">
        <f>IFERROR(VLOOKUP(B653,'logos transformer '!A:C,3,FALSE),"na")</f>
        <v>28</v>
      </c>
      <c r="L653" s="1">
        <f>IFERROR(VLOOKUP(B653,'logos transformer '!A:D,4,FALSE),"na")</f>
        <v>45212.617361111108</v>
      </c>
    </row>
    <row r="654" spans="1:12" x14ac:dyDescent="0.3">
      <c r="A654" s="1">
        <v>45221.780555555553</v>
      </c>
      <c r="B654" t="s">
        <v>406</v>
      </c>
      <c r="C654">
        <v>67</v>
      </c>
      <c r="D654" t="s">
        <v>5</v>
      </c>
      <c r="E654" t="str">
        <f>IFERROR(VLOOKUP(logos[[#This Row],[Cell_ID]],'registe maintenance'!A:B,2,FALSE)," non répertoriées")</f>
        <v>Tshuapa</v>
      </c>
      <c r="F654">
        <f>IFERROR(VLOOKUP(logos[[#This Row],[Cell_ID]],'registe maintenance'!A:C,3,FALSE)," non répertoriées")</f>
        <v>-7.789663</v>
      </c>
      <c r="G654">
        <f>IFERROR(VLOOKUP(logos[[#This Row],[Cell_ID]],'registe maintenance'!A:D,4,FALSE)," non répertoriées")</f>
        <v>26.529098000000001</v>
      </c>
      <c r="H654" t="str">
        <f>IFERROR(VLOOKUP(logos[[#This Row],[Cell_ID]],'registe maintenance'!A:E,5,FALSE)," non répertoriées")</f>
        <v>5G</v>
      </c>
      <c r="I654" t="str">
        <f>IFERROR(VLOOKUP(logos[[#This Row],[Cell_ID]],'registe maintenance'!A:F,6,FALSE)," non répertoriées")</f>
        <v>Nokia</v>
      </c>
      <c r="J654">
        <f>IFERROR(VLOOKUP(B654,'logos transformer '!A:B,2,FALSE),"na")</f>
        <v>2</v>
      </c>
      <c r="K654">
        <f>IFERROR(VLOOKUP(B654,'logos transformer '!A:C,3,FALSE),"na")</f>
        <v>81</v>
      </c>
      <c r="L654" s="1">
        <f>IFERROR(VLOOKUP(B654,'logos transformer '!A:D,4,FALSE),"na")</f>
        <v>45224.347916666666</v>
      </c>
    </row>
    <row r="655" spans="1:12" x14ac:dyDescent="0.3">
      <c r="A655" s="1">
        <v>45216.181944444441</v>
      </c>
      <c r="B655" t="s">
        <v>481</v>
      </c>
      <c r="C655">
        <v>86</v>
      </c>
      <c r="D655" t="s">
        <v>8</v>
      </c>
      <c r="E655" t="str">
        <f>IFERROR(VLOOKUP(logos[[#This Row],[Cell_ID]],'registe maintenance'!A:B,2,FALSE)," non répertoriées")</f>
        <v xml:space="preserve"> non répertoriées</v>
      </c>
      <c r="F655" t="str">
        <f>IFERROR(VLOOKUP(logos[[#This Row],[Cell_ID]],'registe maintenance'!A:C,3,FALSE)," non répertoriées")</f>
        <v xml:space="preserve"> non répertoriées</v>
      </c>
      <c r="G655" t="str">
        <f>IFERROR(VLOOKUP(logos[[#This Row],[Cell_ID]],'registe maintenance'!A:D,4,FALSE)," non répertoriées")</f>
        <v xml:space="preserve"> non répertoriées</v>
      </c>
      <c r="H655" t="str">
        <f>IFERROR(VLOOKUP(logos[[#This Row],[Cell_ID]],'registe maintenance'!A:E,5,FALSE)," non répertoriées")</f>
        <v xml:space="preserve"> non répertoriées</v>
      </c>
      <c r="I655" t="str">
        <f>IFERROR(VLOOKUP(logos[[#This Row],[Cell_ID]],'registe maintenance'!A:F,6,FALSE)," non répertoriées")</f>
        <v xml:space="preserve"> non répertoriées</v>
      </c>
      <c r="J655">
        <f>IFERROR(VLOOKUP(B655,'logos transformer '!A:B,2,FALSE),"na")</f>
        <v>1</v>
      </c>
      <c r="K655">
        <f>IFERROR(VLOOKUP(B655,'logos transformer '!A:C,3,FALSE),"na")</f>
        <v>86</v>
      </c>
      <c r="L655" s="1">
        <f>IFERROR(VLOOKUP(B655,'logos transformer '!A:D,4,FALSE),"na")</f>
        <v>45216.181944444441</v>
      </c>
    </row>
    <row r="656" spans="1:12" x14ac:dyDescent="0.3">
      <c r="A656" s="1">
        <v>45200.629166666673</v>
      </c>
      <c r="B656" t="s">
        <v>287</v>
      </c>
      <c r="C656">
        <v>73</v>
      </c>
      <c r="D656" t="s">
        <v>8</v>
      </c>
      <c r="E656" t="str">
        <f>IFERROR(VLOOKUP(logos[[#This Row],[Cell_ID]],'registe maintenance'!A:B,2,FALSE)," non répertoriées")</f>
        <v xml:space="preserve"> non répertoriées</v>
      </c>
      <c r="F656" t="str">
        <f>IFERROR(VLOOKUP(logos[[#This Row],[Cell_ID]],'registe maintenance'!A:C,3,FALSE)," non répertoriées")</f>
        <v xml:space="preserve"> non répertoriées</v>
      </c>
      <c r="G656" t="str">
        <f>IFERROR(VLOOKUP(logos[[#This Row],[Cell_ID]],'registe maintenance'!A:D,4,FALSE)," non répertoriées")</f>
        <v xml:space="preserve"> non répertoriées</v>
      </c>
      <c r="H656" t="str">
        <f>IFERROR(VLOOKUP(logos[[#This Row],[Cell_ID]],'registe maintenance'!A:E,5,FALSE)," non répertoriées")</f>
        <v xml:space="preserve"> non répertoriées</v>
      </c>
      <c r="I656" t="str">
        <f>IFERROR(VLOOKUP(logos[[#This Row],[Cell_ID]],'registe maintenance'!A:F,6,FALSE)," non répertoriées")</f>
        <v xml:space="preserve"> non répertoriées</v>
      </c>
      <c r="J656">
        <f>IFERROR(VLOOKUP(B656,'logos transformer '!A:B,2,FALSE),"na")</f>
        <v>2</v>
      </c>
      <c r="K656">
        <f>IFERROR(VLOOKUP(B656,'logos transformer '!A:C,3,FALSE),"na")</f>
        <v>151</v>
      </c>
      <c r="L656" s="1">
        <f>IFERROR(VLOOKUP(B656,'logos transformer '!A:D,4,FALSE),"na")</f>
        <v>45218.647916666669</v>
      </c>
    </row>
    <row r="657" spans="1:12" x14ac:dyDescent="0.3">
      <c r="A657" s="1">
        <v>45209.581944444442</v>
      </c>
      <c r="B657" t="s">
        <v>482</v>
      </c>
      <c r="C657">
        <v>93</v>
      </c>
      <c r="D657" t="s">
        <v>8</v>
      </c>
      <c r="E657" t="str">
        <f>IFERROR(VLOOKUP(logos[[#This Row],[Cell_ID]],'registe maintenance'!A:B,2,FALSE)," non répertoriées")</f>
        <v xml:space="preserve"> non répertoriées</v>
      </c>
      <c r="F657" t="str">
        <f>IFERROR(VLOOKUP(logos[[#This Row],[Cell_ID]],'registe maintenance'!A:C,3,FALSE)," non répertoriées")</f>
        <v xml:space="preserve"> non répertoriées</v>
      </c>
      <c r="G657" t="str">
        <f>IFERROR(VLOOKUP(logos[[#This Row],[Cell_ID]],'registe maintenance'!A:D,4,FALSE)," non répertoriées")</f>
        <v xml:space="preserve"> non répertoriées</v>
      </c>
      <c r="H657" t="str">
        <f>IFERROR(VLOOKUP(logos[[#This Row],[Cell_ID]],'registe maintenance'!A:E,5,FALSE)," non répertoriées")</f>
        <v xml:space="preserve"> non répertoriées</v>
      </c>
      <c r="I657" t="str">
        <f>IFERROR(VLOOKUP(logos[[#This Row],[Cell_ID]],'registe maintenance'!A:F,6,FALSE)," non répertoriées")</f>
        <v xml:space="preserve"> non répertoriées</v>
      </c>
      <c r="J657">
        <f>IFERROR(VLOOKUP(B657,'logos transformer '!A:B,2,FALSE),"na")</f>
        <v>1</v>
      </c>
      <c r="K657">
        <f>IFERROR(VLOOKUP(B657,'logos transformer '!A:C,3,FALSE),"na")</f>
        <v>93</v>
      </c>
      <c r="L657" s="1">
        <f>IFERROR(VLOOKUP(B657,'logos transformer '!A:D,4,FALSE),"na")</f>
        <v>45209.581944444442</v>
      </c>
    </row>
    <row r="658" spans="1:12" x14ac:dyDescent="0.3">
      <c r="A658" s="1">
        <v>45230.088194444441</v>
      </c>
      <c r="B658" t="s">
        <v>376</v>
      </c>
      <c r="C658">
        <v>87</v>
      </c>
      <c r="D658" t="s">
        <v>10</v>
      </c>
      <c r="E658" t="str">
        <f>IFERROR(VLOOKUP(logos[[#This Row],[Cell_ID]],'registe maintenance'!A:B,2,FALSE)," non répertoriées")</f>
        <v xml:space="preserve"> non répertoriées</v>
      </c>
      <c r="F658" t="str">
        <f>IFERROR(VLOOKUP(logos[[#This Row],[Cell_ID]],'registe maintenance'!A:C,3,FALSE)," non répertoriées")</f>
        <v xml:space="preserve"> non répertoriées</v>
      </c>
      <c r="G658" t="str">
        <f>IFERROR(VLOOKUP(logos[[#This Row],[Cell_ID]],'registe maintenance'!A:D,4,FALSE)," non répertoriées")</f>
        <v xml:space="preserve"> non répertoriées</v>
      </c>
      <c r="H658" t="str">
        <f>IFERROR(VLOOKUP(logos[[#This Row],[Cell_ID]],'registe maintenance'!A:E,5,FALSE)," non répertoriées")</f>
        <v xml:space="preserve"> non répertoriées</v>
      </c>
      <c r="I658" t="str">
        <f>IFERROR(VLOOKUP(logos[[#This Row],[Cell_ID]],'registe maintenance'!A:F,6,FALSE)," non répertoriées")</f>
        <v xml:space="preserve"> non répertoriées</v>
      </c>
      <c r="J658">
        <f>IFERROR(VLOOKUP(B658,'logos transformer '!A:B,2,FALSE),"na")</f>
        <v>2</v>
      </c>
      <c r="K658">
        <f>IFERROR(VLOOKUP(B658,'logos transformer '!A:C,3,FALSE),"na")</f>
        <v>163</v>
      </c>
      <c r="L658" s="1">
        <f>IFERROR(VLOOKUP(B658,'logos transformer '!A:D,4,FALSE),"na")</f>
        <v>45230.088194444441</v>
      </c>
    </row>
    <row r="659" spans="1:12" x14ac:dyDescent="0.3">
      <c r="A659" s="1">
        <v>45226.964583333327</v>
      </c>
      <c r="B659" t="s">
        <v>483</v>
      </c>
      <c r="C659">
        <v>27</v>
      </c>
      <c r="D659" t="s">
        <v>8</v>
      </c>
      <c r="E659" t="str">
        <f>IFERROR(VLOOKUP(logos[[#This Row],[Cell_ID]],'registe maintenance'!A:B,2,FALSE)," non répertoriées")</f>
        <v>Lualaba</v>
      </c>
      <c r="F659">
        <f>IFERROR(VLOOKUP(logos[[#This Row],[Cell_ID]],'registe maintenance'!A:C,3,FALSE)," non répertoriées")</f>
        <v>-11.354772000000001</v>
      </c>
      <c r="G659">
        <f>IFERROR(VLOOKUP(logos[[#This Row],[Cell_ID]],'registe maintenance'!A:D,4,FALSE)," non répertoriées")</f>
        <v>21.957325999999998</v>
      </c>
      <c r="H659" t="str">
        <f>IFERROR(VLOOKUP(logos[[#This Row],[Cell_ID]],'registe maintenance'!A:E,5,FALSE)," non répertoriées")</f>
        <v>3G</v>
      </c>
      <c r="I659" t="str">
        <f>IFERROR(VLOOKUP(logos[[#This Row],[Cell_ID]],'registe maintenance'!A:F,6,FALSE)," non répertoriées")</f>
        <v>Nokia</v>
      </c>
      <c r="J659">
        <f>IFERROR(VLOOKUP(B659,'logos transformer '!A:B,2,FALSE),"na")</f>
        <v>1</v>
      </c>
      <c r="K659">
        <f>IFERROR(VLOOKUP(B659,'logos transformer '!A:C,3,FALSE),"na")</f>
        <v>27</v>
      </c>
      <c r="L659" s="1">
        <f>IFERROR(VLOOKUP(B659,'logos transformer '!A:D,4,FALSE),"na")</f>
        <v>45226.964583333334</v>
      </c>
    </row>
    <row r="660" spans="1:12" x14ac:dyDescent="0.3">
      <c r="A660" s="1">
        <v>45211.38958333333</v>
      </c>
      <c r="B660" t="s">
        <v>484</v>
      </c>
      <c r="C660">
        <v>76</v>
      </c>
      <c r="D660" t="s">
        <v>8</v>
      </c>
      <c r="E660" t="str">
        <f>IFERROR(VLOOKUP(logos[[#This Row],[Cell_ID]],'registe maintenance'!A:B,2,FALSE)," non répertoriées")</f>
        <v xml:space="preserve"> non répertoriées</v>
      </c>
      <c r="F660" t="str">
        <f>IFERROR(VLOOKUP(logos[[#This Row],[Cell_ID]],'registe maintenance'!A:C,3,FALSE)," non répertoriées")</f>
        <v xml:space="preserve"> non répertoriées</v>
      </c>
      <c r="G660" t="str">
        <f>IFERROR(VLOOKUP(logos[[#This Row],[Cell_ID]],'registe maintenance'!A:D,4,FALSE)," non répertoriées")</f>
        <v xml:space="preserve"> non répertoriées</v>
      </c>
      <c r="H660" t="str">
        <f>IFERROR(VLOOKUP(logos[[#This Row],[Cell_ID]],'registe maintenance'!A:E,5,FALSE)," non répertoriées")</f>
        <v xml:space="preserve"> non répertoriées</v>
      </c>
      <c r="I660" t="str">
        <f>IFERROR(VLOOKUP(logos[[#This Row],[Cell_ID]],'registe maintenance'!A:F,6,FALSE)," non répertoriées")</f>
        <v xml:space="preserve"> non répertoriées</v>
      </c>
      <c r="J660">
        <f>IFERROR(VLOOKUP(B660,'logos transformer '!A:B,2,FALSE),"na")</f>
        <v>1</v>
      </c>
      <c r="K660">
        <f>IFERROR(VLOOKUP(B660,'logos transformer '!A:C,3,FALSE),"na")</f>
        <v>76</v>
      </c>
      <c r="L660" s="1">
        <f>IFERROR(VLOOKUP(B660,'logos transformer '!A:D,4,FALSE),"na")</f>
        <v>45211.38958333333</v>
      </c>
    </row>
    <row r="661" spans="1:12" x14ac:dyDescent="0.3">
      <c r="A661" s="1">
        <v>45214.272916666669</v>
      </c>
      <c r="B661" t="s">
        <v>175</v>
      </c>
      <c r="C661">
        <v>26</v>
      </c>
      <c r="D661" t="s">
        <v>8</v>
      </c>
      <c r="E661" t="str">
        <f>IFERROR(VLOOKUP(logos[[#This Row],[Cell_ID]],'registe maintenance'!A:B,2,FALSE)," non répertoriées")</f>
        <v xml:space="preserve"> non répertoriées</v>
      </c>
      <c r="F661" t="str">
        <f>IFERROR(VLOOKUP(logos[[#This Row],[Cell_ID]],'registe maintenance'!A:C,3,FALSE)," non répertoriées")</f>
        <v xml:space="preserve"> non répertoriées</v>
      </c>
      <c r="G661" t="str">
        <f>IFERROR(VLOOKUP(logos[[#This Row],[Cell_ID]],'registe maintenance'!A:D,4,FALSE)," non répertoriées")</f>
        <v xml:space="preserve"> non répertoriées</v>
      </c>
      <c r="H661" t="str">
        <f>IFERROR(VLOOKUP(logos[[#This Row],[Cell_ID]],'registe maintenance'!A:E,5,FALSE)," non répertoriées")</f>
        <v xml:space="preserve"> non répertoriées</v>
      </c>
      <c r="I661" t="str">
        <f>IFERROR(VLOOKUP(logos[[#This Row],[Cell_ID]],'registe maintenance'!A:F,6,FALSE)," non répertoriées")</f>
        <v xml:space="preserve"> non répertoriées</v>
      </c>
      <c r="J661">
        <f>IFERROR(VLOOKUP(B661,'logos transformer '!A:B,2,FALSE),"na")</f>
        <v>2</v>
      </c>
      <c r="K661">
        <f>IFERROR(VLOOKUP(B661,'logos transformer '!A:C,3,FALSE),"na")</f>
        <v>65</v>
      </c>
      <c r="L661" s="1">
        <f>IFERROR(VLOOKUP(B661,'logos transformer '!A:D,4,FALSE),"na")</f>
        <v>45215.10833333333</v>
      </c>
    </row>
    <row r="662" spans="1:12" x14ac:dyDescent="0.3">
      <c r="A662" s="1">
        <v>45215.479166666657</v>
      </c>
      <c r="B662" t="s">
        <v>121</v>
      </c>
      <c r="C662">
        <v>67</v>
      </c>
      <c r="D662" t="s">
        <v>10</v>
      </c>
      <c r="E662" t="str">
        <f>IFERROR(VLOOKUP(logos[[#This Row],[Cell_ID]],'registe maintenance'!A:B,2,FALSE)," non répertoriées")</f>
        <v xml:space="preserve"> non répertoriées</v>
      </c>
      <c r="F662" t="str">
        <f>IFERROR(VLOOKUP(logos[[#This Row],[Cell_ID]],'registe maintenance'!A:C,3,FALSE)," non répertoriées")</f>
        <v xml:space="preserve"> non répertoriées</v>
      </c>
      <c r="G662" t="str">
        <f>IFERROR(VLOOKUP(logos[[#This Row],[Cell_ID]],'registe maintenance'!A:D,4,FALSE)," non répertoriées")</f>
        <v xml:space="preserve"> non répertoriées</v>
      </c>
      <c r="H662" t="str">
        <f>IFERROR(VLOOKUP(logos[[#This Row],[Cell_ID]],'registe maintenance'!A:E,5,FALSE)," non répertoriées")</f>
        <v xml:space="preserve"> non répertoriées</v>
      </c>
      <c r="I662" t="str">
        <f>IFERROR(VLOOKUP(logos[[#This Row],[Cell_ID]],'registe maintenance'!A:F,6,FALSE)," non répertoriées")</f>
        <v xml:space="preserve"> non répertoriées</v>
      </c>
      <c r="J662">
        <f>IFERROR(VLOOKUP(B662,'logos transformer '!A:B,2,FALSE),"na")</f>
        <v>2</v>
      </c>
      <c r="K662">
        <f>IFERROR(VLOOKUP(B662,'logos transformer '!A:C,3,FALSE),"na")</f>
        <v>78</v>
      </c>
      <c r="L662" s="1">
        <f>IFERROR(VLOOKUP(B662,'logos transformer '!A:D,4,FALSE),"na")</f>
        <v>45215.479166666664</v>
      </c>
    </row>
    <row r="663" spans="1:12" x14ac:dyDescent="0.3">
      <c r="A663" s="1">
        <v>45203.615277777782</v>
      </c>
      <c r="B663" t="s">
        <v>485</v>
      </c>
      <c r="C663">
        <v>41</v>
      </c>
      <c r="D663" t="s">
        <v>5</v>
      </c>
      <c r="E663" t="str">
        <f>IFERROR(VLOOKUP(logos[[#This Row],[Cell_ID]],'registe maintenance'!A:B,2,FALSE)," non répertoriées")</f>
        <v xml:space="preserve"> non répertoriées</v>
      </c>
      <c r="F663" t="str">
        <f>IFERROR(VLOOKUP(logos[[#This Row],[Cell_ID]],'registe maintenance'!A:C,3,FALSE)," non répertoriées")</f>
        <v xml:space="preserve"> non répertoriées</v>
      </c>
      <c r="G663" t="str">
        <f>IFERROR(VLOOKUP(logos[[#This Row],[Cell_ID]],'registe maintenance'!A:D,4,FALSE)," non répertoriées")</f>
        <v xml:space="preserve"> non répertoriées</v>
      </c>
      <c r="H663" t="str">
        <f>IFERROR(VLOOKUP(logos[[#This Row],[Cell_ID]],'registe maintenance'!A:E,5,FALSE)," non répertoriées")</f>
        <v xml:space="preserve"> non répertoriées</v>
      </c>
      <c r="I663" t="str">
        <f>IFERROR(VLOOKUP(logos[[#This Row],[Cell_ID]],'registe maintenance'!A:F,6,FALSE)," non répertoriées")</f>
        <v xml:space="preserve"> non répertoriées</v>
      </c>
      <c r="J663">
        <f>IFERROR(VLOOKUP(B663,'logos transformer '!A:B,2,FALSE),"na")</f>
        <v>1</v>
      </c>
      <c r="K663">
        <f>IFERROR(VLOOKUP(B663,'logos transformer '!A:C,3,FALSE),"na")</f>
        <v>41</v>
      </c>
      <c r="L663" s="1">
        <f>IFERROR(VLOOKUP(B663,'logos transformer '!A:D,4,FALSE),"na")</f>
        <v>45203.615277777775</v>
      </c>
    </row>
    <row r="664" spans="1:12" x14ac:dyDescent="0.3">
      <c r="A664" s="1">
        <v>45222.597222222219</v>
      </c>
      <c r="B664" t="s">
        <v>196</v>
      </c>
      <c r="C664">
        <v>22</v>
      </c>
      <c r="D664" t="s">
        <v>8</v>
      </c>
      <c r="E664" t="str">
        <f>IFERROR(VLOOKUP(logos[[#This Row],[Cell_ID]],'registe maintenance'!A:B,2,FALSE)," non répertoriées")</f>
        <v>Nord-Kivu</v>
      </c>
      <c r="F664">
        <f>IFERROR(VLOOKUP(logos[[#This Row],[Cell_ID]],'registe maintenance'!A:C,3,FALSE)," non répertoriées")</f>
        <v>-1.8555980000000001</v>
      </c>
      <c r="G664">
        <f>IFERROR(VLOOKUP(logos[[#This Row],[Cell_ID]],'registe maintenance'!A:D,4,FALSE)," non répertoriées")</f>
        <v>30.421918000000002</v>
      </c>
      <c r="H664" t="str">
        <f>IFERROR(VLOOKUP(logos[[#This Row],[Cell_ID]],'registe maintenance'!A:E,5,FALSE)," non répertoriées")</f>
        <v>3G</v>
      </c>
      <c r="I664" t="str">
        <f>IFERROR(VLOOKUP(logos[[#This Row],[Cell_ID]],'registe maintenance'!A:F,6,FALSE)," non répertoriées")</f>
        <v>ZTE</v>
      </c>
      <c r="J664">
        <f>IFERROR(VLOOKUP(B664,'logos transformer '!A:B,2,FALSE),"na")</f>
        <v>5</v>
      </c>
      <c r="K664">
        <f>IFERROR(VLOOKUP(B664,'logos transformer '!A:C,3,FALSE),"na")</f>
        <v>226</v>
      </c>
      <c r="L664" s="1">
        <f>IFERROR(VLOOKUP(B664,'logos transformer '!A:D,4,FALSE),"na")</f>
        <v>45222.597222222219</v>
      </c>
    </row>
    <row r="665" spans="1:12" x14ac:dyDescent="0.3">
      <c r="A665" s="1">
        <v>45202.376388888893</v>
      </c>
      <c r="B665" t="s">
        <v>486</v>
      </c>
      <c r="C665">
        <v>28</v>
      </c>
      <c r="D665" t="s">
        <v>5</v>
      </c>
      <c r="E665" t="str">
        <f>IFERROR(VLOOKUP(logos[[#This Row],[Cell_ID]],'registe maintenance'!A:B,2,FALSE)," non répertoriées")</f>
        <v>Kwilu</v>
      </c>
      <c r="F665">
        <f>IFERROR(VLOOKUP(logos[[#This Row],[Cell_ID]],'registe maintenance'!A:C,3,FALSE)," non répertoriées")</f>
        <v>-7.402336</v>
      </c>
      <c r="G665">
        <f>IFERROR(VLOOKUP(logos[[#This Row],[Cell_ID]],'registe maintenance'!A:D,4,FALSE)," non répertoriées")</f>
        <v>27.376697</v>
      </c>
      <c r="H665" t="str">
        <f>IFERROR(VLOOKUP(logos[[#This Row],[Cell_ID]],'registe maintenance'!A:E,5,FALSE)," non répertoriées")</f>
        <v>4G</v>
      </c>
      <c r="I665" t="str">
        <f>IFERROR(VLOOKUP(logos[[#This Row],[Cell_ID]],'registe maintenance'!A:F,6,FALSE)," non répertoriées")</f>
        <v>Huawei</v>
      </c>
      <c r="J665">
        <f>IFERROR(VLOOKUP(B665,'logos transformer '!A:B,2,FALSE),"na")</f>
        <v>3</v>
      </c>
      <c r="K665">
        <f>IFERROR(VLOOKUP(B665,'logos transformer '!A:C,3,FALSE),"na")</f>
        <v>127</v>
      </c>
      <c r="L665" s="1">
        <f>IFERROR(VLOOKUP(B665,'logos transformer '!A:D,4,FALSE),"na")</f>
        <v>45212.447222222225</v>
      </c>
    </row>
    <row r="666" spans="1:12" x14ac:dyDescent="0.3">
      <c r="A666" s="1">
        <v>45225.921527777777</v>
      </c>
      <c r="B666" t="s">
        <v>424</v>
      </c>
      <c r="C666">
        <v>45</v>
      </c>
      <c r="D666" t="s">
        <v>5</v>
      </c>
      <c r="E666" t="str">
        <f>IFERROR(VLOOKUP(logos[[#This Row],[Cell_ID]],'registe maintenance'!A:B,2,FALSE)," non répertoriées")</f>
        <v xml:space="preserve"> non répertoriées</v>
      </c>
      <c r="F666" t="str">
        <f>IFERROR(VLOOKUP(logos[[#This Row],[Cell_ID]],'registe maintenance'!A:C,3,FALSE)," non répertoriées")</f>
        <v xml:space="preserve"> non répertoriées</v>
      </c>
      <c r="G666" t="str">
        <f>IFERROR(VLOOKUP(logos[[#This Row],[Cell_ID]],'registe maintenance'!A:D,4,FALSE)," non répertoriées")</f>
        <v xml:space="preserve"> non répertoriées</v>
      </c>
      <c r="H666" t="str">
        <f>IFERROR(VLOOKUP(logos[[#This Row],[Cell_ID]],'registe maintenance'!A:E,5,FALSE)," non répertoriées")</f>
        <v xml:space="preserve"> non répertoriées</v>
      </c>
      <c r="I666" t="str">
        <f>IFERROR(VLOOKUP(logos[[#This Row],[Cell_ID]],'registe maintenance'!A:F,6,FALSE)," non répertoriées")</f>
        <v xml:space="preserve"> non répertoriées</v>
      </c>
      <c r="J666">
        <f>IFERROR(VLOOKUP(B666,'logos transformer '!A:B,2,FALSE),"na")</f>
        <v>3</v>
      </c>
      <c r="K666">
        <f>IFERROR(VLOOKUP(B666,'logos transformer '!A:C,3,FALSE),"na")</f>
        <v>235</v>
      </c>
      <c r="L666" s="1">
        <f>IFERROR(VLOOKUP(B666,'logos transformer '!A:D,4,FALSE),"na")</f>
        <v>45225.921527777777</v>
      </c>
    </row>
    <row r="667" spans="1:12" x14ac:dyDescent="0.3">
      <c r="A667" s="1">
        <v>45200.445138888892</v>
      </c>
      <c r="B667" t="s">
        <v>487</v>
      </c>
      <c r="C667">
        <v>112</v>
      </c>
      <c r="D667" t="s">
        <v>5</v>
      </c>
      <c r="E667" t="str">
        <f>IFERROR(VLOOKUP(logos[[#This Row],[Cell_ID]],'registe maintenance'!A:B,2,FALSE)," non répertoriées")</f>
        <v>Haut-Katanga</v>
      </c>
      <c r="F667">
        <f>IFERROR(VLOOKUP(logos[[#This Row],[Cell_ID]],'registe maintenance'!A:C,3,FALSE)," non répertoriées")</f>
        <v>-10.945031</v>
      </c>
      <c r="G667">
        <f>IFERROR(VLOOKUP(logos[[#This Row],[Cell_ID]],'registe maintenance'!A:D,4,FALSE)," non répertoriées")</f>
        <v>27.922274000000002</v>
      </c>
      <c r="H667" t="str">
        <f>IFERROR(VLOOKUP(logos[[#This Row],[Cell_ID]],'registe maintenance'!A:E,5,FALSE)," non répertoriées")</f>
        <v>4G</v>
      </c>
      <c r="I667" t="str">
        <f>IFERROR(VLOOKUP(logos[[#This Row],[Cell_ID]],'registe maintenance'!A:F,6,FALSE)," non répertoriées")</f>
        <v>Ericsson</v>
      </c>
      <c r="J667">
        <f>IFERROR(VLOOKUP(B667,'logos transformer '!A:B,2,FALSE),"na")</f>
        <v>3</v>
      </c>
      <c r="K667">
        <f>IFERROR(VLOOKUP(B667,'logos transformer '!A:C,3,FALSE),"na")</f>
        <v>298</v>
      </c>
      <c r="L667" s="1">
        <f>IFERROR(VLOOKUP(B667,'logos transformer '!A:D,4,FALSE),"na")</f>
        <v>45230.12777777778</v>
      </c>
    </row>
    <row r="668" spans="1:12" x14ac:dyDescent="0.3">
      <c r="A668" s="1">
        <v>45203.910416666673</v>
      </c>
      <c r="B668" t="s">
        <v>459</v>
      </c>
      <c r="C668">
        <v>62</v>
      </c>
      <c r="D668" t="s">
        <v>5</v>
      </c>
      <c r="E668" t="str">
        <f>IFERROR(VLOOKUP(logos[[#This Row],[Cell_ID]],'registe maintenance'!A:B,2,FALSE)," non répertoriées")</f>
        <v>Maniema</v>
      </c>
      <c r="F668">
        <f>IFERROR(VLOOKUP(logos[[#This Row],[Cell_ID]],'registe maintenance'!A:C,3,FALSE)," non répertoriées")</f>
        <v>1.938083</v>
      </c>
      <c r="G668">
        <f>IFERROR(VLOOKUP(logos[[#This Row],[Cell_ID]],'registe maintenance'!A:D,4,FALSE)," non répertoriées")</f>
        <v>28.25281</v>
      </c>
      <c r="H668" t="str">
        <f>IFERROR(VLOOKUP(logos[[#This Row],[Cell_ID]],'registe maintenance'!A:E,5,FALSE)," non répertoriées")</f>
        <v>4G</v>
      </c>
      <c r="I668" t="str">
        <f>IFERROR(VLOOKUP(logos[[#This Row],[Cell_ID]],'registe maintenance'!A:F,6,FALSE)," non répertoriées")</f>
        <v>Nokia</v>
      </c>
      <c r="J668">
        <f>IFERROR(VLOOKUP(B668,'logos transformer '!A:B,2,FALSE),"na")</f>
        <v>3</v>
      </c>
      <c r="K668">
        <f>IFERROR(VLOOKUP(B668,'logos transformer '!A:C,3,FALSE),"na")</f>
        <v>205</v>
      </c>
      <c r="L668" s="1">
        <f>IFERROR(VLOOKUP(B668,'logos transformer '!A:D,4,FALSE),"na")</f>
        <v>45216.435416666667</v>
      </c>
    </row>
    <row r="669" spans="1:12" x14ac:dyDescent="0.3">
      <c r="A669" s="1">
        <v>45205.96875</v>
      </c>
      <c r="B669" t="s">
        <v>488</v>
      </c>
      <c r="C669">
        <v>84</v>
      </c>
      <c r="D669" t="s">
        <v>8</v>
      </c>
      <c r="E669" t="str">
        <f>IFERROR(VLOOKUP(logos[[#This Row],[Cell_ID]],'registe maintenance'!A:B,2,FALSE)," non répertoriées")</f>
        <v xml:space="preserve"> non répertoriées</v>
      </c>
      <c r="F669" t="str">
        <f>IFERROR(VLOOKUP(logos[[#This Row],[Cell_ID]],'registe maintenance'!A:C,3,FALSE)," non répertoriées")</f>
        <v xml:space="preserve"> non répertoriées</v>
      </c>
      <c r="G669" t="str">
        <f>IFERROR(VLOOKUP(logos[[#This Row],[Cell_ID]],'registe maintenance'!A:D,4,FALSE)," non répertoriées")</f>
        <v xml:space="preserve"> non répertoriées</v>
      </c>
      <c r="H669" t="str">
        <f>IFERROR(VLOOKUP(logos[[#This Row],[Cell_ID]],'registe maintenance'!A:E,5,FALSE)," non répertoriées")</f>
        <v xml:space="preserve"> non répertoriées</v>
      </c>
      <c r="I669" t="str">
        <f>IFERROR(VLOOKUP(logos[[#This Row],[Cell_ID]],'registe maintenance'!A:F,6,FALSE)," non répertoriées")</f>
        <v xml:space="preserve"> non répertoriées</v>
      </c>
      <c r="J669">
        <f>IFERROR(VLOOKUP(B669,'logos transformer '!A:B,2,FALSE),"na")</f>
        <v>1</v>
      </c>
      <c r="K669">
        <f>IFERROR(VLOOKUP(B669,'logos transformer '!A:C,3,FALSE),"na")</f>
        <v>84</v>
      </c>
      <c r="L669" s="1">
        <f>IFERROR(VLOOKUP(B669,'logos transformer '!A:D,4,FALSE),"na")</f>
        <v>45205.96875</v>
      </c>
    </row>
    <row r="670" spans="1:12" x14ac:dyDescent="0.3">
      <c r="A670" s="1">
        <v>45216.232638888891</v>
      </c>
      <c r="B670" t="s">
        <v>489</v>
      </c>
      <c r="C670">
        <v>11</v>
      </c>
      <c r="D670" t="s">
        <v>10</v>
      </c>
      <c r="E670" t="str">
        <f>IFERROR(VLOOKUP(logos[[#This Row],[Cell_ID]],'registe maintenance'!A:B,2,FALSE)," non répertoriées")</f>
        <v>Kasai</v>
      </c>
      <c r="F670">
        <f>IFERROR(VLOOKUP(logos[[#This Row],[Cell_ID]],'registe maintenance'!A:C,3,FALSE)," non répertoriées")</f>
        <v>-3.8119990000000001</v>
      </c>
      <c r="G670">
        <f>IFERROR(VLOOKUP(logos[[#This Row],[Cell_ID]],'registe maintenance'!A:D,4,FALSE)," non répertoriées")</f>
        <v>20.420048000000001</v>
      </c>
      <c r="H670" t="str">
        <f>IFERROR(VLOOKUP(logos[[#This Row],[Cell_ID]],'registe maintenance'!A:E,5,FALSE)," non répertoriées")</f>
        <v>3G</v>
      </c>
      <c r="I670" t="str">
        <f>IFERROR(VLOOKUP(logos[[#This Row],[Cell_ID]],'registe maintenance'!A:F,6,FALSE)," non répertoriées")</f>
        <v>ZTE</v>
      </c>
      <c r="J670">
        <f>IFERROR(VLOOKUP(B670,'logos transformer '!A:B,2,FALSE),"na")</f>
        <v>1</v>
      </c>
      <c r="K670">
        <f>IFERROR(VLOOKUP(B670,'logos transformer '!A:C,3,FALSE),"na")</f>
        <v>11</v>
      </c>
      <c r="L670" s="1">
        <f>IFERROR(VLOOKUP(B670,'logos transformer '!A:D,4,FALSE),"na")</f>
        <v>45216.232638888891</v>
      </c>
    </row>
    <row r="671" spans="1:12" x14ac:dyDescent="0.3">
      <c r="A671" s="1">
        <v>45205.440972222219</v>
      </c>
      <c r="B671" t="s">
        <v>490</v>
      </c>
      <c r="C671">
        <v>115</v>
      </c>
      <c r="D671" t="s">
        <v>8</v>
      </c>
      <c r="E671" t="str">
        <f>IFERROR(VLOOKUP(logos[[#This Row],[Cell_ID]],'registe maintenance'!A:B,2,FALSE)," non répertoriées")</f>
        <v>Sud-Kivu</v>
      </c>
      <c r="F671">
        <f>IFERROR(VLOOKUP(logos[[#This Row],[Cell_ID]],'registe maintenance'!A:C,3,FALSE)," non répertoriées")</f>
        <v>-1.3024210000000001</v>
      </c>
      <c r="G671">
        <f>IFERROR(VLOOKUP(logos[[#This Row],[Cell_ID]],'registe maintenance'!A:D,4,FALSE)," non répertoriées")</f>
        <v>13.601914000000001</v>
      </c>
      <c r="H671" t="str">
        <f>IFERROR(VLOOKUP(logos[[#This Row],[Cell_ID]],'registe maintenance'!A:E,5,FALSE)," non répertoriées")</f>
        <v>3G</v>
      </c>
      <c r="I671" t="str">
        <f>IFERROR(VLOOKUP(logos[[#This Row],[Cell_ID]],'registe maintenance'!A:F,6,FALSE)," non répertoriées")</f>
        <v>Huawei</v>
      </c>
      <c r="J671">
        <f>IFERROR(VLOOKUP(B671,'logos transformer '!A:B,2,FALSE),"na")</f>
        <v>1</v>
      </c>
      <c r="K671">
        <f>IFERROR(VLOOKUP(B671,'logos transformer '!A:C,3,FALSE),"na")</f>
        <v>115</v>
      </c>
      <c r="L671" s="1">
        <f>IFERROR(VLOOKUP(B671,'logos transformer '!A:D,4,FALSE),"na")</f>
        <v>45205.440972222219</v>
      </c>
    </row>
    <row r="672" spans="1:12" x14ac:dyDescent="0.3">
      <c r="A672" s="1">
        <v>45213.593055555553</v>
      </c>
      <c r="B672" t="s">
        <v>416</v>
      </c>
      <c r="C672">
        <v>50</v>
      </c>
      <c r="D672" t="s">
        <v>10</v>
      </c>
      <c r="E672" t="str">
        <f>IFERROR(VLOOKUP(logos[[#This Row],[Cell_ID]],'registe maintenance'!A:B,2,FALSE)," non répertoriées")</f>
        <v xml:space="preserve"> non répertoriées</v>
      </c>
      <c r="F672" t="str">
        <f>IFERROR(VLOOKUP(logos[[#This Row],[Cell_ID]],'registe maintenance'!A:C,3,FALSE)," non répertoriées")</f>
        <v xml:space="preserve"> non répertoriées</v>
      </c>
      <c r="G672" t="str">
        <f>IFERROR(VLOOKUP(logos[[#This Row],[Cell_ID]],'registe maintenance'!A:D,4,FALSE)," non répertoriées")</f>
        <v xml:space="preserve"> non répertoriées</v>
      </c>
      <c r="H672" t="str">
        <f>IFERROR(VLOOKUP(logos[[#This Row],[Cell_ID]],'registe maintenance'!A:E,5,FALSE)," non répertoriées")</f>
        <v xml:space="preserve"> non répertoriées</v>
      </c>
      <c r="I672" t="str">
        <f>IFERROR(VLOOKUP(logos[[#This Row],[Cell_ID]],'registe maintenance'!A:F,6,FALSE)," non répertoriées")</f>
        <v xml:space="preserve"> non répertoriées</v>
      </c>
      <c r="J672">
        <f>IFERROR(VLOOKUP(B672,'logos transformer '!A:B,2,FALSE),"na")</f>
        <v>2</v>
      </c>
      <c r="K672">
        <f>IFERROR(VLOOKUP(B672,'logos transformer '!A:C,3,FALSE),"na")</f>
        <v>137</v>
      </c>
      <c r="L672" s="1">
        <f>IFERROR(VLOOKUP(B672,'logos transformer '!A:D,4,FALSE),"na")</f>
        <v>45219.106249999997</v>
      </c>
    </row>
    <row r="673" spans="1:12" x14ac:dyDescent="0.3">
      <c r="A673" s="1">
        <v>45225.527777777781</v>
      </c>
      <c r="B673" t="s">
        <v>491</v>
      </c>
      <c r="C673">
        <v>6</v>
      </c>
      <c r="D673" t="s">
        <v>8</v>
      </c>
      <c r="E673" t="str">
        <f>IFERROR(VLOOKUP(logos[[#This Row],[Cell_ID]],'registe maintenance'!A:B,2,FALSE)," non répertoriées")</f>
        <v xml:space="preserve"> non répertoriées</v>
      </c>
      <c r="F673" t="str">
        <f>IFERROR(VLOOKUP(logos[[#This Row],[Cell_ID]],'registe maintenance'!A:C,3,FALSE)," non répertoriées")</f>
        <v xml:space="preserve"> non répertoriées</v>
      </c>
      <c r="G673" t="str">
        <f>IFERROR(VLOOKUP(logos[[#This Row],[Cell_ID]],'registe maintenance'!A:D,4,FALSE)," non répertoriées")</f>
        <v xml:space="preserve"> non répertoriées</v>
      </c>
      <c r="H673" t="str">
        <f>IFERROR(VLOOKUP(logos[[#This Row],[Cell_ID]],'registe maintenance'!A:E,5,FALSE)," non répertoriées")</f>
        <v xml:space="preserve"> non répertoriées</v>
      </c>
      <c r="I673" t="str">
        <f>IFERROR(VLOOKUP(logos[[#This Row],[Cell_ID]],'registe maintenance'!A:F,6,FALSE)," non répertoriées")</f>
        <v xml:space="preserve"> non répertoriées</v>
      </c>
      <c r="J673">
        <f>IFERROR(VLOOKUP(B673,'logos transformer '!A:B,2,FALSE),"na")</f>
        <v>1</v>
      </c>
      <c r="K673">
        <f>IFERROR(VLOOKUP(B673,'logos transformer '!A:C,3,FALSE),"na")</f>
        <v>6</v>
      </c>
      <c r="L673" s="1">
        <f>IFERROR(VLOOKUP(B673,'logos transformer '!A:D,4,FALSE),"na")</f>
        <v>45225.527777777781</v>
      </c>
    </row>
    <row r="674" spans="1:12" x14ac:dyDescent="0.3">
      <c r="A674" s="1">
        <v>45205.236111111109</v>
      </c>
      <c r="B674" t="s">
        <v>183</v>
      </c>
      <c r="C674">
        <v>67</v>
      </c>
      <c r="D674" t="s">
        <v>8</v>
      </c>
      <c r="E674" t="str">
        <f>IFERROR(VLOOKUP(logos[[#This Row],[Cell_ID]],'registe maintenance'!A:B,2,FALSE)," non répertoriées")</f>
        <v xml:space="preserve"> non répertoriées</v>
      </c>
      <c r="F674" t="str">
        <f>IFERROR(VLOOKUP(logos[[#This Row],[Cell_ID]],'registe maintenance'!A:C,3,FALSE)," non répertoriées")</f>
        <v xml:space="preserve"> non répertoriées</v>
      </c>
      <c r="G674" t="str">
        <f>IFERROR(VLOOKUP(logos[[#This Row],[Cell_ID]],'registe maintenance'!A:D,4,FALSE)," non répertoriées")</f>
        <v xml:space="preserve"> non répertoriées</v>
      </c>
      <c r="H674" t="str">
        <f>IFERROR(VLOOKUP(logos[[#This Row],[Cell_ID]],'registe maintenance'!A:E,5,FALSE)," non répertoriées")</f>
        <v xml:space="preserve"> non répertoriées</v>
      </c>
      <c r="I674" t="str">
        <f>IFERROR(VLOOKUP(logos[[#This Row],[Cell_ID]],'registe maintenance'!A:F,6,FALSE)," non répertoriées")</f>
        <v xml:space="preserve"> non répertoriées</v>
      </c>
      <c r="J674">
        <f>IFERROR(VLOOKUP(B674,'logos transformer '!A:B,2,FALSE),"na")</f>
        <v>3</v>
      </c>
      <c r="K674">
        <f>IFERROR(VLOOKUP(B674,'logos transformer '!A:C,3,FALSE),"na")</f>
        <v>254</v>
      </c>
      <c r="L674" s="1">
        <f>IFERROR(VLOOKUP(B674,'logos transformer '!A:D,4,FALSE),"na")</f>
        <v>45219.818749999999</v>
      </c>
    </row>
    <row r="675" spans="1:12" x14ac:dyDescent="0.3">
      <c r="A675" s="1">
        <v>45221.559027777781</v>
      </c>
      <c r="B675" t="s">
        <v>492</v>
      </c>
      <c r="C675">
        <v>22</v>
      </c>
      <c r="D675" t="s">
        <v>5</v>
      </c>
      <c r="E675" t="str">
        <f>IFERROR(VLOOKUP(logos[[#This Row],[Cell_ID]],'registe maintenance'!A:B,2,FALSE)," non répertoriées")</f>
        <v>Kwango</v>
      </c>
      <c r="F675">
        <f>IFERROR(VLOOKUP(logos[[#This Row],[Cell_ID]],'registe maintenance'!A:C,3,FALSE)," non répertoriées")</f>
        <v>0.65288900000000005</v>
      </c>
      <c r="G675">
        <f>IFERROR(VLOOKUP(logos[[#This Row],[Cell_ID]],'registe maintenance'!A:D,4,FALSE)," non répertoriées")</f>
        <v>24.243953999999999</v>
      </c>
      <c r="H675" t="str">
        <f>IFERROR(VLOOKUP(logos[[#This Row],[Cell_ID]],'registe maintenance'!A:E,5,FALSE)," non répertoriées")</f>
        <v>5G</v>
      </c>
      <c r="I675" t="str">
        <f>IFERROR(VLOOKUP(logos[[#This Row],[Cell_ID]],'registe maintenance'!A:F,6,FALSE)," non répertoriées")</f>
        <v>Ericsson</v>
      </c>
      <c r="J675">
        <f>IFERROR(VLOOKUP(B675,'logos transformer '!A:B,2,FALSE),"na")</f>
        <v>1</v>
      </c>
      <c r="K675">
        <f>IFERROR(VLOOKUP(B675,'logos transformer '!A:C,3,FALSE),"na")</f>
        <v>22</v>
      </c>
      <c r="L675" s="1">
        <f>IFERROR(VLOOKUP(B675,'logos transformer '!A:D,4,FALSE),"na")</f>
        <v>45221.559027777781</v>
      </c>
    </row>
    <row r="676" spans="1:12" x14ac:dyDescent="0.3">
      <c r="A676" s="1">
        <v>45200.98541666667</v>
      </c>
      <c r="B676" t="s">
        <v>191</v>
      </c>
      <c r="C676">
        <v>29</v>
      </c>
      <c r="D676" t="s">
        <v>10</v>
      </c>
      <c r="E676" t="str">
        <f>IFERROR(VLOOKUP(logos[[#This Row],[Cell_ID]],'registe maintenance'!A:B,2,FALSE)," non répertoriées")</f>
        <v>Bas-Uele</v>
      </c>
      <c r="F676">
        <f>IFERROR(VLOOKUP(logos[[#This Row],[Cell_ID]],'registe maintenance'!A:C,3,FALSE)," non répertoriées")</f>
        <v>1.5278670000000001</v>
      </c>
      <c r="G676">
        <f>IFERROR(VLOOKUP(logos[[#This Row],[Cell_ID]],'registe maintenance'!A:D,4,FALSE)," non répertoriées")</f>
        <v>13.899388999999999</v>
      </c>
      <c r="H676" t="str">
        <f>IFERROR(VLOOKUP(logos[[#This Row],[Cell_ID]],'registe maintenance'!A:E,5,FALSE)," non répertoriées")</f>
        <v>3G</v>
      </c>
      <c r="I676" t="str">
        <f>IFERROR(VLOOKUP(logos[[#This Row],[Cell_ID]],'registe maintenance'!A:F,6,FALSE)," non répertoriées")</f>
        <v>Huawei</v>
      </c>
      <c r="J676">
        <f>IFERROR(VLOOKUP(B676,'logos transformer '!A:B,2,FALSE),"na")</f>
        <v>5</v>
      </c>
      <c r="K676">
        <f>IFERROR(VLOOKUP(B676,'logos transformer '!A:C,3,FALSE),"na")</f>
        <v>273</v>
      </c>
      <c r="L676" s="1">
        <f>IFERROR(VLOOKUP(B676,'logos transformer '!A:D,4,FALSE),"na")</f>
        <v>45223.436111111114</v>
      </c>
    </row>
    <row r="677" spans="1:12" x14ac:dyDescent="0.3">
      <c r="A677" s="1">
        <v>45228.269444444442</v>
      </c>
      <c r="B677" t="s">
        <v>93</v>
      </c>
      <c r="C677">
        <v>109</v>
      </c>
      <c r="D677" t="s">
        <v>8</v>
      </c>
      <c r="E677" t="str">
        <f>IFERROR(VLOOKUP(logos[[#This Row],[Cell_ID]],'registe maintenance'!A:B,2,FALSE)," non répertoriées")</f>
        <v xml:space="preserve"> non répertoriées</v>
      </c>
      <c r="F677" t="str">
        <f>IFERROR(VLOOKUP(logos[[#This Row],[Cell_ID]],'registe maintenance'!A:C,3,FALSE)," non répertoriées")</f>
        <v xml:space="preserve"> non répertoriées</v>
      </c>
      <c r="G677" t="str">
        <f>IFERROR(VLOOKUP(logos[[#This Row],[Cell_ID]],'registe maintenance'!A:D,4,FALSE)," non répertoriées")</f>
        <v xml:space="preserve"> non répertoriées</v>
      </c>
      <c r="H677" t="str">
        <f>IFERROR(VLOOKUP(logos[[#This Row],[Cell_ID]],'registe maintenance'!A:E,5,FALSE)," non répertoriées")</f>
        <v xml:space="preserve"> non répertoriées</v>
      </c>
      <c r="I677" t="str">
        <f>IFERROR(VLOOKUP(logos[[#This Row],[Cell_ID]],'registe maintenance'!A:F,6,FALSE)," non répertoriées")</f>
        <v xml:space="preserve"> non répertoriées</v>
      </c>
      <c r="J677">
        <f>IFERROR(VLOOKUP(B677,'logos transformer '!A:B,2,FALSE),"na")</f>
        <v>2</v>
      </c>
      <c r="K677">
        <f>IFERROR(VLOOKUP(B677,'logos transformer '!A:C,3,FALSE),"na")</f>
        <v>140</v>
      </c>
      <c r="L677" s="1">
        <f>IFERROR(VLOOKUP(B677,'logos transformer '!A:D,4,FALSE),"na")</f>
        <v>45228.269444444442</v>
      </c>
    </row>
    <row r="678" spans="1:12" x14ac:dyDescent="0.3">
      <c r="A678" s="1">
        <v>45218.558333333327</v>
      </c>
      <c r="B678" t="s">
        <v>193</v>
      </c>
      <c r="C678">
        <v>54</v>
      </c>
      <c r="D678" t="s">
        <v>10</v>
      </c>
      <c r="E678" t="str">
        <f>IFERROR(VLOOKUP(logos[[#This Row],[Cell_ID]],'registe maintenance'!A:B,2,FALSE)," non répertoriées")</f>
        <v xml:space="preserve"> non répertoriées</v>
      </c>
      <c r="F678" t="str">
        <f>IFERROR(VLOOKUP(logos[[#This Row],[Cell_ID]],'registe maintenance'!A:C,3,FALSE)," non répertoriées")</f>
        <v xml:space="preserve"> non répertoriées</v>
      </c>
      <c r="G678" t="str">
        <f>IFERROR(VLOOKUP(logos[[#This Row],[Cell_ID]],'registe maintenance'!A:D,4,FALSE)," non répertoriées")</f>
        <v xml:space="preserve"> non répertoriées</v>
      </c>
      <c r="H678" t="str">
        <f>IFERROR(VLOOKUP(logos[[#This Row],[Cell_ID]],'registe maintenance'!A:E,5,FALSE)," non répertoriées")</f>
        <v xml:space="preserve"> non répertoriées</v>
      </c>
      <c r="I678" t="str">
        <f>IFERROR(VLOOKUP(logos[[#This Row],[Cell_ID]],'registe maintenance'!A:F,6,FALSE)," non répertoriées")</f>
        <v xml:space="preserve"> non répertoriées</v>
      </c>
      <c r="J678">
        <f>IFERROR(VLOOKUP(B678,'logos transformer '!A:B,2,FALSE),"na")</f>
        <v>2</v>
      </c>
      <c r="K678">
        <f>IFERROR(VLOOKUP(B678,'logos transformer '!A:C,3,FALSE),"na")</f>
        <v>111</v>
      </c>
      <c r="L678" s="1">
        <f>IFERROR(VLOOKUP(B678,'logos transformer '!A:D,4,FALSE),"na")</f>
        <v>45218.558333333334</v>
      </c>
    </row>
    <row r="679" spans="1:12" x14ac:dyDescent="0.3">
      <c r="A679" s="1">
        <v>45200.925694444442</v>
      </c>
      <c r="B679" t="s">
        <v>12</v>
      </c>
      <c r="C679">
        <v>76</v>
      </c>
      <c r="D679" t="s">
        <v>10</v>
      </c>
      <c r="E679" t="str">
        <f>IFERROR(VLOOKUP(logos[[#This Row],[Cell_ID]],'registe maintenance'!A:B,2,FALSE)," non répertoriées")</f>
        <v>Kongo-Central</v>
      </c>
      <c r="F679">
        <f>IFERROR(VLOOKUP(logos[[#This Row],[Cell_ID]],'registe maintenance'!A:C,3,FALSE)," non répertoriées")</f>
        <v>-2.8211520000000001</v>
      </c>
      <c r="G679">
        <f>IFERROR(VLOOKUP(logos[[#This Row],[Cell_ID]],'registe maintenance'!A:D,4,FALSE)," non répertoriées")</f>
        <v>20.651419000000001</v>
      </c>
      <c r="H679" t="str">
        <f>IFERROR(VLOOKUP(logos[[#This Row],[Cell_ID]],'registe maintenance'!A:E,5,FALSE)," non répertoriées")</f>
        <v>5G</v>
      </c>
      <c r="I679" t="str">
        <f>IFERROR(VLOOKUP(logos[[#This Row],[Cell_ID]],'registe maintenance'!A:F,6,FALSE)," non répertoriées")</f>
        <v>Ericsson</v>
      </c>
      <c r="J679">
        <f>IFERROR(VLOOKUP(B679,'logos transformer '!A:B,2,FALSE),"na")</f>
        <v>5</v>
      </c>
      <c r="K679">
        <f>IFERROR(VLOOKUP(B679,'logos transformer '!A:C,3,FALSE),"na")</f>
        <v>389</v>
      </c>
      <c r="L679" s="1">
        <f>IFERROR(VLOOKUP(B679,'logos transformer '!A:D,4,FALSE),"na")</f>
        <v>45219.476388888892</v>
      </c>
    </row>
    <row r="680" spans="1:12" x14ac:dyDescent="0.3">
      <c r="A680" s="1">
        <v>45206.366666666669</v>
      </c>
      <c r="B680" t="s">
        <v>219</v>
      </c>
      <c r="C680">
        <v>69</v>
      </c>
      <c r="D680" t="s">
        <v>8</v>
      </c>
      <c r="E680" t="str">
        <f>IFERROR(VLOOKUP(logos[[#This Row],[Cell_ID]],'registe maintenance'!A:B,2,FALSE)," non répertoriées")</f>
        <v xml:space="preserve"> non répertoriées</v>
      </c>
      <c r="F680" t="str">
        <f>IFERROR(VLOOKUP(logos[[#This Row],[Cell_ID]],'registe maintenance'!A:C,3,FALSE)," non répertoriées")</f>
        <v xml:space="preserve"> non répertoriées</v>
      </c>
      <c r="G680" t="str">
        <f>IFERROR(VLOOKUP(logos[[#This Row],[Cell_ID]],'registe maintenance'!A:D,4,FALSE)," non répertoriées")</f>
        <v xml:space="preserve"> non répertoriées</v>
      </c>
      <c r="H680" t="str">
        <f>IFERROR(VLOOKUP(logos[[#This Row],[Cell_ID]],'registe maintenance'!A:E,5,FALSE)," non répertoriées")</f>
        <v xml:space="preserve"> non répertoriées</v>
      </c>
      <c r="I680" t="str">
        <f>IFERROR(VLOOKUP(logos[[#This Row],[Cell_ID]],'registe maintenance'!A:F,6,FALSE)," non répertoriées")</f>
        <v xml:space="preserve"> non répertoriées</v>
      </c>
      <c r="J680">
        <f>IFERROR(VLOOKUP(B680,'logos transformer '!A:B,2,FALSE),"na")</f>
        <v>3</v>
      </c>
      <c r="K680">
        <f>IFERROR(VLOOKUP(B680,'logos transformer '!A:C,3,FALSE),"na")</f>
        <v>195</v>
      </c>
      <c r="L680" s="1">
        <f>IFERROR(VLOOKUP(B680,'logos transformer '!A:D,4,FALSE),"na")</f>
        <v>45206.366666666669</v>
      </c>
    </row>
    <row r="681" spans="1:12" x14ac:dyDescent="0.3">
      <c r="A681" s="1">
        <v>45222.10833333333</v>
      </c>
      <c r="B681" t="s">
        <v>493</v>
      </c>
      <c r="C681">
        <v>88</v>
      </c>
      <c r="D681" t="s">
        <v>10</v>
      </c>
      <c r="E681" t="str">
        <f>IFERROR(VLOOKUP(logos[[#This Row],[Cell_ID]],'registe maintenance'!A:B,2,FALSE)," non répertoriées")</f>
        <v xml:space="preserve"> non répertoriées</v>
      </c>
      <c r="F681" t="str">
        <f>IFERROR(VLOOKUP(logos[[#This Row],[Cell_ID]],'registe maintenance'!A:C,3,FALSE)," non répertoriées")</f>
        <v xml:space="preserve"> non répertoriées</v>
      </c>
      <c r="G681" t="str">
        <f>IFERROR(VLOOKUP(logos[[#This Row],[Cell_ID]],'registe maintenance'!A:D,4,FALSE)," non répertoriées")</f>
        <v xml:space="preserve"> non répertoriées</v>
      </c>
      <c r="H681" t="str">
        <f>IFERROR(VLOOKUP(logos[[#This Row],[Cell_ID]],'registe maintenance'!A:E,5,FALSE)," non répertoriées")</f>
        <v xml:space="preserve"> non répertoriées</v>
      </c>
      <c r="I681" t="str">
        <f>IFERROR(VLOOKUP(logos[[#This Row],[Cell_ID]],'registe maintenance'!A:F,6,FALSE)," non répertoriées")</f>
        <v xml:space="preserve"> non répertoriées</v>
      </c>
      <c r="J681">
        <f>IFERROR(VLOOKUP(B681,'logos transformer '!A:B,2,FALSE),"na")</f>
        <v>1</v>
      </c>
      <c r="K681">
        <f>IFERROR(VLOOKUP(B681,'logos transformer '!A:C,3,FALSE),"na")</f>
        <v>88</v>
      </c>
      <c r="L681" s="1">
        <f>IFERROR(VLOOKUP(B681,'logos transformer '!A:D,4,FALSE),"na")</f>
        <v>45222.10833333333</v>
      </c>
    </row>
    <row r="682" spans="1:12" x14ac:dyDescent="0.3">
      <c r="A682" s="1">
        <v>45203.71597222222</v>
      </c>
      <c r="B682" t="s">
        <v>494</v>
      </c>
      <c r="C682">
        <v>68</v>
      </c>
      <c r="D682" t="s">
        <v>8</v>
      </c>
      <c r="E682" t="str">
        <f>IFERROR(VLOOKUP(logos[[#This Row],[Cell_ID]],'registe maintenance'!A:B,2,FALSE)," non répertoriées")</f>
        <v>Nord-Kivu</v>
      </c>
      <c r="F682">
        <f>IFERROR(VLOOKUP(logos[[#This Row],[Cell_ID]],'registe maintenance'!A:C,3,FALSE)," non répertoriées")</f>
        <v>-7.9866700000000002</v>
      </c>
      <c r="G682">
        <f>IFERROR(VLOOKUP(logos[[#This Row],[Cell_ID]],'registe maintenance'!A:D,4,FALSE)," non répertoriées")</f>
        <v>17.757847000000002</v>
      </c>
      <c r="H682" t="str">
        <f>IFERROR(VLOOKUP(logos[[#This Row],[Cell_ID]],'registe maintenance'!A:E,5,FALSE)," non répertoriées")</f>
        <v>5G</v>
      </c>
      <c r="I682" t="str">
        <f>IFERROR(VLOOKUP(logos[[#This Row],[Cell_ID]],'registe maintenance'!A:F,6,FALSE)," non répertoriées")</f>
        <v>Huawei</v>
      </c>
      <c r="J682">
        <f>IFERROR(VLOOKUP(B682,'logos transformer '!A:B,2,FALSE),"na")</f>
        <v>1</v>
      </c>
      <c r="K682">
        <f>IFERROR(VLOOKUP(B682,'logos transformer '!A:C,3,FALSE),"na")</f>
        <v>68</v>
      </c>
      <c r="L682" s="1">
        <f>IFERROR(VLOOKUP(B682,'logos transformer '!A:D,4,FALSE),"na")</f>
        <v>45203.71597222222</v>
      </c>
    </row>
    <row r="683" spans="1:12" x14ac:dyDescent="0.3">
      <c r="A683" s="1">
        <v>45211.425000000003</v>
      </c>
      <c r="B683" t="s">
        <v>168</v>
      </c>
      <c r="C683">
        <v>57</v>
      </c>
      <c r="D683" t="s">
        <v>8</v>
      </c>
      <c r="E683" t="str">
        <f>IFERROR(VLOOKUP(logos[[#This Row],[Cell_ID]],'registe maintenance'!A:B,2,FALSE)," non répertoriées")</f>
        <v>Tshopo</v>
      </c>
      <c r="F683">
        <f>IFERROR(VLOOKUP(logos[[#This Row],[Cell_ID]],'registe maintenance'!A:C,3,FALSE)," non répertoriées")</f>
        <v>-4.5603610000000003</v>
      </c>
      <c r="G683">
        <f>IFERROR(VLOOKUP(logos[[#This Row],[Cell_ID]],'registe maintenance'!A:D,4,FALSE)," non répertoriées")</f>
        <v>24.113918999999999</v>
      </c>
      <c r="H683" t="str">
        <f>IFERROR(VLOOKUP(logos[[#This Row],[Cell_ID]],'registe maintenance'!A:E,5,FALSE)," non répertoriées")</f>
        <v>5G</v>
      </c>
      <c r="I683" t="str">
        <f>IFERROR(VLOOKUP(logos[[#This Row],[Cell_ID]],'registe maintenance'!A:F,6,FALSE)," non répertoriées")</f>
        <v>ZTE</v>
      </c>
      <c r="J683">
        <f>IFERROR(VLOOKUP(B683,'logos transformer '!A:B,2,FALSE),"na")</f>
        <v>2</v>
      </c>
      <c r="K683">
        <f>IFERROR(VLOOKUP(B683,'logos transformer '!A:C,3,FALSE),"na")</f>
        <v>107</v>
      </c>
      <c r="L683" s="1">
        <f>IFERROR(VLOOKUP(B683,'logos transformer '!A:D,4,FALSE),"na")</f>
        <v>45227.577777777777</v>
      </c>
    </row>
    <row r="684" spans="1:12" x14ac:dyDescent="0.3">
      <c r="A684" s="1">
        <v>45214.136111111111</v>
      </c>
      <c r="B684" t="s">
        <v>495</v>
      </c>
      <c r="C684">
        <v>92</v>
      </c>
      <c r="D684" t="s">
        <v>5</v>
      </c>
      <c r="E684" t="str">
        <f>IFERROR(VLOOKUP(logos[[#This Row],[Cell_ID]],'registe maintenance'!A:B,2,FALSE)," non répertoriées")</f>
        <v xml:space="preserve"> non répertoriées</v>
      </c>
      <c r="F684" t="str">
        <f>IFERROR(VLOOKUP(logos[[#This Row],[Cell_ID]],'registe maintenance'!A:C,3,FALSE)," non répertoriées")</f>
        <v xml:space="preserve"> non répertoriées</v>
      </c>
      <c r="G684" t="str">
        <f>IFERROR(VLOOKUP(logos[[#This Row],[Cell_ID]],'registe maintenance'!A:D,4,FALSE)," non répertoriées")</f>
        <v xml:space="preserve"> non répertoriées</v>
      </c>
      <c r="H684" t="str">
        <f>IFERROR(VLOOKUP(logos[[#This Row],[Cell_ID]],'registe maintenance'!A:E,5,FALSE)," non répertoriées")</f>
        <v xml:space="preserve"> non répertoriées</v>
      </c>
      <c r="I684" t="str">
        <f>IFERROR(VLOOKUP(logos[[#This Row],[Cell_ID]],'registe maintenance'!A:F,6,FALSE)," non répertoriées")</f>
        <v xml:space="preserve"> non répertoriées</v>
      </c>
      <c r="J684">
        <f>IFERROR(VLOOKUP(B684,'logos transformer '!A:B,2,FALSE),"na")</f>
        <v>2</v>
      </c>
      <c r="K684">
        <f>IFERROR(VLOOKUP(B684,'logos transformer '!A:C,3,FALSE),"na")</f>
        <v>123</v>
      </c>
      <c r="L684" s="1">
        <f>IFERROR(VLOOKUP(B684,'logos transformer '!A:D,4,FALSE),"na")</f>
        <v>45219.821527777778</v>
      </c>
    </row>
    <row r="685" spans="1:12" x14ac:dyDescent="0.3">
      <c r="A685" s="1">
        <v>45221.647916666669</v>
      </c>
      <c r="B685" t="s">
        <v>496</v>
      </c>
      <c r="C685">
        <v>67</v>
      </c>
      <c r="D685" t="s">
        <v>5</v>
      </c>
      <c r="E685" t="str">
        <f>IFERROR(VLOOKUP(logos[[#This Row],[Cell_ID]],'registe maintenance'!A:B,2,FALSE)," non répertoriées")</f>
        <v>Haut-Uele</v>
      </c>
      <c r="F685">
        <f>IFERROR(VLOOKUP(logos[[#This Row],[Cell_ID]],'registe maintenance'!A:C,3,FALSE)," non répertoriées")</f>
        <v>-11.924048000000001</v>
      </c>
      <c r="G685">
        <f>IFERROR(VLOOKUP(logos[[#This Row],[Cell_ID]],'registe maintenance'!A:D,4,FALSE)," non répertoriées")</f>
        <v>24.177174999999998</v>
      </c>
      <c r="H685" t="str">
        <f>IFERROR(VLOOKUP(logos[[#This Row],[Cell_ID]],'registe maintenance'!A:E,5,FALSE)," non répertoriées")</f>
        <v>3G</v>
      </c>
      <c r="I685" t="str">
        <f>IFERROR(VLOOKUP(logos[[#This Row],[Cell_ID]],'registe maintenance'!A:F,6,FALSE)," non répertoriées")</f>
        <v>Nokia</v>
      </c>
      <c r="J685">
        <f>IFERROR(VLOOKUP(B685,'logos transformer '!A:B,2,FALSE),"na")</f>
        <v>1</v>
      </c>
      <c r="K685">
        <f>IFERROR(VLOOKUP(B685,'logos transformer '!A:C,3,FALSE),"na")</f>
        <v>67</v>
      </c>
      <c r="L685" s="1">
        <f>IFERROR(VLOOKUP(B685,'logos transformer '!A:D,4,FALSE),"na")</f>
        <v>45221.647916666669</v>
      </c>
    </row>
    <row r="686" spans="1:12" x14ac:dyDescent="0.3">
      <c r="A686" s="1">
        <v>45230.847222222219</v>
      </c>
      <c r="B686" t="s">
        <v>63</v>
      </c>
      <c r="C686">
        <v>58</v>
      </c>
      <c r="D686" t="s">
        <v>10</v>
      </c>
      <c r="E686" t="str">
        <f>IFERROR(VLOOKUP(logos[[#This Row],[Cell_ID]],'registe maintenance'!A:B,2,FALSE)," non répertoriées")</f>
        <v>Kwilu</v>
      </c>
      <c r="F686">
        <f>IFERROR(VLOOKUP(logos[[#This Row],[Cell_ID]],'registe maintenance'!A:C,3,FALSE)," non répertoriées")</f>
        <v>-5.9021970000000001</v>
      </c>
      <c r="G686">
        <f>IFERROR(VLOOKUP(logos[[#This Row],[Cell_ID]],'registe maintenance'!A:D,4,FALSE)," non répertoriées")</f>
        <v>20.551169999999999</v>
      </c>
      <c r="H686" t="str">
        <f>IFERROR(VLOOKUP(logos[[#This Row],[Cell_ID]],'registe maintenance'!A:E,5,FALSE)," non répertoriées")</f>
        <v>3G</v>
      </c>
      <c r="I686" t="str">
        <f>IFERROR(VLOOKUP(logos[[#This Row],[Cell_ID]],'registe maintenance'!A:F,6,FALSE)," non répertoriées")</f>
        <v>Huawei</v>
      </c>
      <c r="J686">
        <f>IFERROR(VLOOKUP(B686,'logos transformer '!A:B,2,FALSE),"na")</f>
        <v>2</v>
      </c>
      <c r="K686">
        <f>IFERROR(VLOOKUP(B686,'logos transformer '!A:C,3,FALSE),"na")</f>
        <v>99</v>
      </c>
      <c r="L686" s="1">
        <f>IFERROR(VLOOKUP(B686,'logos transformer '!A:D,4,FALSE),"na")</f>
        <v>45230.847222222219</v>
      </c>
    </row>
    <row r="687" spans="1:12" x14ac:dyDescent="0.3">
      <c r="A687" s="1">
        <v>45219.527083333327</v>
      </c>
      <c r="B687" t="s">
        <v>402</v>
      </c>
      <c r="C687">
        <v>95</v>
      </c>
      <c r="D687" t="s">
        <v>5</v>
      </c>
      <c r="E687" t="str">
        <f>IFERROR(VLOOKUP(logos[[#This Row],[Cell_ID]],'registe maintenance'!A:B,2,FALSE)," non répertoriées")</f>
        <v>Haut-Uele</v>
      </c>
      <c r="F687">
        <f>IFERROR(VLOOKUP(logos[[#This Row],[Cell_ID]],'registe maintenance'!A:C,3,FALSE)," non répertoriées")</f>
        <v>-7.1483749999999997</v>
      </c>
      <c r="G687">
        <f>IFERROR(VLOOKUP(logos[[#This Row],[Cell_ID]],'registe maintenance'!A:D,4,FALSE)," non répertoriées")</f>
        <v>26.014271000000001</v>
      </c>
      <c r="H687" t="str">
        <f>IFERROR(VLOOKUP(logos[[#This Row],[Cell_ID]],'registe maintenance'!A:E,5,FALSE)," non répertoriées")</f>
        <v>5G</v>
      </c>
      <c r="I687" t="str">
        <f>IFERROR(VLOOKUP(logos[[#This Row],[Cell_ID]],'registe maintenance'!A:F,6,FALSE)," non répertoriées")</f>
        <v>Huawei</v>
      </c>
      <c r="J687">
        <f>IFERROR(VLOOKUP(B687,'logos transformer '!A:B,2,FALSE),"na")</f>
        <v>3</v>
      </c>
      <c r="K687">
        <f>IFERROR(VLOOKUP(B687,'logos transformer '!A:C,3,FALSE),"na")</f>
        <v>291</v>
      </c>
      <c r="L687" s="1">
        <f>IFERROR(VLOOKUP(B687,'logos transformer '!A:D,4,FALSE),"na")</f>
        <v>45219.527083333334</v>
      </c>
    </row>
    <row r="688" spans="1:12" x14ac:dyDescent="0.3">
      <c r="A688" s="1">
        <v>45212.754861111112</v>
      </c>
      <c r="B688" t="s">
        <v>118</v>
      </c>
      <c r="C688">
        <v>112</v>
      </c>
      <c r="D688" t="s">
        <v>10</v>
      </c>
      <c r="E688" t="str">
        <f>IFERROR(VLOOKUP(logos[[#This Row],[Cell_ID]],'registe maintenance'!A:B,2,FALSE)," non répertoriées")</f>
        <v>Kwilu</v>
      </c>
      <c r="F688">
        <f>IFERROR(VLOOKUP(logos[[#This Row],[Cell_ID]],'registe maintenance'!A:C,3,FALSE)," non répertoriées")</f>
        <v>2.4741019999999998</v>
      </c>
      <c r="G688">
        <f>IFERROR(VLOOKUP(logos[[#This Row],[Cell_ID]],'registe maintenance'!A:D,4,FALSE)," non répertoriées")</f>
        <v>29.297391000000001</v>
      </c>
      <c r="H688" t="str">
        <f>IFERROR(VLOOKUP(logos[[#This Row],[Cell_ID]],'registe maintenance'!A:E,5,FALSE)," non répertoriées")</f>
        <v>4G</v>
      </c>
      <c r="I688" t="str">
        <f>IFERROR(VLOOKUP(logos[[#This Row],[Cell_ID]],'registe maintenance'!A:F,6,FALSE)," non répertoriées")</f>
        <v>Ericsson</v>
      </c>
      <c r="J688">
        <f>IFERROR(VLOOKUP(B688,'logos transformer '!A:B,2,FALSE),"na")</f>
        <v>3</v>
      </c>
      <c r="K688">
        <f>IFERROR(VLOOKUP(B688,'logos transformer '!A:C,3,FALSE),"na")</f>
        <v>217</v>
      </c>
      <c r="L688" s="1">
        <f>IFERROR(VLOOKUP(B688,'logos transformer '!A:D,4,FALSE),"na")</f>
        <v>45221.167361111111</v>
      </c>
    </row>
    <row r="689" spans="1:12" x14ac:dyDescent="0.3">
      <c r="A689" s="1">
        <v>45211.495833333327</v>
      </c>
      <c r="B689" t="s">
        <v>119</v>
      </c>
      <c r="C689">
        <v>61</v>
      </c>
      <c r="D689" t="s">
        <v>8</v>
      </c>
      <c r="E689" t="str">
        <f>IFERROR(VLOOKUP(logos[[#This Row],[Cell_ID]],'registe maintenance'!A:B,2,FALSE)," non répertoriées")</f>
        <v xml:space="preserve"> non répertoriées</v>
      </c>
      <c r="F689" t="str">
        <f>IFERROR(VLOOKUP(logos[[#This Row],[Cell_ID]],'registe maintenance'!A:C,3,FALSE)," non répertoriées")</f>
        <v xml:space="preserve"> non répertoriées</v>
      </c>
      <c r="G689" t="str">
        <f>IFERROR(VLOOKUP(logos[[#This Row],[Cell_ID]],'registe maintenance'!A:D,4,FALSE)," non répertoriées")</f>
        <v xml:space="preserve"> non répertoriées</v>
      </c>
      <c r="H689" t="str">
        <f>IFERROR(VLOOKUP(logos[[#This Row],[Cell_ID]],'registe maintenance'!A:E,5,FALSE)," non répertoriées")</f>
        <v xml:space="preserve"> non répertoriées</v>
      </c>
      <c r="I689" t="str">
        <f>IFERROR(VLOOKUP(logos[[#This Row],[Cell_ID]],'registe maintenance'!A:F,6,FALSE)," non répertoriées")</f>
        <v xml:space="preserve"> non répertoriées</v>
      </c>
      <c r="J689">
        <f>IFERROR(VLOOKUP(B689,'logos transformer '!A:B,2,FALSE),"na")</f>
        <v>4</v>
      </c>
      <c r="K689">
        <f>IFERROR(VLOOKUP(B689,'logos transformer '!A:C,3,FALSE),"na")</f>
        <v>329</v>
      </c>
      <c r="L689" s="1">
        <f>IFERROR(VLOOKUP(B689,'logos transformer '!A:D,4,FALSE),"na")</f>
        <v>45226.013194444444</v>
      </c>
    </row>
    <row r="690" spans="1:12" x14ac:dyDescent="0.3">
      <c r="A690" s="1">
        <v>45214.799305555563</v>
      </c>
      <c r="B690" t="s">
        <v>497</v>
      </c>
      <c r="C690">
        <v>67</v>
      </c>
      <c r="D690" t="s">
        <v>5</v>
      </c>
      <c r="E690" t="str">
        <f>IFERROR(VLOOKUP(logos[[#This Row],[Cell_ID]],'registe maintenance'!A:B,2,FALSE)," non répertoriées")</f>
        <v xml:space="preserve"> non répertoriées</v>
      </c>
      <c r="F690" t="str">
        <f>IFERROR(VLOOKUP(logos[[#This Row],[Cell_ID]],'registe maintenance'!A:C,3,FALSE)," non répertoriées")</f>
        <v xml:space="preserve"> non répertoriées</v>
      </c>
      <c r="G690" t="str">
        <f>IFERROR(VLOOKUP(logos[[#This Row],[Cell_ID]],'registe maintenance'!A:D,4,FALSE)," non répertoriées")</f>
        <v xml:space="preserve"> non répertoriées</v>
      </c>
      <c r="H690" t="str">
        <f>IFERROR(VLOOKUP(logos[[#This Row],[Cell_ID]],'registe maintenance'!A:E,5,FALSE)," non répertoriées")</f>
        <v xml:space="preserve"> non répertoriées</v>
      </c>
      <c r="I690" t="str">
        <f>IFERROR(VLOOKUP(logos[[#This Row],[Cell_ID]],'registe maintenance'!A:F,6,FALSE)," non répertoriées")</f>
        <v xml:space="preserve"> non répertoriées</v>
      </c>
      <c r="J690">
        <f>IFERROR(VLOOKUP(B690,'logos transformer '!A:B,2,FALSE),"na")</f>
        <v>1</v>
      </c>
      <c r="K690">
        <f>IFERROR(VLOOKUP(B690,'logos transformer '!A:C,3,FALSE),"na")</f>
        <v>67</v>
      </c>
      <c r="L690" s="1">
        <f>IFERROR(VLOOKUP(B690,'logos transformer '!A:D,4,FALSE),"na")</f>
        <v>45214.799305555556</v>
      </c>
    </row>
    <row r="691" spans="1:12" x14ac:dyDescent="0.3">
      <c r="A691" s="1">
        <v>45226.90625</v>
      </c>
      <c r="B691" t="s">
        <v>314</v>
      </c>
      <c r="C691">
        <v>26</v>
      </c>
      <c r="D691" t="s">
        <v>8</v>
      </c>
      <c r="E691" t="str">
        <f>IFERROR(VLOOKUP(logos[[#This Row],[Cell_ID]],'registe maintenance'!A:B,2,FALSE)," non répertoriées")</f>
        <v xml:space="preserve"> non répertoriées</v>
      </c>
      <c r="F691" t="str">
        <f>IFERROR(VLOOKUP(logos[[#This Row],[Cell_ID]],'registe maintenance'!A:C,3,FALSE)," non répertoriées")</f>
        <v xml:space="preserve"> non répertoriées</v>
      </c>
      <c r="G691" t="str">
        <f>IFERROR(VLOOKUP(logos[[#This Row],[Cell_ID]],'registe maintenance'!A:D,4,FALSE)," non répertoriées")</f>
        <v xml:space="preserve"> non répertoriées</v>
      </c>
      <c r="H691" t="str">
        <f>IFERROR(VLOOKUP(logos[[#This Row],[Cell_ID]],'registe maintenance'!A:E,5,FALSE)," non répertoriées")</f>
        <v xml:space="preserve"> non répertoriées</v>
      </c>
      <c r="I691" t="str">
        <f>IFERROR(VLOOKUP(logos[[#This Row],[Cell_ID]],'registe maintenance'!A:F,6,FALSE)," non répertoriées")</f>
        <v xml:space="preserve"> non répertoriées</v>
      </c>
      <c r="J691">
        <f>IFERROR(VLOOKUP(B691,'logos transformer '!A:B,2,FALSE),"na")</f>
        <v>2</v>
      </c>
      <c r="K691">
        <f>IFERROR(VLOOKUP(B691,'logos transformer '!A:C,3,FALSE),"na")</f>
        <v>61</v>
      </c>
      <c r="L691" s="1">
        <f>IFERROR(VLOOKUP(B691,'logos transformer '!A:D,4,FALSE),"na")</f>
        <v>45226.90625</v>
      </c>
    </row>
    <row r="692" spans="1:12" x14ac:dyDescent="0.3">
      <c r="A692" s="1">
        <v>45225.415277777778</v>
      </c>
      <c r="B692" t="s">
        <v>498</v>
      </c>
      <c r="C692">
        <v>15</v>
      </c>
      <c r="D692" t="s">
        <v>5</v>
      </c>
      <c r="E692" t="str">
        <f>IFERROR(VLOOKUP(logos[[#This Row],[Cell_ID]],'registe maintenance'!A:B,2,FALSE)," non répertoriées")</f>
        <v xml:space="preserve"> non répertoriées</v>
      </c>
      <c r="F692" t="str">
        <f>IFERROR(VLOOKUP(logos[[#This Row],[Cell_ID]],'registe maintenance'!A:C,3,FALSE)," non répertoriées")</f>
        <v xml:space="preserve"> non répertoriées</v>
      </c>
      <c r="G692" t="str">
        <f>IFERROR(VLOOKUP(logos[[#This Row],[Cell_ID]],'registe maintenance'!A:D,4,FALSE)," non répertoriées")</f>
        <v xml:space="preserve"> non répertoriées</v>
      </c>
      <c r="H692" t="str">
        <f>IFERROR(VLOOKUP(logos[[#This Row],[Cell_ID]],'registe maintenance'!A:E,5,FALSE)," non répertoriées")</f>
        <v xml:space="preserve"> non répertoriées</v>
      </c>
      <c r="I692" t="str">
        <f>IFERROR(VLOOKUP(logos[[#This Row],[Cell_ID]],'registe maintenance'!A:F,6,FALSE)," non répertoriées")</f>
        <v xml:space="preserve"> non répertoriées</v>
      </c>
      <c r="J692">
        <f>IFERROR(VLOOKUP(B692,'logos transformer '!A:B,2,FALSE),"na")</f>
        <v>1</v>
      </c>
      <c r="K692">
        <f>IFERROR(VLOOKUP(B692,'logos transformer '!A:C,3,FALSE),"na")</f>
        <v>15</v>
      </c>
      <c r="L692" s="1">
        <f>IFERROR(VLOOKUP(B692,'logos transformer '!A:D,4,FALSE),"na")</f>
        <v>45225.415277777778</v>
      </c>
    </row>
    <row r="693" spans="1:12" x14ac:dyDescent="0.3">
      <c r="A693" s="1">
        <v>45219.753472222219</v>
      </c>
      <c r="B693" t="s">
        <v>116</v>
      </c>
      <c r="C693">
        <v>77</v>
      </c>
      <c r="D693" t="s">
        <v>5</v>
      </c>
      <c r="E693" t="str">
        <f>IFERROR(VLOOKUP(logos[[#This Row],[Cell_ID]],'registe maintenance'!A:B,2,FALSE)," non répertoriées")</f>
        <v xml:space="preserve"> non répertoriées</v>
      </c>
      <c r="F693" t="str">
        <f>IFERROR(VLOOKUP(logos[[#This Row],[Cell_ID]],'registe maintenance'!A:C,3,FALSE)," non répertoriées")</f>
        <v xml:space="preserve"> non répertoriées</v>
      </c>
      <c r="G693" t="str">
        <f>IFERROR(VLOOKUP(logos[[#This Row],[Cell_ID]],'registe maintenance'!A:D,4,FALSE)," non répertoriées")</f>
        <v xml:space="preserve"> non répertoriées</v>
      </c>
      <c r="H693" t="str">
        <f>IFERROR(VLOOKUP(logos[[#This Row],[Cell_ID]],'registe maintenance'!A:E,5,FALSE)," non répertoriées")</f>
        <v xml:space="preserve"> non répertoriées</v>
      </c>
      <c r="I693" t="str">
        <f>IFERROR(VLOOKUP(logos[[#This Row],[Cell_ID]],'registe maintenance'!A:F,6,FALSE)," non répertoriées")</f>
        <v xml:space="preserve"> non répertoriées</v>
      </c>
      <c r="J693">
        <f>IFERROR(VLOOKUP(B693,'logos transformer '!A:B,2,FALSE),"na")</f>
        <v>3</v>
      </c>
      <c r="K693">
        <f>IFERROR(VLOOKUP(B693,'logos transformer '!A:C,3,FALSE),"na")</f>
        <v>221</v>
      </c>
      <c r="L693" s="1">
        <f>IFERROR(VLOOKUP(B693,'logos transformer '!A:D,4,FALSE),"na")</f>
        <v>45222.107638888891</v>
      </c>
    </row>
    <row r="694" spans="1:12" x14ac:dyDescent="0.3">
      <c r="A694" s="1">
        <v>45221.180555555547</v>
      </c>
      <c r="B694" t="s">
        <v>13</v>
      </c>
      <c r="C694">
        <v>8</v>
      </c>
      <c r="D694" t="s">
        <v>5</v>
      </c>
      <c r="E694" t="str">
        <f>IFERROR(VLOOKUP(logos[[#This Row],[Cell_ID]],'registe maintenance'!A:B,2,FALSE)," non répertoriées")</f>
        <v>Kasai-Central</v>
      </c>
      <c r="F694">
        <f>IFERROR(VLOOKUP(logos[[#This Row],[Cell_ID]],'registe maintenance'!A:C,3,FALSE)," non répertoriées")</f>
        <v>-1.648264</v>
      </c>
      <c r="G694">
        <f>IFERROR(VLOOKUP(logos[[#This Row],[Cell_ID]],'registe maintenance'!A:D,4,FALSE)," non répertoriées")</f>
        <v>28.866143999999998</v>
      </c>
      <c r="H694" t="str">
        <f>IFERROR(VLOOKUP(logos[[#This Row],[Cell_ID]],'registe maintenance'!A:E,5,FALSE)," non répertoriées")</f>
        <v>5G</v>
      </c>
      <c r="I694" t="str">
        <f>IFERROR(VLOOKUP(logos[[#This Row],[Cell_ID]],'registe maintenance'!A:F,6,FALSE)," non répertoriées")</f>
        <v>Ericsson</v>
      </c>
      <c r="J694">
        <f>IFERROR(VLOOKUP(B694,'logos transformer '!A:B,2,FALSE),"na")</f>
        <v>2</v>
      </c>
      <c r="K694">
        <f>IFERROR(VLOOKUP(B694,'logos transformer '!A:C,3,FALSE),"na")</f>
        <v>87</v>
      </c>
      <c r="L694" s="1">
        <f>IFERROR(VLOOKUP(B694,'logos transformer '!A:D,4,FALSE),"na")</f>
        <v>45221.180555555555</v>
      </c>
    </row>
    <row r="695" spans="1:12" x14ac:dyDescent="0.3">
      <c r="A695" s="1">
        <v>45203.304861111108</v>
      </c>
      <c r="B695" t="s">
        <v>404</v>
      </c>
      <c r="C695">
        <v>106</v>
      </c>
      <c r="D695" t="s">
        <v>8</v>
      </c>
      <c r="E695" t="str">
        <f>IFERROR(VLOOKUP(logos[[#This Row],[Cell_ID]],'registe maintenance'!A:B,2,FALSE)," non répertoriées")</f>
        <v>Tanganyika</v>
      </c>
      <c r="F695">
        <f>IFERROR(VLOOKUP(logos[[#This Row],[Cell_ID]],'registe maintenance'!A:C,3,FALSE)," non répertoriées")</f>
        <v>-11.793894</v>
      </c>
      <c r="G695">
        <f>IFERROR(VLOOKUP(logos[[#This Row],[Cell_ID]],'registe maintenance'!A:D,4,FALSE)," non répertoriées")</f>
        <v>20.433340999999999</v>
      </c>
      <c r="H695" t="str">
        <f>IFERROR(VLOOKUP(logos[[#This Row],[Cell_ID]],'registe maintenance'!A:E,5,FALSE)," non répertoriées")</f>
        <v>5G</v>
      </c>
      <c r="I695" t="str">
        <f>IFERROR(VLOOKUP(logos[[#This Row],[Cell_ID]],'registe maintenance'!A:F,6,FALSE)," non répertoriées")</f>
        <v>Nokia</v>
      </c>
      <c r="J695">
        <f>IFERROR(VLOOKUP(B695,'logos transformer '!A:B,2,FALSE),"na")</f>
        <v>2</v>
      </c>
      <c r="K695">
        <f>IFERROR(VLOOKUP(B695,'logos transformer '!A:C,3,FALSE),"na")</f>
        <v>206</v>
      </c>
      <c r="L695" s="1">
        <f>IFERROR(VLOOKUP(B695,'logos transformer '!A:D,4,FALSE),"na")</f>
        <v>45215.457638888889</v>
      </c>
    </row>
    <row r="696" spans="1:12" x14ac:dyDescent="0.3">
      <c r="A696" s="1">
        <v>45203.224305555559</v>
      </c>
      <c r="B696" t="s">
        <v>114</v>
      </c>
      <c r="C696">
        <v>102</v>
      </c>
      <c r="D696" t="s">
        <v>10</v>
      </c>
      <c r="E696" t="str">
        <f>IFERROR(VLOOKUP(logos[[#This Row],[Cell_ID]],'registe maintenance'!A:B,2,FALSE)," non répertoriées")</f>
        <v>Sud-Kivu</v>
      </c>
      <c r="F696">
        <f>IFERROR(VLOOKUP(logos[[#This Row],[Cell_ID]],'registe maintenance'!A:C,3,FALSE)," non répertoriées")</f>
        <v>-9.4702129999999993</v>
      </c>
      <c r="G696">
        <f>IFERROR(VLOOKUP(logos[[#This Row],[Cell_ID]],'registe maintenance'!A:D,4,FALSE)," non répertoriées")</f>
        <v>12.826158</v>
      </c>
      <c r="H696" t="str">
        <f>IFERROR(VLOOKUP(logos[[#This Row],[Cell_ID]],'registe maintenance'!A:E,5,FALSE)," non répertoriées")</f>
        <v>3G</v>
      </c>
      <c r="I696" t="str">
        <f>IFERROR(VLOOKUP(logos[[#This Row],[Cell_ID]],'registe maintenance'!A:F,6,FALSE)," non répertoriées")</f>
        <v>Ericsson</v>
      </c>
      <c r="J696">
        <f>IFERROR(VLOOKUP(B696,'logos transformer '!A:B,2,FALSE),"na")</f>
        <v>3</v>
      </c>
      <c r="K696">
        <f>IFERROR(VLOOKUP(B696,'logos transformer '!A:C,3,FALSE),"na")</f>
        <v>164</v>
      </c>
      <c r="L696" s="1">
        <f>IFERROR(VLOOKUP(B696,'logos transformer '!A:D,4,FALSE),"na")</f>
        <v>45218.007638888892</v>
      </c>
    </row>
    <row r="697" spans="1:12" x14ac:dyDescent="0.3">
      <c r="A697" s="1">
        <v>45222.188888888893</v>
      </c>
      <c r="B697" t="s">
        <v>306</v>
      </c>
      <c r="C697">
        <v>33</v>
      </c>
      <c r="D697" t="s">
        <v>5</v>
      </c>
      <c r="E697" t="str">
        <f>IFERROR(VLOOKUP(logos[[#This Row],[Cell_ID]],'registe maintenance'!A:B,2,FALSE)," non répertoriées")</f>
        <v>Mongala</v>
      </c>
      <c r="F697">
        <f>IFERROR(VLOOKUP(logos[[#This Row],[Cell_ID]],'registe maintenance'!A:C,3,FALSE)," non répertoriées")</f>
        <v>-5.3762689999999997</v>
      </c>
      <c r="G697">
        <f>IFERROR(VLOOKUP(logos[[#This Row],[Cell_ID]],'registe maintenance'!A:D,4,FALSE)," non répertoriées")</f>
        <v>28.189575999999999</v>
      </c>
      <c r="H697" t="str">
        <f>IFERROR(VLOOKUP(logos[[#This Row],[Cell_ID]],'registe maintenance'!A:E,5,FALSE)," non répertoriées")</f>
        <v>5G</v>
      </c>
      <c r="I697" t="str">
        <f>IFERROR(VLOOKUP(logos[[#This Row],[Cell_ID]],'registe maintenance'!A:F,6,FALSE)," non répertoriées")</f>
        <v>Huawei</v>
      </c>
      <c r="J697">
        <f>IFERROR(VLOOKUP(B697,'logos transformer '!A:B,2,FALSE),"na")</f>
        <v>4</v>
      </c>
      <c r="K697">
        <f>IFERROR(VLOOKUP(B697,'logos transformer '!A:C,3,FALSE),"na")</f>
        <v>237</v>
      </c>
      <c r="L697" s="1">
        <f>IFERROR(VLOOKUP(B697,'logos transformer '!A:D,4,FALSE),"na")</f>
        <v>45223.759722222225</v>
      </c>
    </row>
    <row r="698" spans="1:12" x14ac:dyDescent="0.3">
      <c r="A698" s="1">
        <v>45212.568055555559</v>
      </c>
      <c r="B698" t="s">
        <v>499</v>
      </c>
      <c r="C698">
        <v>42</v>
      </c>
      <c r="D698" t="s">
        <v>8</v>
      </c>
      <c r="E698" t="str">
        <f>IFERROR(VLOOKUP(logos[[#This Row],[Cell_ID]],'registe maintenance'!A:B,2,FALSE)," non répertoriées")</f>
        <v>Kasai-Central</v>
      </c>
      <c r="F698">
        <f>IFERROR(VLOOKUP(logos[[#This Row],[Cell_ID]],'registe maintenance'!A:C,3,FALSE)," non répertoriées")</f>
        <v>-7.3379339999999997</v>
      </c>
      <c r="G698">
        <f>IFERROR(VLOOKUP(logos[[#This Row],[Cell_ID]],'registe maintenance'!A:D,4,FALSE)," non répertoriées")</f>
        <v>28.404001999999998</v>
      </c>
      <c r="H698" t="str">
        <f>IFERROR(VLOOKUP(logos[[#This Row],[Cell_ID]],'registe maintenance'!A:E,5,FALSE)," non répertoriées")</f>
        <v>3G</v>
      </c>
      <c r="I698" t="str">
        <f>IFERROR(VLOOKUP(logos[[#This Row],[Cell_ID]],'registe maintenance'!A:F,6,FALSE)," non répertoriées")</f>
        <v>Nokia</v>
      </c>
      <c r="J698">
        <f>IFERROR(VLOOKUP(B698,'logos transformer '!A:B,2,FALSE),"na")</f>
        <v>1</v>
      </c>
      <c r="K698">
        <f>IFERROR(VLOOKUP(B698,'logos transformer '!A:C,3,FALSE),"na")</f>
        <v>42</v>
      </c>
      <c r="L698" s="1">
        <f>IFERROR(VLOOKUP(B698,'logos transformer '!A:D,4,FALSE),"na")</f>
        <v>45212.568055555559</v>
      </c>
    </row>
    <row r="699" spans="1:12" x14ac:dyDescent="0.3">
      <c r="A699" s="1">
        <v>45204.76666666667</v>
      </c>
      <c r="B699" t="s">
        <v>500</v>
      </c>
      <c r="C699">
        <v>9</v>
      </c>
      <c r="D699" t="s">
        <v>10</v>
      </c>
      <c r="E699" t="str">
        <f>IFERROR(VLOOKUP(logos[[#This Row],[Cell_ID]],'registe maintenance'!A:B,2,FALSE)," non répertoriées")</f>
        <v>Kasai-Central</v>
      </c>
      <c r="F699">
        <f>IFERROR(VLOOKUP(logos[[#This Row],[Cell_ID]],'registe maintenance'!A:C,3,FALSE)," non répertoriées")</f>
        <v>-12.560556999999999</v>
      </c>
      <c r="G699">
        <f>IFERROR(VLOOKUP(logos[[#This Row],[Cell_ID]],'registe maintenance'!A:D,4,FALSE)," non répertoriées")</f>
        <v>13.204014000000001</v>
      </c>
      <c r="H699" t="str">
        <f>IFERROR(VLOOKUP(logos[[#This Row],[Cell_ID]],'registe maintenance'!A:E,5,FALSE)," non répertoriées")</f>
        <v>4G</v>
      </c>
      <c r="I699" t="str">
        <f>IFERROR(VLOOKUP(logos[[#This Row],[Cell_ID]],'registe maintenance'!A:F,6,FALSE)," non répertoriées")</f>
        <v>Ericsson</v>
      </c>
      <c r="J699">
        <f>IFERROR(VLOOKUP(B699,'logos transformer '!A:B,2,FALSE),"na")</f>
        <v>1</v>
      </c>
      <c r="K699">
        <f>IFERROR(VLOOKUP(B699,'logos transformer '!A:C,3,FALSE),"na")</f>
        <v>9</v>
      </c>
      <c r="L699" s="1">
        <f>IFERROR(VLOOKUP(B699,'logos transformer '!A:D,4,FALSE),"na")</f>
        <v>45204.76666666667</v>
      </c>
    </row>
    <row r="700" spans="1:12" x14ac:dyDescent="0.3">
      <c r="A700" s="1">
        <v>45202.868055555547</v>
      </c>
      <c r="B700" t="s">
        <v>208</v>
      </c>
      <c r="C700">
        <v>91</v>
      </c>
      <c r="D700" t="s">
        <v>8</v>
      </c>
      <c r="E700" t="str">
        <f>IFERROR(VLOOKUP(logos[[#This Row],[Cell_ID]],'registe maintenance'!A:B,2,FALSE)," non répertoriées")</f>
        <v xml:space="preserve"> non répertoriées</v>
      </c>
      <c r="F700" t="str">
        <f>IFERROR(VLOOKUP(logos[[#This Row],[Cell_ID]],'registe maintenance'!A:C,3,FALSE)," non répertoriées")</f>
        <v xml:space="preserve"> non répertoriées</v>
      </c>
      <c r="G700" t="str">
        <f>IFERROR(VLOOKUP(logos[[#This Row],[Cell_ID]],'registe maintenance'!A:D,4,FALSE)," non répertoriées")</f>
        <v xml:space="preserve"> non répertoriées</v>
      </c>
      <c r="H700" t="str">
        <f>IFERROR(VLOOKUP(logos[[#This Row],[Cell_ID]],'registe maintenance'!A:E,5,FALSE)," non répertoriées")</f>
        <v xml:space="preserve"> non répertoriées</v>
      </c>
      <c r="I700" t="str">
        <f>IFERROR(VLOOKUP(logos[[#This Row],[Cell_ID]],'registe maintenance'!A:F,6,FALSE)," non répertoriées")</f>
        <v xml:space="preserve"> non répertoriées</v>
      </c>
      <c r="J700">
        <f>IFERROR(VLOOKUP(B700,'logos transformer '!A:B,2,FALSE),"na")</f>
        <v>3</v>
      </c>
      <c r="K700">
        <f>IFERROR(VLOOKUP(B700,'logos transformer '!A:C,3,FALSE),"na")</f>
        <v>268</v>
      </c>
      <c r="L700" s="1">
        <f>IFERROR(VLOOKUP(B700,'logos transformer '!A:D,4,FALSE),"na")</f>
        <v>45218.242361111108</v>
      </c>
    </row>
    <row r="701" spans="1:12" x14ac:dyDescent="0.3">
      <c r="A701" s="1">
        <v>45228.100694444453</v>
      </c>
      <c r="B701" t="s">
        <v>253</v>
      </c>
      <c r="C701">
        <v>23</v>
      </c>
      <c r="D701" t="s">
        <v>10</v>
      </c>
      <c r="E701" t="str">
        <f>IFERROR(VLOOKUP(logos[[#This Row],[Cell_ID]],'registe maintenance'!A:B,2,FALSE)," non répertoriées")</f>
        <v xml:space="preserve"> non répertoriées</v>
      </c>
      <c r="F701" t="str">
        <f>IFERROR(VLOOKUP(logos[[#This Row],[Cell_ID]],'registe maintenance'!A:C,3,FALSE)," non répertoriées")</f>
        <v xml:space="preserve"> non répertoriées</v>
      </c>
      <c r="G701" t="str">
        <f>IFERROR(VLOOKUP(logos[[#This Row],[Cell_ID]],'registe maintenance'!A:D,4,FALSE)," non répertoriées")</f>
        <v xml:space="preserve"> non répertoriées</v>
      </c>
      <c r="H701" t="str">
        <f>IFERROR(VLOOKUP(logos[[#This Row],[Cell_ID]],'registe maintenance'!A:E,5,FALSE)," non répertoriées")</f>
        <v xml:space="preserve"> non répertoriées</v>
      </c>
      <c r="I701" t="str">
        <f>IFERROR(VLOOKUP(logos[[#This Row],[Cell_ID]],'registe maintenance'!A:F,6,FALSE)," non répertoriées")</f>
        <v xml:space="preserve"> non répertoriées</v>
      </c>
      <c r="J701">
        <f>IFERROR(VLOOKUP(B701,'logos transformer '!A:B,2,FALSE),"na")</f>
        <v>3</v>
      </c>
      <c r="K701">
        <f>IFERROR(VLOOKUP(B701,'logos transformer '!A:C,3,FALSE),"na")</f>
        <v>120</v>
      </c>
      <c r="L701" s="1">
        <f>IFERROR(VLOOKUP(B701,'logos transformer '!A:D,4,FALSE),"na")</f>
        <v>45228.100694444445</v>
      </c>
    </row>
    <row r="702" spans="1:12" x14ac:dyDescent="0.3">
      <c r="A702" s="1">
        <v>45216.970138888893</v>
      </c>
      <c r="B702" t="s">
        <v>322</v>
      </c>
      <c r="C702">
        <v>13</v>
      </c>
      <c r="D702" t="s">
        <v>10</v>
      </c>
      <c r="E702" t="str">
        <f>IFERROR(VLOOKUP(logos[[#This Row],[Cell_ID]],'registe maintenance'!A:B,2,FALSE)," non répertoriées")</f>
        <v>Bas-Uele</v>
      </c>
      <c r="F702">
        <f>IFERROR(VLOOKUP(logos[[#This Row],[Cell_ID]],'registe maintenance'!A:C,3,FALSE)," non répertoriées")</f>
        <v>-6.4197189999999997</v>
      </c>
      <c r="G702">
        <f>IFERROR(VLOOKUP(logos[[#This Row],[Cell_ID]],'registe maintenance'!A:D,4,FALSE)," non répertoriées")</f>
        <v>22.287264</v>
      </c>
      <c r="H702" t="str">
        <f>IFERROR(VLOOKUP(logos[[#This Row],[Cell_ID]],'registe maintenance'!A:E,5,FALSE)," non répertoriées")</f>
        <v>3G</v>
      </c>
      <c r="I702" t="str">
        <f>IFERROR(VLOOKUP(logos[[#This Row],[Cell_ID]],'registe maintenance'!A:F,6,FALSE)," non répertoriées")</f>
        <v>Ericsson</v>
      </c>
      <c r="J702">
        <f>IFERROR(VLOOKUP(B702,'logos transformer '!A:B,2,FALSE),"na")</f>
        <v>3</v>
      </c>
      <c r="K702">
        <f>IFERROR(VLOOKUP(B702,'logos transformer '!A:C,3,FALSE),"na")</f>
        <v>159</v>
      </c>
      <c r="L702" s="1">
        <f>IFERROR(VLOOKUP(B702,'logos transformer '!A:D,4,FALSE),"na")</f>
        <v>45216.970138888886</v>
      </c>
    </row>
    <row r="703" spans="1:12" x14ac:dyDescent="0.3">
      <c r="A703" s="1">
        <v>45222.478472222218</v>
      </c>
      <c r="B703" t="s">
        <v>32</v>
      </c>
      <c r="C703">
        <v>72</v>
      </c>
      <c r="D703" t="s">
        <v>8</v>
      </c>
      <c r="E703" t="str">
        <f>IFERROR(VLOOKUP(logos[[#This Row],[Cell_ID]],'registe maintenance'!A:B,2,FALSE)," non répertoriées")</f>
        <v xml:space="preserve"> non répertoriées</v>
      </c>
      <c r="F703" t="str">
        <f>IFERROR(VLOOKUP(logos[[#This Row],[Cell_ID]],'registe maintenance'!A:C,3,FALSE)," non répertoriées")</f>
        <v xml:space="preserve"> non répertoriées</v>
      </c>
      <c r="G703" t="str">
        <f>IFERROR(VLOOKUP(logos[[#This Row],[Cell_ID]],'registe maintenance'!A:D,4,FALSE)," non répertoriées")</f>
        <v xml:space="preserve"> non répertoriées</v>
      </c>
      <c r="H703" t="str">
        <f>IFERROR(VLOOKUP(logos[[#This Row],[Cell_ID]],'registe maintenance'!A:E,5,FALSE)," non répertoriées")</f>
        <v xml:space="preserve"> non répertoriées</v>
      </c>
      <c r="I703" t="str">
        <f>IFERROR(VLOOKUP(logos[[#This Row],[Cell_ID]],'registe maintenance'!A:F,6,FALSE)," non répertoriées")</f>
        <v xml:space="preserve"> non répertoriées</v>
      </c>
      <c r="J703">
        <f>IFERROR(VLOOKUP(B703,'logos transformer '!A:B,2,FALSE),"na")</f>
        <v>4</v>
      </c>
      <c r="K703">
        <f>IFERROR(VLOOKUP(B703,'logos transformer '!A:C,3,FALSE),"na")</f>
        <v>224</v>
      </c>
      <c r="L703" s="1">
        <f>IFERROR(VLOOKUP(B703,'logos transformer '!A:D,4,FALSE),"na")</f>
        <v>45227.329861111109</v>
      </c>
    </row>
    <row r="704" spans="1:12" x14ac:dyDescent="0.3">
      <c r="A704" s="1">
        <v>45230.638888888891</v>
      </c>
      <c r="B704" t="s">
        <v>501</v>
      </c>
      <c r="C704">
        <v>77</v>
      </c>
      <c r="D704" t="s">
        <v>8</v>
      </c>
      <c r="E704" t="str">
        <f>IFERROR(VLOOKUP(logos[[#This Row],[Cell_ID]],'registe maintenance'!A:B,2,FALSE)," non répertoriées")</f>
        <v>Kinshasa</v>
      </c>
      <c r="F704">
        <f>IFERROR(VLOOKUP(logos[[#This Row],[Cell_ID]],'registe maintenance'!A:C,3,FALSE)," non répertoriées")</f>
        <v>-0.57104900000000003</v>
      </c>
      <c r="G704">
        <f>IFERROR(VLOOKUP(logos[[#This Row],[Cell_ID]],'registe maintenance'!A:D,4,FALSE)," non répertoriées")</f>
        <v>15.317663</v>
      </c>
      <c r="H704" t="str">
        <f>IFERROR(VLOOKUP(logos[[#This Row],[Cell_ID]],'registe maintenance'!A:E,5,FALSE)," non répertoriées")</f>
        <v>5G</v>
      </c>
      <c r="I704" t="str">
        <f>IFERROR(VLOOKUP(logos[[#This Row],[Cell_ID]],'registe maintenance'!A:F,6,FALSE)," non répertoriées")</f>
        <v>Nokia</v>
      </c>
      <c r="J704">
        <f>IFERROR(VLOOKUP(B704,'logos transformer '!A:B,2,FALSE),"na")</f>
        <v>1</v>
      </c>
      <c r="K704">
        <f>IFERROR(VLOOKUP(B704,'logos transformer '!A:C,3,FALSE),"na")</f>
        <v>77</v>
      </c>
      <c r="L704" s="1">
        <f>IFERROR(VLOOKUP(B704,'logos transformer '!A:D,4,FALSE),"na")</f>
        <v>45230.638888888891</v>
      </c>
    </row>
    <row r="705" spans="1:12" x14ac:dyDescent="0.3">
      <c r="A705" s="1">
        <v>45218.038194444453</v>
      </c>
      <c r="B705" t="s">
        <v>81</v>
      </c>
      <c r="C705">
        <v>6</v>
      </c>
      <c r="D705" t="s">
        <v>5</v>
      </c>
      <c r="E705" t="str">
        <f>IFERROR(VLOOKUP(logos[[#This Row],[Cell_ID]],'registe maintenance'!A:B,2,FALSE)," non répertoriées")</f>
        <v>Kwango</v>
      </c>
      <c r="F705">
        <f>IFERROR(VLOOKUP(logos[[#This Row],[Cell_ID]],'registe maintenance'!A:C,3,FALSE)," non répertoriées")</f>
        <v>-9.7712979999999998</v>
      </c>
      <c r="G705">
        <f>IFERROR(VLOOKUP(logos[[#This Row],[Cell_ID]],'registe maintenance'!A:D,4,FALSE)," non répertoriées")</f>
        <v>19.827895999999999</v>
      </c>
      <c r="H705" t="str">
        <f>IFERROR(VLOOKUP(logos[[#This Row],[Cell_ID]],'registe maintenance'!A:E,5,FALSE)," non répertoriées")</f>
        <v>3G</v>
      </c>
      <c r="I705" t="str">
        <f>IFERROR(VLOOKUP(logos[[#This Row],[Cell_ID]],'registe maintenance'!A:F,6,FALSE)," non répertoriées")</f>
        <v>ZTE</v>
      </c>
      <c r="J705">
        <f>IFERROR(VLOOKUP(B705,'logos transformer '!A:B,2,FALSE),"na")</f>
        <v>3</v>
      </c>
      <c r="K705">
        <f>IFERROR(VLOOKUP(B705,'logos transformer '!A:C,3,FALSE),"na")</f>
        <v>139</v>
      </c>
      <c r="L705" s="1">
        <f>IFERROR(VLOOKUP(B705,'logos transformer '!A:D,4,FALSE),"na")</f>
        <v>45224.010416666664</v>
      </c>
    </row>
    <row r="706" spans="1:12" x14ac:dyDescent="0.3">
      <c r="A706" s="1">
        <v>45224.961805555547</v>
      </c>
      <c r="B706" t="s">
        <v>466</v>
      </c>
      <c r="C706">
        <v>83</v>
      </c>
      <c r="D706" t="s">
        <v>10</v>
      </c>
      <c r="E706" t="str">
        <f>IFERROR(VLOOKUP(logos[[#This Row],[Cell_ID]],'registe maintenance'!A:B,2,FALSE)," non répertoriées")</f>
        <v xml:space="preserve"> non répertoriées</v>
      </c>
      <c r="F706" t="str">
        <f>IFERROR(VLOOKUP(logos[[#This Row],[Cell_ID]],'registe maintenance'!A:C,3,FALSE)," non répertoriées")</f>
        <v xml:space="preserve"> non répertoriées</v>
      </c>
      <c r="G706" t="str">
        <f>IFERROR(VLOOKUP(logos[[#This Row],[Cell_ID]],'registe maintenance'!A:D,4,FALSE)," non répertoriées")</f>
        <v xml:space="preserve"> non répertoriées</v>
      </c>
      <c r="H706" t="str">
        <f>IFERROR(VLOOKUP(logos[[#This Row],[Cell_ID]],'registe maintenance'!A:E,5,FALSE)," non répertoriées")</f>
        <v xml:space="preserve"> non répertoriées</v>
      </c>
      <c r="I706" t="str">
        <f>IFERROR(VLOOKUP(logos[[#This Row],[Cell_ID]],'registe maintenance'!A:F,6,FALSE)," non répertoriées")</f>
        <v xml:space="preserve"> non répertoriées</v>
      </c>
      <c r="J706">
        <f>IFERROR(VLOOKUP(B706,'logos transformer '!A:B,2,FALSE),"na")</f>
        <v>2</v>
      </c>
      <c r="K706">
        <f>IFERROR(VLOOKUP(B706,'logos transformer '!A:C,3,FALSE),"na")</f>
        <v>143</v>
      </c>
      <c r="L706" s="1">
        <f>IFERROR(VLOOKUP(B706,'logos transformer '!A:D,4,FALSE),"na")</f>
        <v>45225.839583333334</v>
      </c>
    </row>
    <row r="707" spans="1:12" x14ac:dyDescent="0.3">
      <c r="A707" s="1">
        <v>45223.611111111109</v>
      </c>
      <c r="B707" t="s">
        <v>454</v>
      </c>
      <c r="C707">
        <v>88</v>
      </c>
      <c r="D707" t="s">
        <v>5</v>
      </c>
      <c r="E707" t="str">
        <f>IFERROR(VLOOKUP(logos[[#This Row],[Cell_ID]],'registe maintenance'!A:B,2,FALSE)," non répertoriées")</f>
        <v>Lualaba</v>
      </c>
      <c r="F707">
        <f>IFERROR(VLOOKUP(logos[[#This Row],[Cell_ID]],'registe maintenance'!A:C,3,FALSE)," non répertoriées")</f>
        <v>-8.0301989999999996</v>
      </c>
      <c r="G707">
        <f>IFERROR(VLOOKUP(logos[[#This Row],[Cell_ID]],'registe maintenance'!A:D,4,FALSE)," non répertoriées")</f>
        <v>24.122495000000001</v>
      </c>
      <c r="H707" t="str">
        <f>IFERROR(VLOOKUP(logos[[#This Row],[Cell_ID]],'registe maintenance'!A:E,5,FALSE)," non répertoriées")</f>
        <v>5G</v>
      </c>
      <c r="I707" t="str">
        <f>IFERROR(VLOOKUP(logos[[#This Row],[Cell_ID]],'registe maintenance'!A:F,6,FALSE)," non répertoriées")</f>
        <v>ZTE</v>
      </c>
      <c r="J707">
        <f>IFERROR(VLOOKUP(B707,'logos transformer '!A:B,2,FALSE),"na")</f>
        <v>3</v>
      </c>
      <c r="K707">
        <f>IFERROR(VLOOKUP(B707,'logos transformer '!A:C,3,FALSE),"na")</f>
        <v>182</v>
      </c>
      <c r="L707" s="1">
        <f>IFERROR(VLOOKUP(B707,'logos transformer '!A:D,4,FALSE),"na")</f>
        <v>45228.747916666667</v>
      </c>
    </row>
    <row r="708" spans="1:12" x14ac:dyDescent="0.3">
      <c r="A708" s="1">
        <v>45221.931944444441</v>
      </c>
      <c r="B708" t="s">
        <v>502</v>
      </c>
      <c r="C708">
        <v>26</v>
      </c>
      <c r="D708" t="s">
        <v>5</v>
      </c>
      <c r="E708" t="str">
        <f>IFERROR(VLOOKUP(logos[[#This Row],[Cell_ID]],'registe maintenance'!A:B,2,FALSE)," non répertoriées")</f>
        <v xml:space="preserve"> non répertoriées</v>
      </c>
      <c r="F708" t="str">
        <f>IFERROR(VLOOKUP(logos[[#This Row],[Cell_ID]],'registe maintenance'!A:C,3,FALSE)," non répertoriées")</f>
        <v xml:space="preserve"> non répertoriées</v>
      </c>
      <c r="G708" t="str">
        <f>IFERROR(VLOOKUP(logos[[#This Row],[Cell_ID]],'registe maintenance'!A:D,4,FALSE)," non répertoriées")</f>
        <v xml:space="preserve"> non répertoriées</v>
      </c>
      <c r="H708" t="str">
        <f>IFERROR(VLOOKUP(logos[[#This Row],[Cell_ID]],'registe maintenance'!A:E,5,FALSE)," non répertoriées")</f>
        <v xml:space="preserve"> non répertoriées</v>
      </c>
      <c r="I708" t="str">
        <f>IFERROR(VLOOKUP(logos[[#This Row],[Cell_ID]],'registe maintenance'!A:F,6,FALSE)," non répertoriées")</f>
        <v xml:space="preserve"> non répertoriées</v>
      </c>
      <c r="J708">
        <f>IFERROR(VLOOKUP(B708,'logos transformer '!A:B,2,FALSE),"na")</f>
        <v>1</v>
      </c>
      <c r="K708">
        <f>IFERROR(VLOOKUP(B708,'logos transformer '!A:C,3,FALSE),"na")</f>
        <v>26</v>
      </c>
      <c r="L708" s="1">
        <f>IFERROR(VLOOKUP(B708,'logos transformer '!A:D,4,FALSE),"na")</f>
        <v>45221.931944444441</v>
      </c>
    </row>
    <row r="709" spans="1:12" x14ac:dyDescent="0.3">
      <c r="A709" s="1">
        <v>45227.118055555547</v>
      </c>
      <c r="B709" t="s">
        <v>503</v>
      </c>
      <c r="C709">
        <v>61</v>
      </c>
      <c r="D709" t="s">
        <v>8</v>
      </c>
      <c r="E709" t="str">
        <f>IFERROR(VLOOKUP(logos[[#This Row],[Cell_ID]],'registe maintenance'!A:B,2,FALSE)," non répertoriées")</f>
        <v xml:space="preserve"> non répertoriées</v>
      </c>
      <c r="F709" t="str">
        <f>IFERROR(VLOOKUP(logos[[#This Row],[Cell_ID]],'registe maintenance'!A:C,3,FALSE)," non répertoriées")</f>
        <v xml:space="preserve"> non répertoriées</v>
      </c>
      <c r="G709" t="str">
        <f>IFERROR(VLOOKUP(logos[[#This Row],[Cell_ID]],'registe maintenance'!A:D,4,FALSE)," non répertoriées")</f>
        <v xml:space="preserve"> non répertoriées</v>
      </c>
      <c r="H709" t="str">
        <f>IFERROR(VLOOKUP(logos[[#This Row],[Cell_ID]],'registe maintenance'!A:E,5,FALSE)," non répertoriées")</f>
        <v xml:space="preserve"> non répertoriées</v>
      </c>
      <c r="I709" t="str">
        <f>IFERROR(VLOOKUP(logos[[#This Row],[Cell_ID]],'registe maintenance'!A:F,6,FALSE)," non répertoriées")</f>
        <v xml:space="preserve"> non répertoriées</v>
      </c>
      <c r="J709">
        <f>IFERROR(VLOOKUP(B709,'logos transformer '!A:B,2,FALSE),"na")</f>
        <v>1</v>
      </c>
      <c r="K709">
        <f>IFERROR(VLOOKUP(B709,'logos transformer '!A:C,3,FALSE),"na")</f>
        <v>61</v>
      </c>
      <c r="L709" s="1">
        <f>IFERROR(VLOOKUP(B709,'logos transformer '!A:D,4,FALSE),"na")</f>
        <v>45227.118055555555</v>
      </c>
    </row>
    <row r="710" spans="1:12" x14ac:dyDescent="0.3">
      <c r="A710" s="1">
        <v>45217.509027777778</v>
      </c>
      <c r="B710" t="s">
        <v>11</v>
      </c>
      <c r="C710">
        <v>49</v>
      </c>
      <c r="D710" t="s">
        <v>5</v>
      </c>
      <c r="E710" t="str">
        <f>IFERROR(VLOOKUP(logos[[#This Row],[Cell_ID]],'registe maintenance'!A:B,2,FALSE)," non répertoriées")</f>
        <v xml:space="preserve"> non répertoriées</v>
      </c>
      <c r="F710" t="str">
        <f>IFERROR(VLOOKUP(logos[[#This Row],[Cell_ID]],'registe maintenance'!A:C,3,FALSE)," non répertoriées")</f>
        <v xml:space="preserve"> non répertoriées</v>
      </c>
      <c r="G710" t="str">
        <f>IFERROR(VLOOKUP(logos[[#This Row],[Cell_ID]],'registe maintenance'!A:D,4,FALSE)," non répertoriées")</f>
        <v xml:space="preserve"> non répertoriées</v>
      </c>
      <c r="H710" t="str">
        <f>IFERROR(VLOOKUP(logos[[#This Row],[Cell_ID]],'registe maintenance'!A:E,5,FALSE)," non répertoriées")</f>
        <v xml:space="preserve"> non répertoriées</v>
      </c>
      <c r="I710" t="str">
        <f>IFERROR(VLOOKUP(logos[[#This Row],[Cell_ID]],'registe maintenance'!A:F,6,FALSE)," non répertoriées")</f>
        <v xml:space="preserve"> non répertoriées</v>
      </c>
      <c r="J710">
        <f>IFERROR(VLOOKUP(B710,'logos transformer '!A:B,2,FALSE),"na")</f>
        <v>3</v>
      </c>
      <c r="K710">
        <f>IFERROR(VLOOKUP(B710,'logos transformer '!A:C,3,FALSE),"na")</f>
        <v>161</v>
      </c>
      <c r="L710" s="1">
        <f>IFERROR(VLOOKUP(B710,'logos transformer '!A:D,4,FALSE),"na")</f>
        <v>45222.771527777775</v>
      </c>
    </row>
    <row r="711" spans="1:12" x14ac:dyDescent="0.3">
      <c r="A711" s="1">
        <v>45230.577777777777</v>
      </c>
      <c r="B711" t="s">
        <v>504</v>
      </c>
      <c r="C711">
        <v>97</v>
      </c>
      <c r="D711" t="s">
        <v>5</v>
      </c>
      <c r="E711" t="str">
        <f>IFERROR(VLOOKUP(logos[[#This Row],[Cell_ID]],'registe maintenance'!A:B,2,FALSE)," non répertoriées")</f>
        <v xml:space="preserve"> non répertoriées</v>
      </c>
      <c r="F711" t="str">
        <f>IFERROR(VLOOKUP(logos[[#This Row],[Cell_ID]],'registe maintenance'!A:C,3,FALSE)," non répertoriées")</f>
        <v xml:space="preserve"> non répertoriées</v>
      </c>
      <c r="G711" t="str">
        <f>IFERROR(VLOOKUP(logos[[#This Row],[Cell_ID]],'registe maintenance'!A:D,4,FALSE)," non répertoriées")</f>
        <v xml:space="preserve"> non répertoriées</v>
      </c>
      <c r="H711" t="str">
        <f>IFERROR(VLOOKUP(logos[[#This Row],[Cell_ID]],'registe maintenance'!A:E,5,FALSE)," non répertoriées")</f>
        <v xml:space="preserve"> non répertoriées</v>
      </c>
      <c r="I711" t="str">
        <f>IFERROR(VLOOKUP(logos[[#This Row],[Cell_ID]],'registe maintenance'!A:F,6,FALSE)," non répertoriées")</f>
        <v xml:space="preserve"> non répertoriées</v>
      </c>
      <c r="J711">
        <f>IFERROR(VLOOKUP(B711,'logos transformer '!A:B,2,FALSE),"na")</f>
        <v>2</v>
      </c>
      <c r="K711">
        <f>IFERROR(VLOOKUP(B711,'logos transformer '!A:C,3,FALSE),"na")</f>
        <v>166</v>
      </c>
      <c r="L711" s="1">
        <f>IFERROR(VLOOKUP(B711,'logos transformer '!A:D,4,FALSE),"na")</f>
        <v>45230.577777777777</v>
      </c>
    </row>
    <row r="712" spans="1:12" x14ac:dyDescent="0.3">
      <c r="A712" s="1">
        <v>45206.636805555558</v>
      </c>
      <c r="B712" t="s">
        <v>505</v>
      </c>
      <c r="C712">
        <v>32</v>
      </c>
      <c r="D712" t="s">
        <v>10</v>
      </c>
      <c r="E712" t="str">
        <f>IFERROR(VLOOKUP(logos[[#This Row],[Cell_ID]],'registe maintenance'!A:B,2,FALSE)," non répertoriées")</f>
        <v>Sud-Kivu</v>
      </c>
      <c r="F712">
        <f>IFERROR(VLOOKUP(logos[[#This Row],[Cell_ID]],'registe maintenance'!A:C,3,FALSE)," non répertoriées")</f>
        <v>-11.514817000000001</v>
      </c>
      <c r="G712">
        <f>IFERROR(VLOOKUP(logos[[#This Row],[Cell_ID]],'registe maintenance'!A:D,4,FALSE)," non répertoriées")</f>
        <v>24.891375</v>
      </c>
      <c r="H712" t="str">
        <f>IFERROR(VLOOKUP(logos[[#This Row],[Cell_ID]],'registe maintenance'!A:E,5,FALSE)," non répertoriées")</f>
        <v>3G</v>
      </c>
      <c r="I712" t="str">
        <f>IFERROR(VLOOKUP(logos[[#This Row],[Cell_ID]],'registe maintenance'!A:F,6,FALSE)," non répertoriées")</f>
        <v>Nokia</v>
      </c>
      <c r="J712">
        <f>IFERROR(VLOOKUP(B712,'logos transformer '!A:B,2,FALSE),"na")</f>
        <v>2</v>
      </c>
      <c r="K712">
        <f>IFERROR(VLOOKUP(B712,'logos transformer '!A:C,3,FALSE),"na")</f>
        <v>53</v>
      </c>
      <c r="L712" s="1">
        <f>IFERROR(VLOOKUP(B712,'logos transformer '!A:D,4,FALSE),"na")</f>
        <v>45218.589583333334</v>
      </c>
    </row>
    <row r="713" spans="1:12" x14ac:dyDescent="0.3">
      <c r="A713" s="1">
        <v>45210.38958333333</v>
      </c>
      <c r="B713" t="s">
        <v>188</v>
      </c>
      <c r="C713">
        <v>85</v>
      </c>
      <c r="D713" t="s">
        <v>5</v>
      </c>
      <c r="E713" t="str">
        <f>IFERROR(VLOOKUP(logos[[#This Row],[Cell_ID]],'registe maintenance'!A:B,2,FALSE)," non répertoriées")</f>
        <v>Maniema</v>
      </c>
      <c r="F713">
        <f>IFERROR(VLOOKUP(logos[[#This Row],[Cell_ID]],'registe maintenance'!A:C,3,FALSE)," non répertoriées")</f>
        <v>-4.2645619999999997</v>
      </c>
      <c r="G713">
        <f>IFERROR(VLOOKUP(logos[[#This Row],[Cell_ID]],'registe maintenance'!A:D,4,FALSE)," non répertoriées")</f>
        <v>18.960726000000001</v>
      </c>
      <c r="H713" t="str">
        <f>IFERROR(VLOOKUP(logos[[#This Row],[Cell_ID]],'registe maintenance'!A:E,5,FALSE)," non répertoriées")</f>
        <v>4G</v>
      </c>
      <c r="I713" t="str">
        <f>IFERROR(VLOOKUP(logos[[#This Row],[Cell_ID]],'registe maintenance'!A:F,6,FALSE)," non répertoriées")</f>
        <v>Huawei</v>
      </c>
      <c r="J713">
        <f>IFERROR(VLOOKUP(B713,'logos transformer '!A:B,2,FALSE),"na")</f>
        <v>2</v>
      </c>
      <c r="K713">
        <f>IFERROR(VLOOKUP(B713,'logos transformer '!A:C,3,FALSE),"na")</f>
        <v>145</v>
      </c>
      <c r="L713" s="1">
        <f>IFERROR(VLOOKUP(B713,'logos transformer '!A:D,4,FALSE),"na")</f>
        <v>45210.38958333333</v>
      </c>
    </row>
    <row r="714" spans="1:12" x14ac:dyDescent="0.3">
      <c r="A714" s="1">
        <v>45217.755555555559</v>
      </c>
      <c r="B714" t="s">
        <v>506</v>
      </c>
      <c r="C714">
        <v>100</v>
      </c>
      <c r="D714" t="s">
        <v>5</v>
      </c>
      <c r="E714" t="str">
        <f>IFERROR(VLOOKUP(logos[[#This Row],[Cell_ID]],'registe maintenance'!A:B,2,FALSE)," non répertoriées")</f>
        <v>Haut-Uele</v>
      </c>
      <c r="F714">
        <f>IFERROR(VLOOKUP(logos[[#This Row],[Cell_ID]],'registe maintenance'!A:C,3,FALSE)," non répertoriées")</f>
        <v>-3.003879</v>
      </c>
      <c r="G714">
        <f>IFERROR(VLOOKUP(logos[[#This Row],[Cell_ID]],'registe maintenance'!A:D,4,FALSE)," non répertoriées")</f>
        <v>23.633893</v>
      </c>
      <c r="H714" t="str">
        <f>IFERROR(VLOOKUP(logos[[#This Row],[Cell_ID]],'registe maintenance'!A:E,5,FALSE)," non répertoriées")</f>
        <v>5G</v>
      </c>
      <c r="I714" t="str">
        <f>IFERROR(VLOOKUP(logos[[#This Row],[Cell_ID]],'registe maintenance'!A:F,6,FALSE)," non répertoriées")</f>
        <v>Ericsson</v>
      </c>
      <c r="J714">
        <f>IFERROR(VLOOKUP(B714,'logos transformer '!A:B,2,FALSE),"na")</f>
        <v>1</v>
      </c>
      <c r="K714">
        <f>IFERROR(VLOOKUP(B714,'logos transformer '!A:C,3,FALSE),"na")</f>
        <v>100</v>
      </c>
      <c r="L714" s="1">
        <f>IFERROR(VLOOKUP(B714,'logos transformer '!A:D,4,FALSE),"na")</f>
        <v>45217.755555555559</v>
      </c>
    </row>
    <row r="715" spans="1:12" x14ac:dyDescent="0.3">
      <c r="A715" s="1">
        <v>45218.659722222219</v>
      </c>
      <c r="B715" t="s">
        <v>507</v>
      </c>
      <c r="C715">
        <v>24</v>
      </c>
      <c r="D715" t="s">
        <v>5</v>
      </c>
      <c r="E715" t="str">
        <f>IFERROR(VLOOKUP(logos[[#This Row],[Cell_ID]],'registe maintenance'!A:B,2,FALSE)," non répertoriées")</f>
        <v xml:space="preserve"> non répertoriées</v>
      </c>
      <c r="F715" t="str">
        <f>IFERROR(VLOOKUP(logos[[#This Row],[Cell_ID]],'registe maintenance'!A:C,3,FALSE)," non répertoriées")</f>
        <v xml:space="preserve"> non répertoriées</v>
      </c>
      <c r="G715" t="str">
        <f>IFERROR(VLOOKUP(logos[[#This Row],[Cell_ID]],'registe maintenance'!A:D,4,FALSE)," non répertoriées")</f>
        <v xml:space="preserve"> non répertoriées</v>
      </c>
      <c r="H715" t="str">
        <f>IFERROR(VLOOKUP(logos[[#This Row],[Cell_ID]],'registe maintenance'!A:E,5,FALSE)," non répertoriées")</f>
        <v xml:space="preserve"> non répertoriées</v>
      </c>
      <c r="I715" t="str">
        <f>IFERROR(VLOOKUP(logos[[#This Row],[Cell_ID]],'registe maintenance'!A:F,6,FALSE)," non répertoriées")</f>
        <v xml:space="preserve"> non répertoriées</v>
      </c>
      <c r="J715">
        <f>IFERROR(VLOOKUP(B715,'logos transformer '!A:B,2,FALSE),"na")</f>
        <v>1</v>
      </c>
      <c r="K715">
        <f>IFERROR(VLOOKUP(B715,'logos transformer '!A:C,3,FALSE),"na")</f>
        <v>24</v>
      </c>
      <c r="L715" s="1">
        <f>IFERROR(VLOOKUP(B715,'logos transformer '!A:D,4,FALSE),"na")</f>
        <v>45218.659722222219</v>
      </c>
    </row>
    <row r="716" spans="1:12" x14ac:dyDescent="0.3">
      <c r="A716" s="1">
        <v>45210.908333333333</v>
      </c>
      <c r="B716" t="s">
        <v>420</v>
      </c>
      <c r="C716">
        <v>57</v>
      </c>
      <c r="D716" t="s">
        <v>10</v>
      </c>
      <c r="E716" t="str">
        <f>IFERROR(VLOOKUP(logos[[#This Row],[Cell_ID]],'registe maintenance'!A:B,2,FALSE)," non répertoriées")</f>
        <v>Nord-Ubangi</v>
      </c>
      <c r="F716">
        <f>IFERROR(VLOOKUP(logos[[#This Row],[Cell_ID]],'registe maintenance'!A:C,3,FALSE)," non répertoriées")</f>
        <v>8.5490999999999998E-2</v>
      </c>
      <c r="G716">
        <f>IFERROR(VLOOKUP(logos[[#This Row],[Cell_ID]],'registe maintenance'!A:D,4,FALSE)," non répertoriées")</f>
        <v>26.296129000000001</v>
      </c>
      <c r="H716" t="str">
        <f>IFERROR(VLOOKUP(logos[[#This Row],[Cell_ID]],'registe maintenance'!A:E,5,FALSE)," non répertoriées")</f>
        <v>3G</v>
      </c>
      <c r="I716" t="str">
        <f>IFERROR(VLOOKUP(logos[[#This Row],[Cell_ID]],'registe maintenance'!A:F,6,FALSE)," non répertoriées")</f>
        <v>ZTE</v>
      </c>
      <c r="J716">
        <f>IFERROR(VLOOKUP(B716,'logos transformer '!A:B,2,FALSE),"na")</f>
        <v>2</v>
      </c>
      <c r="K716">
        <f>IFERROR(VLOOKUP(B716,'logos transformer '!A:C,3,FALSE),"na")</f>
        <v>119</v>
      </c>
      <c r="L716" s="1">
        <f>IFERROR(VLOOKUP(B716,'logos transformer '!A:D,4,FALSE),"na")</f>
        <v>45210.908333333333</v>
      </c>
    </row>
    <row r="717" spans="1:12" x14ac:dyDescent="0.3">
      <c r="A717" s="1">
        <v>45201.04583333333</v>
      </c>
      <c r="B717" t="s">
        <v>228</v>
      </c>
      <c r="C717">
        <v>83</v>
      </c>
      <c r="D717" t="s">
        <v>8</v>
      </c>
      <c r="E717" t="str">
        <f>IFERROR(VLOOKUP(logos[[#This Row],[Cell_ID]],'registe maintenance'!A:B,2,FALSE)," non répertoriées")</f>
        <v xml:space="preserve"> non répertoriées</v>
      </c>
      <c r="F717" t="str">
        <f>IFERROR(VLOOKUP(logos[[#This Row],[Cell_ID]],'registe maintenance'!A:C,3,FALSE)," non répertoriées")</f>
        <v xml:space="preserve"> non répertoriées</v>
      </c>
      <c r="G717" t="str">
        <f>IFERROR(VLOOKUP(logos[[#This Row],[Cell_ID]],'registe maintenance'!A:D,4,FALSE)," non répertoriées")</f>
        <v xml:space="preserve"> non répertoriées</v>
      </c>
      <c r="H717" t="str">
        <f>IFERROR(VLOOKUP(logos[[#This Row],[Cell_ID]],'registe maintenance'!A:E,5,FALSE)," non répertoriées")</f>
        <v xml:space="preserve"> non répertoriées</v>
      </c>
      <c r="I717" t="str">
        <f>IFERROR(VLOOKUP(logos[[#This Row],[Cell_ID]],'registe maintenance'!A:F,6,FALSE)," non répertoriées")</f>
        <v xml:space="preserve"> non répertoriées</v>
      </c>
      <c r="J717">
        <f>IFERROR(VLOOKUP(B717,'logos transformer '!A:B,2,FALSE),"na")</f>
        <v>3</v>
      </c>
      <c r="K717">
        <f>IFERROR(VLOOKUP(B717,'logos transformer '!A:C,3,FALSE),"na")</f>
        <v>195</v>
      </c>
      <c r="L717" s="1">
        <f>IFERROR(VLOOKUP(B717,'logos transformer '!A:D,4,FALSE),"na")</f>
        <v>45223.102083333331</v>
      </c>
    </row>
    <row r="718" spans="1:12" x14ac:dyDescent="0.3">
      <c r="A718" s="1">
        <v>45220.584027777782</v>
      </c>
      <c r="B718" t="s">
        <v>508</v>
      </c>
      <c r="C718">
        <v>92</v>
      </c>
      <c r="D718" t="s">
        <v>10</v>
      </c>
      <c r="E718" t="str">
        <f>IFERROR(VLOOKUP(logos[[#This Row],[Cell_ID]],'registe maintenance'!A:B,2,FALSE)," non répertoriées")</f>
        <v>Nord-Ubangi</v>
      </c>
      <c r="F718">
        <f>IFERROR(VLOOKUP(logos[[#This Row],[Cell_ID]],'registe maintenance'!A:C,3,FALSE)," non répertoriées")</f>
        <v>-11.588665000000001</v>
      </c>
      <c r="G718">
        <f>IFERROR(VLOOKUP(logos[[#This Row],[Cell_ID]],'registe maintenance'!A:D,4,FALSE)," non répertoriées")</f>
        <v>15.241552</v>
      </c>
      <c r="H718" t="str">
        <f>IFERROR(VLOOKUP(logos[[#This Row],[Cell_ID]],'registe maintenance'!A:E,5,FALSE)," non répertoriées")</f>
        <v>4G</v>
      </c>
      <c r="I718" t="str">
        <f>IFERROR(VLOOKUP(logos[[#This Row],[Cell_ID]],'registe maintenance'!A:F,6,FALSE)," non répertoriées")</f>
        <v>Nokia</v>
      </c>
      <c r="J718">
        <f>IFERROR(VLOOKUP(B718,'logos transformer '!A:B,2,FALSE),"na")</f>
        <v>1</v>
      </c>
      <c r="K718">
        <f>IFERROR(VLOOKUP(B718,'logos transformer '!A:C,3,FALSE),"na")</f>
        <v>92</v>
      </c>
      <c r="L718" s="1">
        <f>IFERROR(VLOOKUP(B718,'logos transformer '!A:D,4,FALSE),"na")</f>
        <v>45220.584027777775</v>
      </c>
    </row>
    <row r="719" spans="1:12" x14ac:dyDescent="0.3">
      <c r="A719" s="1">
        <v>45203.227777777778</v>
      </c>
      <c r="B719" t="s">
        <v>226</v>
      </c>
      <c r="C719">
        <v>61</v>
      </c>
      <c r="D719" t="s">
        <v>8</v>
      </c>
      <c r="E719" t="str">
        <f>IFERROR(VLOOKUP(logos[[#This Row],[Cell_ID]],'registe maintenance'!A:B,2,FALSE)," non répertoriées")</f>
        <v xml:space="preserve"> non répertoriées</v>
      </c>
      <c r="F719" t="str">
        <f>IFERROR(VLOOKUP(logos[[#This Row],[Cell_ID]],'registe maintenance'!A:C,3,FALSE)," non répertoriées")</f>
        <v xml:space="preserve"> non répertoriées</v>
      </c>
      <c r="G719" t="str">
        <f>IFERROR(VLOOKUP(logos[[#This Row],[Cell_ID]],'registe maintenance'!A:D,4,FALSE)," non répertoriées")</f>
        <v xml:space="preserve"> non répertoriées</v>
      </c>
      <c r="H719" t="str">
        <f>IFERROR(VLOOKUP(logos[[#This Row],[Cell_ID]],'registe maintenance'!A:E,5,FALSE)," non répertoriées")</f>
        <v xml:space="preserve"> non répertoriées</v>
      </c>
      <c r="I719" t="str">
        <f>IFERROR(VLOOKUP(logos[[#This Row],[Cell_ID]],'registe maintenance'!A:F,6,FALSE)," non répertoriées")</f>
        <v xml:space="preserve"> non répertoriées</v>
      </c>
      <c r="J719">
        <f>IFERROR(VLOOKUP(B719,'logos transformer '!A:B,2,FALSE),"na")</f>
        <v>2</v>
      </c>
      <c r="K719">
        <f>IFERROR(VLOOKUP(B719,'logos transformer '!A:C,3,FALSE),"na")</f>
        <v>176</v>
      </c>
      <c r="L719" s="1">
        <f>IFERROR(VLOOKUP(B719,'logos transformer '!A:D,4,FALSE),"na")</f>
        <v>45203.227777777778</v>
      </c>
    </row>
    <row r="720" spans="1:12" x14ac:dyDescent="0.3">
      <c r="A720" s="1">
        <v>45214.018750000003</v>
      </c>
      <c r="B720" t="s">
        <v>149</v>
      </c>
      <c r="C720">
        <v>115</v>
      </c>
      <c r="D720" t="s">
        <v>8</v>
      </c>
      <c r="E720" t="str">
        <f>IFERROR(VLOOKUP(logos[[#This Row],[Cell_ID]],'registe maintenance'!A:B,2,FALSE)," non répertoriées")</f>
        <v>Nord-Ubangi</v>
      </c>
      <c r="F720">
        <f>IFERROR(VLOOKUP(logos[[#This Row],[Cell_ID]],'registe maintenance'!A:C,3,FALSE)," non répertoriées")</f>
        <v>-1.342476</v>
      </c>
      <c r="G720">
        <f>IFERROR(VLOOKUP(logos[[#This Row],[Cell_ID]],'registe maintenance'!A:D,4,FALSE)," non répertoriées")</f>
        <v>15.986086</v>
      </c>
      <c r="H720" t="str">
        <f>IFERROR(VLOOKUP(logos[[#This Row],[Cell_ID]],'registe maintenance'!A:E,5,FALSE)," non répertoriées")</f>
        <v>4G</v>
      </c>
      <c r="I720" t="str">
        <f>IFERROR(VLOOKUP(logos[[#This Row],[Cell_ID]],'registe maintenance'!A:F,6,FALSE)," non répertoriées")</f>
        <v>Ericsson</v>
      </c>
      <c r="J720">
        <f>IFERROR(VLOOKUP(B720,'logos transformer '!A:B,2,FALSE),"na")</f>
        <v>4</v>
      </c>
      <c r="K720">
        <f>IFERROR(VLOOKUP(B720,'logos transformer '!A:C,3,FALSE),"na")</f>
        <v>352</v>
      </c>
      <c r="L720" s="1">
        <f>IFERROR(VLOOKUP(B720,'logos transformer '!A:D,4,FALSE),"na")</f>
        <v>45229.722916666666</v>
      </c>
    </row>
    <row r="721" spans="1:12" x14ac:dyDescent="0.3">
      <c r="A721" s="1">
        <v>45206.956944444442</v>
      </c>
      <c r="B721" t="s">
        <v>186</v>
      </c>
      <c r="C721">
        <v>32</v>
      </c>
      <c r="D721" t="s">
        <v>8</v>
      </c>
      <c r="E721" t="str">
        <f>IFERROR(VLOOKUP(logos[[#This Row],[Cell_ID]],'registe maintenance'!A:B,2,FALSE)," non répertoriées")</f>
        <v>Mai-Ndombe</v>
      </c>
      <c r="F721">
        <f>IFERROR(VLOOKUP(logos[[#This Row],[Cell_ID]],'registe maintenance'!A:C,3,FALSE)," non répertoriées")</f>
        <v>-9.3652280000000001</v>
      </c>
      <c r="G721">
        <f>IFERROR(VLOOKUP(logos[[#This Row],[Cell_ID]],'registe maintenance'!A:D,4,FALSE)," non répertoriées")</f>
        <v>18.674116000000001</v>
      </c>
      <c r="H721" t="str">
        <f>IFERROR(VLOOKUP(logos[[#This Row],[Cell_ID]],'registe maintenance'!A:E,5,FALSE)," non répertoriées")</f>
        <v>4G</v>
      </c>
      <c r="I721" t="str">
        <f>IFERROR(VLOOKUP(logos[[#This Row],[Cell_ID]],'registe maintenance'!A:F,6,FALSE)," non répertoriées")</f>
        <v>Huawei</v>
      </c>
      <c r="J721">
        <f>IFERROR(VLOOKUP(B721,'logos transformer '!A:B,2,FALSE),"na")</f>
        <v>4</v>
      </c>
      <c r="K721">
        <f>IFERROR(VLOOKUP(B721,'logos transformer '!A:C,3,FALSE),"na")</f>
        <v>177</v>
      </c>
      <c r="L721" s="1">
        <f>IFERROR(VLOOKUP(B721,'logos transformer '!A:D,4,FALSE),"na")</f>
        <v>45224.98333333333</v>
      </c>
    </row>
    <row r="722" spans="1:12" x14ac:dyDescent="0.3">
      <c r="A722" s="1">
        <v>45204.84652777778</v>
      </c>
      <c r="B722" t="s">
        <v>509</v>
      </c>
      <c r="C722">
        <v>16</v>
      </c>
      <c r="D722" t="s">
        <v>10</v>
      </c>
      <c r="E722" t="str">
        <f>IFERROR(VLOOKUP(logos[[#This Row],[Cell_ID]],'registe maintenance'!A:B,2,FALSE)," non répertoriées")</f>
        <v xml:space="preserve"> non répertoriées</v>
      </c>
      <c r="F722" t="str">
        <f>IFERROR(VLOOKUP(logos[[#This Row],[Cell_ID]],'registe maintenance'!A:C,3,FALSE)," non répertoriées")</f>
        <v xml:space="preserve"> non répertoriées</v>
      </c>
      <c r="G722" t="str">
        <f>IFERROR(VLOOKUP(logos[[#This Row],[Cell_ID]],'registe maintenance'!A:D,4,FALSE)," non répertoriées")</f>
        <v xml:space="preserve"> non répertoriées</v>
      </c>
      <c r="H722" t="str">
        <f>IFERROR(VLOOKUP(logos[[#This Row],[Cell_ID]],'registe maintenance'!A:E,5,FALSE)," non répertoriées")</f>
        <v xml:space="preserve"> non répertoriées</v>
      </c>
      <c r="I722" t="str">
        <f>IFERROR(VLOOKUP(logos[[#This Row],[Cell_ID]],'registe maintenance'!A:F,6,FALSE)," non répertoriées")</f>
        <v xml:space="preserve"> non répertoriées</v>
      </c>
      <c r="J722">
        <f>IFERROR(VLOOKUP(B722,'logos transformer '!A:B,2,FALSE),"na")</f>
        <v>2</v>
      </c>
      <c r="K722">
        <f>IFERROR(VLOOKUP(B722,'logos transformer '!A:C,3,FALSE),"na")</f>
        <v>113</v>
      </c>
      <c r="L722" s="1">
        <f>IFERROR(VLOOKUP(B722,'logos transformer '!A:D,4,FALSE),"na")</f>
        <v>45221.339583333334</v>
      </c>
    </row>
    <row r="723" spans="1:12" x14ac:dyDescent="0.3">
      <c r="A723" s="1">
        <v>45205.336805555547</v>
      </c>
      <c r="B723" t="s">
        <v>510</v>
      </c>
      <c r="C723">
        <v>119</v>
      </c>
      <c r="D723" t="s">
        <v>10</v>
      </c>
      <c r="E723" t="str">
        <f>IFERROR(VLOOKUP(logos[[#This Row],[Cell_ID]],'registe maintenance'!A:B,2,FALSE)," non répertoriées")</f>
        <v xml:space="preserve"> non répertoriées</v>
      </c>
      <c r="F723" t="str">
        <f>IFERROR(VLOOKUP(logos[[#This Row],[Cell_ID]],'registe maintenance'!A:C,3,FALSE)," non répertoriées")</f>
        <v xml:space="preserve"> non répertoriées</v>
      </c>
      <c r="G723" t="str">
        <f>IFERROR(VLOOKUP(logos[[#This Row],[Cell_ID]],'registe maintenance'!A:D,4,FALSE)," non répertoriées")</f>
        <v xml:space="preserve"> non répertoriées</v>
      </c>
      <c r="H723" t="str">
        <f>IFERROR(VLOOKUP(logos[[#This Row],[Cell_ID]],'registe maintenance'!A:E,5,FALSE)," non répertoriées")</f>
        <v xml:space="preserve"> non répertoriées</v>
      </c>
      <c r="I723" t="str">
        <f>IFERROR(VLOOKUP(logos[[#This Row],[Cell_ID]],'registe maintenance'!A:F,6,FALSE)," non répertoriées")</f>
        <v xml:space="preserve"> non répertoriées</v>
      </c>
      <c r="J723">
        <f>IFERROR(VLOOKUP(B723,'logos transformer '!A:B,2,FALSE),"na")</f>
        <v>1</v>
      </c>
      <c r="K723">
        <f>IFERROR(VLOOKUP(B723,'logos transformer '!A:C,3,FALSE),"na")</f>
        <v>119</v>
      </c>
      <c r="L723" s="1">
        <f>IFERROR(VLOOKUP(B723,'logos transformer '!A:D,4,FALSE),"na")</f>
        <v>45205.336805555555</v>
      </c>
    </row>
    <row r="724" spans="1:12" x14ac:dyDescent="0.3">
      <c r="A724" s="1">
        <v>45220.469444444447</v>
      </c>
      <c r="B724" t="s">
        <v>264</v>
      </c>
      <c r="C724">
        <v>17</v>
      </c>
      <c r="D724" t="s">
        <v>8</v>
      </c>
      <c r="E724" t="str">
        <f>IFERROR(VLOOKUP(logos[[#This Row],[Cell_ID]],'registe maintenance'!A:B,2,FALSE)," non répertoriées")</f>
        <v>Sud-Kivu</v>
      </c>
      <c r="F724">
        <f>IFERROR(VLOOKUP(logos[[#This Row],[Cell_ID]],'registe maintenance'!A:C,3,FALSE)," non répertoriées")</f>
        <v>-1.5419050000000001</v>
      </c>
      <c r="G724">
        <f>IFERROR(VLOOKUP(logos[[#This Row],[Cell_ID]],'registe maintenance'!A:D,4,FALSE)," non répertoriées")</f>
        <v>14.730632999999999</v>
      </c>
      <c r="H724" t="str">
        <f>IFERROR(VLOOKUP(logos[[#This Row],[Cell_ID]],'registe maintenance'!A:E,5,FALSE)," non répertoriées")</f>
        <v>3G</v>
      </c>
      <c r="I724" t="str">
        <f>IFERROR(VLOOKUP(logos[[#This Row],[Cell_ID]],'registe maintenance'!A:F,6,FALSE)," non répertoriées")</f>
        <v>ZTE</v>
      </c>
      <c r="J724">
        <f>IFERROR(VLOOKUP(B724,'logos transformer '!A:B,2,FALSE),"na")</f>
        <v>2</v>
      </c>
      <c r="K724">
        <f>IFERROR(VLOOKUP(B724,'logos transformer '!A:C,3,FALSE),"na")</f>
        <v>130</v>
      </c>
      <c r="L724" s="1">
        <f>IFERROR(VLOOKUP(B724,'logos transformer '!A:D,4,FALSE),"na")</f>
        <v>45220.469444444447</v>
      </c>
    </row>
    <row r="725" spans="1:12" x14ac:dyDescent="0.3">
      <c r="A725" s="1">
        <v>45202.487500000003</v>
      </c>
      <c r="B725" t="s">
        <v>511</v>
      </c>
      <c r="C725">
        <v>22</v>
      </c>
      <c r="D725" t="s">
        <v>10</v>
      </c>
      <c r="E725" t="str">
        <f>IFERROR(VLOOKUP(logos[[#This Row],[Cell_ID]],'registe maintenance'!A:B,2,FALSE)," non répertoriées")</f>
        <v xml:space="preserve"> non répertoriées</v>
      </c>
      <c r="F725" t="str">
        <f>IFERROR(VLOOKUP(logos[[#This Row],[Cell_ID]],'registe maintenance'!A:C,3,FALSE)," non répertoriées")</f>
        <v xml:space="preserve"> non répertoriées</v>
      </c>
      <c r="G725" t="str">
        <f>IFERROR(VLOOKUP(logos[[#This Row],[Cell_ID]],'registe maintenance'!A:D,4,FALSE)," non répertoriées")</f>
        <v xml:space="preserve"> non répertoriées</v>
      </c>
      <c r="H725" t="str">
        <f>IFERROR(VLOOKUP(logos[[#This Row],[Cell_ID]],'registe maintenance'!A:E,5,FALSE)," non répertoriées")</f>
        <v xml:space="preserve"> non répertoriées</v>
      </c>
      <c r="I725" t="str">
        <f>IFERROR(VLOOKUP(logos[[#This Row],[Cell_ID]],'registe maintenance'!A:F,6,FALSE)," non répertoriées")</f>
        <v xml:space="preserve"> non répertoriées</v>
      </c>
      <c r="J725">
        <f>IFERROR(VLOOKUP(B725,'logos transformer '!A:B,2,FALSE),"na")</f>
        <v>1</v>
      </c>
      <c r="K725">
        <f>IFERROR(VLOOKUP(B725,'logos transformer '!A:C,3,FALSE),"na")</f>
        <v>22</v>
      </c>
      <c r="L725" s="1">
        <f>IFERROR(VLOOKUP(B725,'logos transformer '!A:D,4,FALSE),"na")</f>
        <v>45202.487500000003</v>
      </c>
    </row>
    <row r="726" spans="1:12" x14ac:dyDescent="0.3">
      <c r="A726" s="1">
        <v>45228.840277777781</v>
      </c>
      <c r="B726" t="s">
        <v>47</v>
      </c>
      <c r="C726">
        <v>101</v>
      </c>
      <c r="D726" t="s">
        <v>5</v>
      </c>
      <c r="E726" t="str">
        <f>IFERROR(VLOOKUP(logos[[#This Row],[Cell_ID]],'registe maintenance'!A:B,2,FALSE)," non répertoriées")</f>
        <v xml:space="preserve"> non répertoriées</v>
      </c>
      <c r="F726" t="str">
        <f>IFERROR(VLOOKUP(logos[[#This Row],[Cell_ID]],'registe maintenance'!A:C,3,FALSE)," non répertoriées")</f>
        <v xml:space="preserve"> non répertoriées</v>
      </c>
      <c r="G726" t="str">
        <f>IFERROR(VLOOKUP(logos[[#This Row],[Cell_ID]],'registe maintenance'!A:D,4,FALSE)," non répertoriées")</f>
        <v xml:space="preserve"> non répertoriées</v>
      </c>
      <c r="H726" t="str">
        <f>IFERROR(VLOOKUP(logos[[#This Row],[Cell_ID]],'registe maintenance'!A:E,5,FALSE)," non répertoriées")</f>
        <v xml:space="preserve"> non répertoriées</v>
      </c>
      <c r="I726" t="str">
        <f>IFERROR(VLOOKUP(logos[[#This Row],[Cell_ID]],'registe maintenance'!A:F,6,FALSE)," non répertoriées")</f>
        <v xml:space="preserve"> non répertoriées</v>
      </c>
      <c r="J726">
        <f>IFERROR(VLOOKUP(B726,'logos transformer '!A:B,2,FALSE),"na")</f>
        <v>3</v>
      </c>
      <c r="K726">
        <f>IFERROR(VLOOKUP(B726,'logos transformer '!A:C,3,FALSE),"na")</f>
        <v>251</v>
      </c>
      <c r="L726" s="1">
        <f>IFERROR(VLOOKUP(B726,'logos transformer '!A:D,4,FALSE),"na")</f>
        <v>45230.788888888892</v>
      </c>
    </row>
    <row r="727" spans="1:12" x14ac:dyDescent="0.3">
      <c r="A727" s="1">
        <v>45201.527777777781</v>
      </c>
      <c r="B727" t="s">
        <v>512</v>
      </c>
      <c r="C727">
        <v>20</v>
      </c>
      <c r="D727" t="s">
        <v>8</v>
      </c>
      <c r="E727" t="str">
        <f>IFERROR(VLOOKUP(logos[[#This Row],[Cell_ID]],'registe maintenance'!A:B,2,FALSE)," non répertoriées")</f>
        <v>Bas-Uele</v>
      </c>
      <c r="F727">
        <f>IFERROR(VLOOKUP(logos[[#This Row],[Cell_ID]],'registe maintenance'!A:C,3,FALSE)," non répertoriées")</f>
        <v>0.45116099999999998</v>
      </c>
      <c r="G727">
        <f>IFERROR(VLOOKUP(logos[[#This Row],[Cell_ID]],'registe maintenance'!A:D,4,FALSE)," non répertoriées")</f>
        <v>17.265761000000001</v>
      </c>
      <c r="H727" t="str">
        <f>IFERROR(VLOOKUP(logos[[#This Row],[Cell_ID]],'registe maintenance'!A:E,5,FALSE)," non répertoriées")</f>
        <v>4G</v>
      </c>
      <c r="I727" t="str">
        <f>IFERROR(VLOOKUP(logos[[#This Row],[Cell_ID]],'registe maintenance'!A:F,6,FALSE)," non répertoriées")</f>
        <v>Huawei</v>
      </c>
      <c r="J727">
        <f>IFERROR(VLOOKUP(B727,'logos transformer '!A:B,2,FALSE),"na")</f>
        <v>1</v>
      </c>
      <c r="K727">
        <f>IFERROR(VLOOKUP(B727,'logos transformer '!A:C,3,FALSE),"na")</f>
        <v>20</v>
      </c>
      <c r="L727" s="1">
        <f>IFERROR(VLOOKUP(B727,'logos transformer '!A:D,4,FALSE),"na")</f>
        <v>45201.527777777781</v>
      </c>
    </row>
    <row r="728" spans="1:12" x14ac:dyDescent="0.3">
      <c r="A728" s="1">
        <v>45209.988888888889</v>
      </c>
      <c r="B728" t="s">
        <v>513</v>
      </c>
      <c r="C728">
        <v>80</v>
      </c>
      <c r="D728" t="s">
        <v>8</v>
      </c>
      <c r="E728" t="str">
        <f>IFERROR(VLOOKUP(logos[[#This Row],[Cell_ID]],'registe maintenance'!A:B,2,FALSE)," non répertoriées")</f>
        <v xml:space="preserve"> non répertoriées</v>
      </c>
      <c r="F728" t="str">
        <f>IFERROR(VLOOKUP(logos[[#This Row],[Cell_ID]],'registe maintenance'!A:C,3,FALSE)," non répertoriées")</f>
        <v xml:space="preserve"> non répertoriées</v>
      </c>
      <c r="G728" t="str">
        <f>IFERROR(VLOOKUP(logos[[#This Row],[Cell_ID]],'registe maintenance'!A:D,4,FALSE)," non répertoriées")</f>
        <v xml:space="preserve"> non répertoriées</v>
      </c>
      <c r="H728" t="str">
        <f>IFERROR(VLOOKUP(logos[[#This Row],[Cell_ID]],'registe maintenance'!A:E,5,FALSE)," non répertoriées")</f>
        <v xml:space="preserve"> non répertoriées</v>
      </c>
      <c r="I728" t="str">
        <f>IFERROR(VLOOKUP(logos[[#This Row],[Cell_ID]],'registe maintenance'!A:F,6,FALSE)," non répertoriées")</f>
        <v xml:space="preserve"> non répertoriées</v>
      </c>
      <c r="J728">
        <f>IFERROR(VLOOKUP(B728,'logos transformer '!A:B,2,FALSE),"na")</f>
        <v>1</v>
      </c>
      <c r="K728">
        <f>IFERROR(VLOOKUP(B728,'logos transformer '!A:C,3,FALSE),"na")</f>
        <v>80</v>
      </c>
      <c r="L728" s="1">
        <f>IFERROR(VLOOKUP(B728,'logos transformer '!A:D,4,FALSE),"na")</f>
        <v>45209.988888888889</v>
      </c>
    </row>
    <row r="729" spans="1:12" x14ac:dyDescent="0.3">
      <c r="A729" s="1">
        <v>45224.310416666667</v>
      </c>
      <c r="B729" t="s">
        <v>424</v>
      </c>
      <c r="C729">
        <v>98</v>
      </c>
      <c r="D729" t="s">
        <v>8</v>
      </c>
      <c r="E729" t="str">
        <f>IFERROR(VLOOKUP(logos[[#This Row],[Cell_ID]],'registe maintenance'!A:B,2,FALSE)," non répertoriées")</f>
        <v xml:space="preserve"> non répertoriées</v>
      </c>
      <c r="F729" t="str">
        <f>IFERROR(VLOOKUP(logos[[#This Row],[Cell_ID]],'registe maintenance'!A:C,3,FALSE)," non répertoriées")</f>
        <v xml:space="preserve"> non répertoriées</v>
      </c>
      <c r="G729" t="str">
        <f>IFERROR(VLOOKUP(logos[[#This Row],[Cell_ID]],'registe maintenance'!A:D,4,FALSE)," non répertoriées")</f>
        <v xml:space="preserve"> non répertoriées</v>
      </c>
      <c r="H729" t="str">
        <f>IFERROR(VLOOKUP(logos[[#This Row],[Cell_ID]],'registe maintenance'!A:E,5,FALSE)," non répertoriées")</f>
        <v xml:space="preserve"> non répertoriées</v>
      </c>
      <c r="I729" t="str">
        <f>IFERROR(VLOOKUP(logos[[#This Row],[Cell_ID]],'registe maintenance'!A:F,6,FALSE)," non répertoriées")</f>
        <v xml:space="preserve"> non répertoriées</v>
      </c>
      <c r="J729">
        <f>IFERROR(VLOOKUP(B729,'logos transformer '!A:B,2,FALSE),"na")</f>
        <v>3</v>
      </c>
      <c r="K729">
        <f>IFERROR(VLOOKUP(B729,'logos transformer '!A:C,3,FALSE),"na")</f>
        <v>235</v>
      </c>
      <c r="L729" s="1">
        <f>IFERROR(VLOOKUP(B729,'logos transformer '!A:D,4,FALSE),"na")</f>
        <v>45225.921527777777</v>
      </c>
    </row>
    <row r="730" spans="1:12" x14ac:dyDescent="0.3">
      <c r="A730" s="1">
        <v>45220.114583333343</v>
      </c>
      <c r="B730" t="s">
        <v>49</v>
      </c>
      <c r="C730">
        <v>54</v>
      </c>
      <c r="D730" t="s">
        <v>8</v>
      </c>
      <c r="E730" t="str">
        <f>IFERROR(VLOOKUP(logos[[#This Row],[Cell_ID]],'registe maintenance'!A:B,2,FALSE)," non répertoriées")</f>
        <v xml:space="preserve"> non répertoriées</v>
      </c>
      <c r="F730" t="str">
        <f>IFERROR(VLOOKUP(logos[[#This Row],[Cell_ID]],'registe maintenance'!A:C,3,FALSE)," non répertoriées")</f>
        <v xml:space="preserve"> non répertoriées</v>
      </c>
      <c r="G730" t="str">
        <f>IFERROR(VLOOKUP(logos[[#This Row],[Cell_ID]],'registe maintenance'!A:D,4,FALSE)," non répertoriées")</f>
        <v xml:space="preserve"> non répertoriées</v>
      </c>
      <c r="H730" t="str">
        <f>IFERROR(VLOOKUP(logos[[#This Row],[Cell_ID]],'registe maintenance'!A:E,5,FALSE)," non répertoriées")</f>
        <v xml:space="preserve"> non répertoriées</v>
      </c>
      <c r="I730" t="str">
        <f>IFERROR(VLOOKUP(logos[[#This Row],[Cell_ID]],'registe maintenance'!A:F,6,FALSE)," non répertoriées")</f>
        <v xml:space="preserve"> non répertoriées</v>
      </c>
      <c r="J730">
        <f>IFERROR(VLOOKUP(B730,'logos transformer '!A:B,2,FALSE),"na")</f>
        <v>6</v>
      </c>
      <c r="K730">
        <f>IFERROR(VLOOKUP(B730,'logos transformer '!A:C,3,FALSE),"na")</f>
        <v>330</v>
      </c>
      <c r="L730" s="1">
        <f>IFERROR(VLOOKUP(B730,'logos transformer '!A:D,4,FALSE),"na")</f>
        <v>45230.834722222222</v>
      </c>
    </row>
    <row r="731" spans="1:12" x14ac:dyDescent="0.3">
      <c r="A731" s="1">
        <v>45203.009027777778</v>
      </c>
      <c r="B731" t="s">
        <v>477</v>
      </c>
      <c r="C731">
        <v>49</v>
      </c>
      <c r="D731" t="s">
        <v>5</v>
      </c>
      <c r="E731" t="str">
        <f>IFERROR(VLOOKUP(logos[[#This Row],[Cell_ID]],'registe maintenance'!A:B,2,FALSE)," non répertoriées")</f>
        <v xml:space="preserve"> non répertoriées</v>
      </c>
      <c r="F731" t="str">
        <f>IFERROR(VLOOKUP(logos[[#This Row],[Cell_ID]],'registe maintenance'!A:C,3,FALSE)," non répertoriées")</f>
        <v xml:space="preserve"> non répertoriées</v>
      </c>
      <c r="G731" t="str">
        <f>IFERROR(VLOOKUP(logos[[#This Row],[Cell_ID]],'registe maintenance'!A:D,4,FALSE)," non répertoriées")</f>
        <v xml:space="preserve"> non répertoriées</v>
      </c>
      <c r="H731" t="str">
        <f>IFERROR(VLOOKUP(logos[[#This Row],[Cell_ID]],'registe maintenance'!A:E,5,FALSE)," non répertoriées")</f>
        <v xml:space="preserve"> non répertoriées</v>
      </c>
      <c r="I731" t="str">
        <f>IFERROR(VLOOKUP(logos[[#This Row],[Cell_ID]],'registe maintenance'!A:F,6,FALSE)," non répertoriées")</f>
        <v xml:space="preserve"> non répertoriées</v>
      </c>
      <c r="J731">
        <f>IFERROR(VLOOKUP(B731,'logos transformer '!A:B,2,FALSE),"na")</f>
        <v>2</v>
      </c>
      <c r="K731">
        <f>IFERROR(VLOOKUP(B731,'logos transformer '!A:C,3,FALSE),"na")</f>
        <v>142</v>
      </c>
      <c r="L731" s="1">
        <f>IFERROR(VLOOKUP(B731,'logos transformer '!A:D,4,FALSE),"na")</f>
        <v>45204.090277777781</v>
      </c>
    </row>
    <row r="732" spans="1:12" x14ac:dyDescent="0.3">
      <c r="A732" s="1">
        <v>45215.088888888888</v>
      </c>
      <c r="B732" t="s">
        <v>382</v>
      </c>
      <c r="C732">
        <v>59</v>
      </c>
      <c r="D732" t="s">
        <v>10</v>
      </c>
      <c r="E732" t="str">
        <f>IFERROR(VLOOKUP(logos[[#This Row],[Cell_ID]],'registe maintenance'!A:B,2,FALSE)," non répertoriées")</f>
        <v xml:space="preserve"> non répertoriées</v>
      </c>
      <c r="F732" t="str">
        <f>IFERROR(VLOOKUP(logos[[#This Row],[Cell_ID]],'registe maintenance'!A:C,3,FALSE)," non répertoriées")</f>
        <v xml:space="preserve"> non répertoriées</v>
      </c>
      <c r="G732" t="str">
        <f>IFERROR(VLOOKUP(logos[[#This Row],[Cell_ID]],'registe maintenance'!A:D,4,FALSE)," non répertoriées")</f>
        <v xml:space="preserve"> non répertoriées</v>
      </c>
      <c r="H732" t="str">
        <f>IFERROR(VLOOKUP(logos[[#This Row],[Cell_ID]],'registe maintenance'!A:E,5,FALSE)," non répertoriées")</f>
        <v xml:space="preserve"> non répertoriées</v>
      </c>
      <c r="I732" t="str">
        <f>IFERROR(VLOOKUP(logos[[#This Row],[Cell_ID]],'registe maintenance'!A:F,6,FALSE)," non répertoriées")</f>
        <v xml:space="preserve"> non répertoriées</v>
      </c>
      <c r="J732">
        <f>IFERROR(VLOOKUP(B732,'logos transformer '!A:B,2,FALSE),"na")</f>
        <v>2</v>
      </c>
      <c r="K732">
        <f>IFERROR(VLOOKUP(B732,'logos transformer '!A:C,3,FALSE),"na")</f>
        <v>156</v>
      </c>
      <c r="L732" s="1">
        <f>IFERROR(VLOOKUP(B732,'logos transformer '!A:D,4,FALSE),"na")</f>
        <v>45215.088888888888</v>
      </c>
    </row>
    <row r="733" spans="1:12" x14ac:dyDescent="0.3">
      <c r="A733" s="1">
        <v>45218.314583333333</v>
      </c>
      <c r="B733" t="s">
        <v>514</v>
      </c>
      <c r="C733">
        <v>45</v>
      </c>
      <c r="D733" t="s">
        <v>5</v>
      </c>
      <c r="E733" t="str">
        <f>IFERROR(VLOOKUP(logos[[#This Row],[Cell_ID]],'registe maintenance'!A:B,2,FALSE)," non répertoriées")</f>
        <v xml:space="preserve"> non répertoriées</v>
      </c>
      <c r="F733" t="str">
        <f>IFERROR(VLOOKUP(logos[[#This Row],[Cell_ID]],'registe maintenance'!A:C,3,FALSE)," non répertoriées")</f>
        <v xml:space="preserve"> non répertoriées</v>
      </c>
      <c r="G733" t="str">
        <f>IFERROR(VLOOKUP(logos[[#This Row],[Cell_ID]],'registe maintenance'!A:D,4,FALSE)," non répertoriées")</f>
        <v xml:space="preserve"> non répertoriées</v>
      </c>
      <c r="H733" t="str">
        <f>IFERROR(VLOOKUP(logos[[#This Row],[Cell_ID]],'registe maintenance'!A:E,5,FALSE)," non répertoriées")</f>
        <v xml:space="preserve"> non répertoriées</v>
      </c>
      <c r="I733" t="str">
        <f>IFERROR(VLOOKUP(logos[[#This Row],[Cell_ID]],'registe maintenance'!A:F,6,FALSE)," non répertoriées")</f>
        <v xml:space="preserve"> non répertoriées</v>
      </c>
      <c r="J733">
        <f>IFERROR(VLOOKUP(B733,'logos transformer '!A:B,2,FALSE),"na")</f>
        <v>2</v>
      </c>
      <c r="K733">
        <f>IFERROR(VLOOKUP(B733,'logos transformer '!A:C,3,FALSE),"na")</f>
        <v>51</v>
      </c>
      <c r="L733" s="1">
        <f>IFERROR(VLOOKUP(B733,'logos transformer '!A:D,4,FALSE),"na")</f>
        <v>45218.314583333333</v>
      </c>
    </row>
    <row r="734" spans="1:12" x14ac:dyDescent="0.3">
      <c r="A734" s="1">
        <v>45221.583333333343</v>
      </c>
      <c r="B734" t="s">
        <v>515</v>
      </c>
      <c r="C734">
        <v>106</v>
      </c>
      <c r="D734" t="s">
        <v>10</v>
      </c>
      <c r="E734" t="str">
        <f>IFERROR(VLOOKUP(logos[[#This Row],[Cell_ID]],'registe maintenance'!A:B,2,FALSE)," non répertoriées")</f>
        <v xml:space="preserve"> non répertoriées</v>
      </c>
      <c r="F734" t="str">
        <f>IFERROR(VLOOKUP(logos[[#This Row],[Cell_ID]],'registe maintenance'!A:C,3,FALSE)," non répertoriées")</f>
        <v xml:space="preserve"> non répertoriées</v>
      </c>
      <c r="G734" t="str">
        <f>IFERROR(VLOOKUP(logos[[#This Row],[Cell_ID]],'registe maintenance'!A:D,4,FALSE)," non répertoriées")</f>
        <v xml:space="preserve"> non répertoriées</v>
      </c>
      <c r="H734" t="str">
        <f>IFERROR(VLOOKUP(logos[[#This Row],[Cell_ID]],'registe maintenance'!A:E,5,FALSE)," non répertoriées")</f>
        <v xml:space="preserve"> non répertoriées</v>
      </c>
      <c r="I734" t="str">
        <f>IFERROR(VLOOKUP(logos[[#This Row],[Cell_ID]],'registe maintenance'!A:F,6,FALSE)," non répertoriées")</f>
        <v xml:space="preserve"> non répertoriées</v>
      </c>
      <c r="J734">
        <f>IFERROR(VLOOKUP(B734,'logos transformer '!A:B,2,FALSE),"na")</f>
        <v>1</v>
      </c>
      <c r="K734">
        <f>IFERROR(VLOOKUP(B734,'logos transformer '!A:C,3,FALSE),"na")</f>
        <v>106</v>
      </c>
      <c r="L734" s="1">
        <f>IFERROR(VLOOKUP(B734,'logos transformer '!A:D,4,FALSE),"na")</f>
        <v>45221.583333333336</v>
      </c>
    </row>
    <row r="735" spans="1:12" x14ac:dyDescent="0.3">
      <c r="A735" s="1">
        <v>45200.931250000001</v>
      </c>
      <c r="B735" t="s">
        <v>304</v>
      </c>
      <c r="C735">
        <v>22</v>
      </c>
      <c r="D735" t="s">
        <v>5</v>
      </c>
      <c r="E735" t="str">
        <f>IFERROR(VLOOKUP(logos[[#This Row],[Cell_ID]],'registe maintenance'!A:B,2,FALSE)," non répertoriées")</f>
        <v xml:space="preserve"> non répertoriées</v>
      </c>
      <c r="F735" t="str">
        <f>IFERROR(VLOOKUP(logos[[#This Row],[Cell_ID]],'registe maintenance'!A:C,3,FALSE)," non répertoriées")</f>
        <v xml:space="preserve"> non répertoriées</v>
      </c>
      <c r="G735" t="str">
        <f>IFERROR(VLOOKUP(logos[[#This Row],[Cell_ID]],'registe maintenance'!A:D,4,FALSE)," non répertoriées")</f>
        <v xml:space="preserve"> non répertoriées</v>
      </c>
      <c r="H735" t="str">
        <f>IFERROR(VLOOKUP(logos[[#This Row],[Cell_ID]],'registe maintenance'!A:E,5,FALSE)," non répertoriées")</f>
        <v xml:space="preserve"> non répertoriées</v>
      </c>
      <c r="I735" t="str">
        <f>IFERROR(VLOOKUP(logos[[#This Row],[Cell_ID]],'registe maintenance'!A:F,6,FALSE)," non répertoriées")</f>
        <v xml:space="preserve"> non répertoriées</v>
      </c>
      <c r="J735">
        <f>IFERROR(VLOOKUP(B735,'logos transformer '!A:B,2,FALSE),"na")</f>
        <v>2</v>
      </c>
      <c r="K735">
        <f>IFERROR(VLOOKUP(B735,'logos transformer '!A:C,3,FALSE),"na")</f>
        <v>133</v>
      </c>
      <c r="L735" s="1">
        <f>IFERROR(VLOOKUP(B735,'logos transformer '!A:D,4,FALSE),"na")</f>
        <v>45213.446527777778</v>
      </c>
    </row>
    <row r="736" spans="1:12" x14ac:dyDescent="0.3">
      <c r="A736" s="1">
        <v>45226.163194444453</v>
      </c>
      <c r="B736" t="s">
        <v>516</v>
      </c>
      <c r="C736">
        <v>36</v>
      </c>
      <c r="D736" t="s">
        <v>8</v>
      </c>
      <c r="E736" t="str">
        <f>IFERROR(VLOOKUP(logos[[#This Row],[Cell_ID]],'registe maintenance'!A:B,2,FALSE)," non répertoriées")</f>
        <v xml:space="preserve"> non répertoriées</v>
      </c>
      <c r="F736" t="str">
        <f>IFERROR(VLOOKUP(logos[[#This Row],[Cell_ID]],'registe maintenance'!A:C,3,FALSE)," non répertoriées")</f>
        <v xml:space="preserve"> non répertoriées</v>
      </c>
      <c r="G736" t="str">
        <f>IFERROR(VLOOKUP(logos[[#This Row],[Cell_ID]],'registe maintenance'!A:D,4,FALSE)," non répertoriées")</f>
        <v xml:space="preserve"> non répertoriées</v>
      </c>
      <c r="H736" t="str">
        <f>IFERROR(VLOOKUP(logos[[#This Row],[Cell_ID]],'registe maintenance'!A:E,5,FALSE)," non répertoriées")</f>
        <v xml:space="preserve"> non répertoriées</v>
      </c>
      <c r="I736" t="str">
        <f>IFERROR(VLOOKUP(logos[[#This Row],[Cell_ID]],'registe maintenance'!A:F,6,FALSE)," non répertoriées")</f>
        <v xml:space="preserve"> non répertoriées</v>
      </c>
      <c r="J736">
        <f>IFERROR(VLOOKUP(B736,'logos transformer '!A:B,2,FALSE),"na")</f>
        <v>1</v>
      </c>
      <c r="K736">
        <f>IFERROR(VLOOKUP(B736,'logos transformer '!A:C,3,FALSE),"na")</f>
        <v>36</v>
      </c>
      <c r="L736" s="1">
        <f>IFERROR(VLOOKUP(B736,'logos transformer '!A:D,4,FALSE),"na")</f>
        <v>45226.163194444445</v>
      </c>
    </row>
    <row r="737" spans="1:12" x14ac:dyDescent="0.3">
      <c r="A737" s="1">
        <v>45213.922222222223</v>
      </c>
      <c r="B737" t="s">
        <v>430</v>
      </c>
      <c r="C737">
        <v>40</v>
      </c>
      <c r="D737" t="s">
        <v>5</v>
      </c>
      <c r="E737" t="str">
        <f>IFERROR(VLOOKUP(logos[[#This Row],[Cell_ID]],'registe maintenance'!A:B,2,FALSE)," non répertoriées")</f>
        <v xml:space="preserve"> non répertoriées</v>
      </c>
      <c r="F737" t="str">
        <f>IFERROR(VLOOKUP(logos[[#This Row],[Cell_ID]],'registe maintenance'!A:C,3,FALSE)," non répertoriées")</f>
        <v xml:space="preserve"> non répertoriées</v>
      </c>
      <c r="G737" t="str">
        <f>IFERROR(VLOOKUP(logos[[#This Row],[Cell_ID]],'registe maintenance'!A:D,4,FALSE)," non répertoriées")</f>
        <v xml:space="preserve"> non répertoriées</v>
      </c>
      <c r="H737" t="str">
        <f>IFERROR(VLOOKUP(logos[[#This Row],[Cell_ID]],'registe maintenance'!A:E,5,FALSE)," non répertoriées")</f>
        <v xml:space="preserve"> non répertoriées</v>
      </c>
      <c r="I737" t="str">
        <f>IFERROR(VLOOKUP(logos[[#This Row],[Cell_ID]],'registe maintenance'!A:F,6,FALSE)," non répertoriées")</f>
        <v xml:space="preserve"> non répertoriées</v>
      </c>
      <c r="J737">
        <f>IFERROR(VLOOKUP(B737,'logos transformer '!A:B,2,FALSE),"na")</f>
        <v>2</v>
      </c>
      <c r="K737">
        <f>IFERROR(VLOOKUP(B737,'logos transformer '!A:C,3,FALSE),"na")</f>
        <v>66</v>
      </c>
      <c r="L737" s="1">
        <f>IFERROR(VLOOKUP(B737,'logos transformer '!A:D,4,FALSE),"na")</f>
        <v>45222.55972222222</v>
      </c>
    </row>
    <row r="738" spans="1:12" x14ac:dyDescent="0.3">
      <c r="A738" s="1">
        <v>45215.093055555553</v>
      </c>
      <c r="B738" t="s">
        <v>517</v>
      </c>
      <c r="C738">
        <v>87</v>
      </c>
      <c r="D738" t="s">
        <v>5</v>
      </c>
      <c r="E738" t="str">
        <f>IFERROR(VLOOKUP(logos[[#This Row],[Cell_ID]],'registe maintenance'!A:B,2,FALSE)," non répertoriées")</f>
        <v>Mongala</v>
      </c>
      <c r="F738">
        <f>IFERROR(VLOOKUP(logos[[#This Row],[Cell_ID]],'registe maintenance'!A:C,3,FALSE)," non répertoriées")</f>
        <v>-7.6951369999999999</v>
      </c>
      <c r="G738">
        <f>IFERROR(VLOOKUP(logos[[#This Row],[Cell_ID]],'registe maintenance'!A:D,4,FALSE)," non répertoriées")</f>
        <v>13.346605</v>
      </c>
      <c r="H738" t="str">
        <f>IFERROR(VLOOKUP(logos[[#This Row],[Cell_ID]],'registe maintenance'!A:E,5,FALSE)," non répertoriées")</f>
        <v>4G</v>
      </c>
      <c r="I738" t="str">
        <f>IFERROR(VLOOKUP(logos[[#This Row],[Cell_ID]],'registe maintenance'!A:F,6,FALSE)," non répertoriées")</f>
        <v>Ericsson</v>
      </c>
      <c r="J738">
        <f>IFERROR(VLOOKUP(B738,'logos transformer '!A:B,2,FALSE),"na")</f>
        <v>1</v>
      </c>
      <c r="K738">
        <f>IFERROR(VLOOKUP(B738,'logos transformer '!A:C,3,FALSE),"na")</f>
        <v>87</v>
      </c>
      <c r="L738" s="1">
        <f>IFERROR(VLOOKUP(B738,'logos transformer '!A:D,4,FALSE),"na")</f>
        <v>45215.093055555553</v>
      </c>
    </row>
    <row r="739" spans="1:12" x14ac:dyDescent="0.3">
      <c r="A739" s="1">
        <v>45212.115277777782</v>
      </c>
      <c r="B739" t="s">
        <v>317</v>
      </c>
      <c r="C739">
        <v>15</v>
      </c>
      <c r="D739" t="s">
        <v>8</v>
      </c>
      <c r="E739" t="str">
        <f>IFERROR(VLOOKUP(logos[[#This Row],[Cell_ID]],'registe maintenance'!A:B,2,FALSE)," non répertoriées")</f>
        <v>Haut-Lomami</v>
      </c>
      <c r="F739">
        <f>IFERROR(VLOOKUP(logos[[#This Row],[Cell_ID]],'registe maintenance'!A:C,3,FALSE)," non répertoriées")</f>
        <v>-7.1785899999999998</v>
      </c>
      <c r="G739">
        <f>IFERROR(VLOOKUP(logos[[#This Row],[Cell_ID]],'registe maintenance'!A:D,4,FALSE)," non répertoriées")</f>
        <v>24.4404</v>
      </c>
      <c r="H739" t="str">
        <f>IFERROR(VLOOKUP(logos[[#This Row],[Cell_ID]],'registe maintenance'!A:E,5,FALSE)," non répertoriées")</f>
        <v>4G</v>
      </c>
      <c r="I739" t="str">
        <f>IFERROR(VLOOKUP(logos[[#This Row],[Cell_ID]],'registe maintenance'!A:F,6,FALSE)," non répertoriées")</f>
        <v>Nokia</v>
      </c>
      <c r="J739">
        <f>IFERROR(VLOOKUP(B739,'logos transformer '!A:B,2,FALSE),"na")</f>
        <v>3</v>
      </c>
      <c r="K739">
        <f>IFERROR(VLOOKUP(B739,'logos transformer '!A:C,3,FALSE),"na")</f>
        <v>114</v>
      </c>
      <c r="L739" s="1">
        <f>IFERROR(VLOOKUP(B739,'logos transformer '!A:D,4,FALSE),"na")</f>
        <v>45229.670138888891</v>
      </c>
    </row>
    <row r="740" spans="1:12" x14ac:dyDescent="0.3">
      <c r="A740" s="1">
        <v>45225.129166666673</v>
      </c>
      <c r="B740" t="s">
        <v>97</v>
      </c>
      <c r="C740">
        <v>36</v>
      </c>
      <c r="D740" t="s">
        <v>10</v>
      </c>
      <c r="E740" t="str">
        <f>IFERROR(VLOOKUP(logos[[#This Row],[Cell_ID]],'registe maintenance'!A:B,2,FALSE)," non répertoriées")</f>
        <v xml:space="preserve"> non répertoriées</v>
      </c>
      <c r="F740" t="str">
        <f>IFERROR(VLOOKUP(logos[[#This Row],[Cell_ID]],'registe maintenance'!A:C,3,FALSE)," non répertoriées")</f>
        <v xml:space="preserve"> non répertoriées</v>
      </c>
      <c r="G740" t="str">
        <f>IFERROR(VLOOKUP(logos[[#This Row],[Cell_ID]],'registe maintenance'!A:D,4,FALSE)," non répertoriées")</f>
        <v xml:space="preserve"> non répertoriées</v>
      </c>
      <c r="H740" t="str">
        <f>IFERROR(VLOOKUP(logos[[#This Row],[Cell_ID]],'registe maintenance'!A:E,5,FALSE)," non répertoriées")</f>
        <v xml:space="preserve"> non répertoriées</v>
      </c>
      <c r="I740" t="str">
        <f>IFERROR(VLOOKUP(logos[[#This Row],[Cell_ID]],'registe maintenance'!A:F,6,FALSE)," non répertoriées")</f>
        <v xml:space="preserve"> non répertoriées</v>
      </c>
      <c r="J740">
        <f>IFERROR(VLOOKUP(B740,'logos transformer '!A:B,2,FALSE),"na")</f>
        <v>2</v>
      </c>
      <c r="K740">
        <f>IFERROR(VLOOKUP(B740,'logos transformer '!A:C,3,FALSE),"na")</f>
        <v>121</v>
      </c>
      <c r="L740" s="1">
        <f>IFERROR(VLOOKUP(B740,'logos transformer '!A:D,4,FALSE),"na")</f>
        <v>45225.129166666666</v>
      </c>
    </row>
    <row r="741" spans="1:12" x14ac:dyDescent="0.3">
      <c r="A741" s="1">
        <v>45210.49722222222</v>
      </c>
      <c r="B741" t="s">
        <v>232</v>
      </c>
      <c r="C741">
        <v>75</v>
      </c>
      <c r="D741" t="s">
        <v>10</v>
      </c>
      <c r="E741" t="str">
        <f>IFERROR(VLOOKUP(logos[[#This Row],[Cell_ID]],'registe maintenance'!A:B,2,FALSE)," non répertoriées")</f>
        <v>Sud-Kivu</v>
      </c>
      <c r="F741">
        <f>IFERROR(VLOOKUP(logos[[#This Row],[Cell_ID]],'registe maintenance'!A:C,3,FALSE)," non répertoriées")</f>
        <v>-9.3900009999999998</v>
      </c>
      <c r="G741">
        <f>IFERROR(VLOOKUP(logos[[#This Row],[Cell_ID]],'registe maintenance'!A:D,4,FALSE)," non répertoriées")</f>
        <v>30.001517</v>
      </c>
      <c r="H741" t="str">
        <f>IFERROR(VLOOKUP(logos[[#This Row],[Cell_ID]],'registe maintenance'!A:E,5,FALSE)," non répertoriées")</f>
        <v>3G</v>
      </c>
      <c r="I741" t="str">
        <f>IFERROR(VLOOKUP(logos[[#This Row],[Cell_ID]],'registe maintenance'!A:F,6,FALSE)," non répertoriées")</f>
        <v>Nokia</v>
      </c>
      <c r="J741">
        <f>IFERROR(VLOOKUP(B741,'logos transformer '!A:B,2,FALSE),"na")</f>
        <v>2</v>
      </c>
      <c r="K741">
        <f>IFERROR(VLOOKUP(B741,'logos transformer '!A:C,3,FALSE),"na")</f>
        <v>175</v>
      </c>
      <c r="L741" s="1">
        <f>IFERROR(VLOOKUP(B741,'logos transformer '!A:D,4,FALSE),"na")</f>
        <v>45228.001388888886</v>
      </c>
    </row>
    <row r="742" spans="1:12" x14ac:dyDescent="0.3">
      <c r="A742" s="1">
        <v>45209.183333333327</v>
      </c>
      <c r="B742" t="s">
        <v>518</v>
      </c>
      <c r="C742">
        <v>81</v>
      </c>
      <c r="D742" t="s">
        <v>8</v>
      </c>
      <c r="E742" t="str">
        <f>IFERROR(VLOOKUP(logos[[#This Row],[Cell_ID]],'registe maintenance'!A:B,2,FALSE)," non répertoriées")</f>
        <v xml:space="preserve"> non répertoriées</v>
      </c>
      <c r="F742" t="str">
        <f>IFERROR(VLOOKUP(logos[[#This Row],[Cell_ID]],'registe maintenance'!A:C,3,FALSE)," non répertoriées")</f>
        <v xml:space="preserve"> non répertoriées</v>
      </c>
      <c r="G742" t="str">
        <f>IFERROR(VLOOKUP(logos[[#This Row],[Cell_ID]],'registe maintenance'!A:D,4,FALSE)," non répertoriées")</f>
        <v xml:space="preserve"> non répertoriées</v>
      </c>
      <c r="H742" t="str">
        <f>IFERROR(VLOOKUP(logos[[#This Row],[Cell_ID]],'registe maintenance'!A:E,5,FALSE)," non répertoriées")</f>
        <v xml:space="preserve"> non répertoriées</v>
      </c>
      <c r="I742" t="str">
        <f>IFERROR(VLOOKUP(logos[[#This Row],[Cell_ID]],'registe maintenance'!A:F,6,FALSE)," non répertoriées")</f>
        <v xml:space="preserve"> non répertoriées</v>
      </c>
      <c r="J742">
        <f>IFERROR(VLOOKUP(B742,'logos transformer '!A:B,2,FALSE),"na")</f>
        <v>2</v>
      </c>
      <c r="K742">
        <f>IFERROR(VLOOKUP(B742,'logos transformer '!A:C,3,FALSE),"na")</f>
        <v>100</v>
      </c>
      <c r="L742" s="1">
        <f>IFERROR(VLOOKUP(B742,'logos transformer '!A:D,4,FALSE),"na")</f>
        <v>45223.548611111109</v>
      </c>
    </row>
    <row r="743" spans="1:12" x14ac:dyDescent="0.3">
      <c r="A743" s="1">
        <v>45224.195138888892</v>
      </c>
      <c r="B743" t="s">
        <v>519</v>
      </c>
      <c r="C743">
        <v>81</v>
      </c>
      <c r="D743" t="s">
        <v>8</v>
      </c>
      <c r="E743" t="str">
        <f>IFERROR(VLOOKUP(logos[[#This Row],[Cell_ID]],'registe maintenance'!A:B,2,FALSE)," non répertoriées")</f>
        <v>Bas-Uele</v>
      </c>
      <c r="F743">
        <f>IFERROR(VLOOKUP(logos[[#This Row],[Cell_ID]],'registe maintenance'!A:C,3,FALSE)," non répertoriées")</f>
        <v>-1.500685</v>
      </c>
      <c r="G743">
        <f>IFERROR(VLOOKUP(logos[[#This Row],[Cell_ID]],'registe maintenance'!A:D,4,FALSE)," non répertoriées")</f>
        <v>26.563376000000002</v>
      </c>
      <c r="H743" t="str">
        <f>IFERROR(VLOOKUP(logos[[#This Row],[Cell_ID]],'registe maintenance'!A:E,5,FALSE)," non répertoriées")</f>
        <v>5G</v>
      </c>
      <c r="I743" t="str">
        <f>IFERROR(VLOOKUP(logos[[#This Row],[Cell_ID]],'registe maintenance'!A:F,6,FALSE)," non répertoriées")</f>
        <v>Nokia</v>
      </c>
      <c r="J743">
        <f>IFERROR(VLOOKUP(B743,'logos transformer '!A:B,2,FALSE),"na")</f>
        <v>1</v>
      </c>
      <c r="K743">
        <f>IFERROR(VLOOKUP(B743,'logos transformer '!A:C,3,FALSE),"na")</f>
        <v>81</v>
      </c>
      <c r="L743" s="1">
        <f>IFERROR(VLOOKUP(B743,'logos transformer '!A:D,4,FALSE),"na")</f>
        <v>45224.195138888892</v>
      </c>
    </row>
    <row r="744" spans="1:12" x14ac:dyDescent="0.3">
      <c r="A744" s="1">
        <v>45223.293749999997</v>
      </c>
      <c r="B744" t="s">
        <v>431</v>
      </c>
      <c r="C744">
        <v>42</v>
      </c>
      <c r="D744" t="s">
        <v>10</v>
      </c>
      <c r="E744" t="str">
        <f>IFERROR(VLOOKUP(logos[[#This Row],[Cell_ID]],'registe maintenance'!A:B,2,FALSE)," non répertoriées")</f>
        <v>Haut-Katanga</v>
      </c>
      <c r="F744">
        <f>IFERROR(VLOOKUP(logos[[#This Row],[Cell_ID]],'registe maintenance'!A:C,3,FALSE)," non répertoriées")</f>
        <v>-4.4958720000000003</v>
      </c>
      <c r="G744">
        <f>IFERROR(VLOOKUP(logos[[#This Row],[Cell_ID]],'registe maintenance'!A:D,4,FALSE)," non répertoriées")</f>
        <v>18.514112000000001</v>
      </c>
      <c r="H744" t="str">
        <f>IFERROR(VLOOKUP(logos[[#This Row],[Cell_ID]],'registe maintenance'!A:E,5,FALSE)," non répertoriées")</f>
        <v>4G</v>
      </c>
      <c r="I744" t="str">
        <f>IFERROR(VLOOKUP(logos[[#This Row],[Cell_ID]],'registe maintenance'!A:F,6,FALSE)," non répertoriées")</f>
        <v>Nokia</v>
      </c>
      <c r="J744">
        <f>IFERROR(VLOOKUP(B744,'logos transformer '!A:B,2,FALSE),"na")</f>
        <v>2</v>
      </c>
      <c r="K744">
        <f>IFERROR(VLOOKUP(B744,'logos transformer '!A:C,3,FALSE),"na")</f>
        <v>148</v>
      </c>
      <c r="L744" s="1">
        <f>IFERROR(VLOOKUP(B744,'logos transformer '!A:D,4,FALSE),"na")</f>
        <v>45223.293749999997</v>
      </c>
    </row>
    <row r="745" spans="1:12" x14ac:dyDescent="0.3">
      <c r="A745" s="1">
        <v>45207.124305555553</v>
      </c>
      <c r="B745" t="s">
        <v>520</v>
      </c>
      <c r="C745">
        <v>77</v>
      </c>
      <c r="D745" t="s">
        <v>10</v>
      </c>
      <c r="E745" t="str">
        <f>IFERROR(VLOOKUP(logos[[#This Row],[Cell_ID]],'registe maintenance'!A:B,2,FALSE)," non répertoriées")</f>
        <v xml:space="preserve"> non répertoriées</v>
      </c>
      <c r="F745" t="str">
        <f>IFERROR(VLOOKUP(logos[[#This Row],[Cell_ID]],'registe maintenance'!A:C,3,FALSE)," non répertoriées")</f>
        <v xml:space="preserve"> non répertoriées</v>
      </c>
      <c r="G745" t="str">
        <f>IFERROR(VLOOKUP(logos[[#This Row],[Cell_ID]],'registe maintenance'!A:D,4,FALSE)," non répertoriées")</f>
        <v xml:space="preserve"> non répertoriées</v>
      </c>
      <c r="H745" t="str">
        <f>IFERROR(VLOOKUP(logos[[#This Row],[Cell_ID]],'registe maintenance'!A:E,5,FALSE)," non répertoriées")</f>
        <v xml:space="preserve"> non répertoriées</v>
      </c>
      <c r="I745" t="str">
        <f>IFERROR(VLOOKUP(logos[[#This Row],[Cell_ID]],'registe maintenance'!A:F,6,FALSE)," non répertoriées")</f>
        <v xml:space="preserve"> non répertoriées</v>
      </c>
      <c r="J745">
        <f>IFERROR(VLOOKUP(B745,'logos transformer '!A:B,2,FALSE),"na")</f>
        <v>1</v>
      </c>
      <c r="K745">
        <f>IFERROR(VLOOKUP(B745,'logos transformer '!A:C,3,FALSE),"na")</f>
        <v>77</v>
      </c>
      <c r="L745" s="1">
        <f>IFERROR(VLOOKUP(B745,'logos transformer '!A:D,4,FALSE),"na")</f>
        <v>45207.124305555553</v>
      </c>
    </row>
    <row r="746" spans="1:12" x14ac:dyDescent="0.3">
      <c r="A746" s="1">
        <v>45213.145138888889</v>
      </c>
      <c r="B746" t="s">
        <v>427</v>
      </c>
      <c r="C746">
        <v>105</v>
      </c>
      <c r="D746" t="s">
        <v>8</v>
      </c>
      <c r="E746" t="str">
        <f>IFERROR(VLOOKUP(logos[[#This Row],[Cell_ID]],'registe maintenance'!A:B,2,FALSE)," non répertoriées")</f>
        <v>Kwilu</v>
      </c>
      <c r="F746">
        <f>IFERROR(VLOOKUP(logos[[#This Row],[Cell_ID]],'registe maintenance'!A:C,3,FALSE)," non répertoriées")</f>
        <v>-10.939712999999999</v>
      </c>
      <c r="G746">
        <f>IFERROR(VLOOKUP(logos[[#This Row],[Cell_ID]],'registe maintenance'!A:D,4,FALSE)," non répertoriées")</f>
        <v>18.276230999999999</v>
      </c>
      <c r="H746" t="str">
        <f>IFERROR(VLOOKUP(logos[[#This Row],[Cell_ID]],'registe maintenance'!A:E,5,FALSE)," non répertoriées")</f>
        <v>4G</v>
      </c>
      <c r="I746" t="str">
        <f>IFERROR(VLOOKUP(logos[[#This Row],[Cell_ID]],'registe maintenance'!A:F,6,FALSE)," non répertoriées")</f>
        <v>ZTE</v>
      </c>
      <c r="J746">
        <f>IFERROR(VLOOKUP(B746,'logos transformer '!A:B,2,FALSE),"na")</f>
        <v>2</v>
      </c>
      <c r="K746">
        <f>IFERROR(VLOOKUP(B746,'logos transformer '!A:C,3,FALSE),"na")</f>
        <v>127</v>
      </c>
      <c r="L746" s="1">
        <f>IFERROR(VLOOKUP(B746,'logos transformer '!A:D,4,FALSE),"na")</f>
        <v>45213.145138888889</v>
      </c>
    </row>
    <row r="747" spans="1:12" x14ac:dyDescent="0.3">
      <c r="A747" s="1">
        <v>45219.793749999997</v>
      </c>
      <c r="B747" t="s">
        <v>521</v>
      </c>
      <c r="C747">
        <v>43</v>
      </c>
      <c r="D747" t="s">
        <v>8</v>
      </c>
      <c r="E747" t="str">
        <f>IFERROR(VLOOKUP(logos[[#This Row],[Cell_ID]],'registe maintenance'!A:B,2,FALSE)," non répertoriées")</f>
        <v xml:space="preserve"> non répertoriées</v>
      </c>
      <c r="F747" t="str">
        <f>IFERROR(VLOOKUP(logos[[#This Row],[Cell_ID]],'registe maintenance'!A:C,3,FALSE)," non répertoriées")</f>
        <v xml:space="preserve"> non répertoriées</v>
      </c>
      <c r="G747" t="str">
        <f>IFERROR(VLOOKUP(logos[[#This Row],[Cell_ID]],'registe maintenance'!A:D,4,FALSE)," non répertoriées")</f>
        <v xml:space="preserve"> non répertoriées</v>
      </c>
      <c r="H747" t="str">
        <f>IFERROR(VLOOKUP(logos[[#This Row],[Cell_ID]],'registe maintenance'!A:E,5,FALSE)," non répertoriées")</f>
        <v xml:space="preserve"> non répertoriées</v>
      </c>
      <c r="I747" t="str">
        <f>IFERROR(VLOOKUP(logos[[#This Row],[Cell_ID]],'registe maintenance'!A:F,6,FALSE)," non répertoriées")</f>
        <v xml:space="preserve"> non répertoriées</v>
      </c>
      <c r="J747">
        <f>IFERROR(VLOOKUP(B747,'logos transformer '!A:B,2,FALSE),"na")</f>
        <v>1</v>
      </c>
      <c r="K747">
        <f>IFERROR(VLOOKUP(B747,'logos transformer '!A:C,3,FALSE),"na")</f>
        <v>43</v>
      </c>
      <c r="L747" s="1">
        <f>IFERROR(VLOOKUP(B747,'logos transformer '!A:D,4,FALSE),"na")</f>
        <v>45219.793749999997</v>
      </c>
    </row>
    <row r="748" spans="1:12" x14ac:dyDescent="0.3">
      <c r="A748" s="1">
        <v>45209.907638888893</v>
      </c>
      <c r="B748" t="s">
        <v>522</v>
      </c>
      <c r="C748">
        <v>99</v>
      </c>
      <c r="D748" t="s">
        <v>10</v>
      </c>
      <c r="E748" t="str">
        <f>IFERROR(VLOOKUP(logos[[#This Row],[Cell_ID]],'registe maintenance'!A:B,2,FALSE)," non répertoriées")</f>
        <v>Kasai</v>
      </c>
      <c r="F748">
        <f>IFERROR(VLOOKUP(logos[[#This Row],[Cell_ID]],'registe maintenance'!A:C,3,FALSE)," non répertoriées")</f>
        <v>-7.6757720000000003</v>
      </c>
      <c r="G748">
        <f>IFERROR(VLOOKUP(logos[[#This Row],[Cell_ID]],'registe maintenance'!A:D,4,FALSE)," non répertoriées")</f>
        <v>30.222971000000001</v>
      </c>
      <c r="H748" t="str">
        <f>IFERROR(VLOOKUP(logos[[#This Row],[Cell_ID]],'registe maintenance'!A:E,5,FALSE)," non répertoriées")</f>
        <v>5G</v>
      </c>
      <c r="I748" t="str">
        <f>IFERROR(VLOOKUP(logos[[#This Row],[Cell_ID]],'registe maintenance'!A:F,6,FALSE)," non répertoriées")</f>
        <v>Ericsson</v>
      </c>
      <c r="J748">
        <f>IFERROR(VLOOKUP(B748,'logos transformer '!A:B,2,FALSE),"na")</f>
        <v>1</v>
      </c>
      <c r="K748">
        <f>IFERROR(VLOOKUP(B748,'logos transformer '!A:C,3,FALSE),"na")</f>
        <v>99</v>
      </c>
      <c r="L748" s="1">
        <f>IFERROR(VLOOKUP(B748,'logos transformer '!A:D,4,FALSE),"na")</f>
        <v>45209.907638888886</v>
      </c>
    </row>
    <row r="749" spans="1:12" x14ac:dyDescent="0.3">
      <c r="A749" s="1">
        <v>45221.96597222222</v>
      </c>
      <c r="B749" t="s">
        <v>523</v>
      </c>
      <c r="C749">
        <v>84</v>
      </c>
      <c r="D749" t="s">
        <v>10</v>
      </c>
      <c r="E749" t="str">
        <f>IFERROR(VLOOKUP(logos[[#This Row],[Cell_ID]],'registe maintenance'!A:B,2,FALSE)," non répertoriées")</f>
        <v xml:space="preserve"> non répertoriées</v>
      </c>
      <c r="F749" t="str">
        <f>IFERROR(VLOOKUP(logos[[#This Row],[Cell_ID]],'registe maintenance'!A:C,3,FALSE)," non répertoriées")</f>
        <v xml:space="preserve"> non répertoriées</v>
      </c>
      <c r="G749" t="str">
        <f>IFERROR(VLOOKUP(logos[[#This Row],[Cell_ID]],'registe maintenance'!A:D,4,FALSE)," non répertoriées")</f>
        <v xml:space="preserve"> non répertoriées</v>
      </c>
      <c r="H749" t="str">
        <f>IFERROR(VLOOKUP(logos[[#This Row],[Cell_ID]],'registe maintenance'!A:E,5,FALSE)," non répertoriées")</f>
        <v xml:space="preserve"> non répertoriées</v>
      </c>
      <c r="I749" t="str">
        <f>IFERROR(VLOOKUP(logos[[#This Row],[Cell_ID]],'registe maintenance'!A:F,6,FALSE)," non répertoriées")</f>
        <v xml:space="preserve"> non répertoriées</v>
      </c>
      <c r="J749">
        <f>IFERROR(VLOOKUP(B749,'logos transformer '!A:B,2,FALSE),"na")</f>
        <v>1</v>
      </c>
      <c r="K749">
        <f>IFERROR(VLOOKUP(B749,'logos transformer '!A:C,3,FALSE),"na")</f>
        <v>84</v>
      </c>
      <c r="L749" s="1">
        <f>IFERROR(VLOOKUP(B749,'logos transformer '!A:D,4,FALSE),"na")</f>
        <v>45221.96597222222</v>
      </c>
    </row>
    <row r="750" spans="1:12" x14ac:dyDescent="0.3">
      <c r="A750" s="1">
        <v>45203.03125</v>
      </c>
      <c r="B750" t="s">
        <v>14</v>
      </c>
      <c r="C750">
        <v>36</v>
      </c>
      <c r="D750" t="s">
        <v>10</v>
      </c>
      <c r="E750" t="str">
        <f>IFERROR(VLOOKUP(logos[[#This Row],[Cell_ID]],'registe maintenance'!A:B,2,FALSE)," non répertoriées")</f>
        <v xml:space="preserve"> non répertoriées</v>
      </c>
      <c r="F750" t="str">
        <f>IFERROR(VLOOKUP(logos[[#This Row],[Cell_ID]],'registe maintenance'!A:C,3,FALSE)," non répertoriées")</f>
        <v xml:space="preserve"> non répertoriées</v>
      </c>
      <c r="G750" t="str">
        <f>IFERROR(VLOOKUP(logos[[#This Row],[Cell_ID]],'registe maintenance'!A:D,4,FALSE)," non répertoriées")</f>
        <v xml:space="preserve"> non répertoriées</v>
      </c>
      <c r="H750" t="str">
        <f>IFERROR(VLOOKUP(logos[[#This Row],[Cell_ID]],'registe maintenance'!A:E,5,FALSE)," non répertoriées")</f>
        <v xml:space="preserve"> non répertoriées</v>
      </c>
      <c r="I750" t="str">
        <f>IFERROR(VLOOKUP(logos[[#This Row],[Cell_ID]],'registe maintenance'!A:F,6,FALSE)," non répertoriées")</f>
        <v xml:space="preserve"> non répertoriées</v>
      </c>
      <c r="J750">
        <f>IFERROR(VLOOKUP(B750,'logos transformer '!A:B,2,FALSE),"na")</f>
        <v>2</v>
      </c>
      <c r="K750">
        <f>IFERROR(VLOOKUP(B750,'logos transformer '!A:C,3,FALSE),"na")</f>
        <v>92</v>
      </c>
      <c r="L750" s="1">
        <f>IFERROR(VLOOKUP(B750,'logos transformer '!A:D,4,FALSE),"na")</f>
        <v>45216.792361111111</v>
      </c>
    </row>
    <row r="751" spans="1:12" x14ac:dyDescent="0.3">
      <c r="A751" s="1">
        <v>45204.916666666657</v>
      </c>
      <c r="B751" t="s">
        <v>524</v>
      </c>
      <c r="C751">
        <v>64</v>
      </c>
      <c r="D751" t="s">
        <v>10</v>
      </c>
      <c r="E751" t="str">
        <f>IFERROR(VLOOKUP(logos[[#This Row],[Cell_ID]],'registe maintenance'!A:B,2,FALSE)," non répertoriées")</f>
        <v xml:space="preserve"> non répertoriées</v>
      </c>
      <c r="F751" t="str">
        <f>IFERROR(VLOOKUP(logos[[#This Row],[Cell_ID]],'registe maintenance'!A:C,3,FALSE)," non répertoriées")</f>
        <v xml:space="preserve"> non répertoriées</v>
      </c>
      <c r="G751" t="str">
        <f>IFERROR(VLOOKUP(logos[[#This Row],[Cell_ID]],'registe maintenance'!A:D,4,FALSE)," non répertoriées")</f>
        <v xml:space="preserve"> non répertoriées</v>
      </c>
      <c r="H751" t="str">
        <f>IFERROR(VLOOKUP(logos[[#This Row],[Cell_ID]],'registe maintenance'!A:E,5,FALSE)," non répertoriées")</f>
        <v xml:space="preserve"> non répertoriées</v>
      </c>
      <c r="I751" t="str">
        <f>IFERROR(VLOOKUP(logos[[#This Row],[Cell_ID]],'registe maintenance'!A:F,6,FALSE)," non répertoriées")</f>
        <v xml:space="preserve"> non répertoriées</v>
      </c>
      <c r="J751">
        <f>IFERROR(VLOOKUP(B751,'logos transformer '!A:B,2,FALSE),"na")</f>
        <v>2</v>
      </c>
      <c r="K751">
        <f>IFERROR(VLOOKUP(B751,'logos transformer '!A:C,3,FALSE),"na")</f>
        <v>89</v>
      </c>
      <c r="L751" s="1">
        <f>IFERROR(VLOOKUP(B751,'logos transformer '!A:D,4,FALSE),"na")</f>
        <v>45227.421527777777</v>
      </c>
    </row>
    <row r="752" spans="1:12" x14ac:dyDescent="0.3">
      <c r="A752" s="1">
        <v>45205.640277777777</v>
      </c>
      <c r="B752" t="s">
        <v>150</v>
      </c>
      <c r="C752">
        <v>52</v>
      </c>
      <c r="D752" t="s">
        <v>5</v>
      </c>
      <c r="E752" t="str">
        <f>IFERROR(VLOOKUP(logos[[#This Row],[Cell_ID]],'registe maintenance'!A:B,2,FALSE)," non répertoriées")</f>
        <v xml:space="preserve"> non répertoriées</v>
      </c>
      <c r="F752" t="str">
        <f>IFERROR(VLOOKUP(logos[[#This Row],[Cell_ID]],'registe maintenance'!A:C,3,FALSE)," non répertoriées")</f>
        <v xml:space="preserve"> non répertoriées</v>
      </c>
      <c r="G752" t="str">
        <f>IFERROR(VLOOKUP(logos[[#This Row],[Cell_ID]],'registe maintenance'!A:D,4,FALSE)," non répertoriées")</f>
        <v xml:space="preserve"> non répertoriées</v>
      </c>
      <c r="H752" t="str">
        <f>IFERROR(VLOOKUP(logos[[#This Row],[Cell_ID]],'registe maintenance'!A:E,5,FALSE)," non répertoriées")</f>
        <v xml:space="preserve"> non répertoriées</v>
      </c>
      <c r="I752" t="str">
        <f>IFERROR(VLOOKUP(logos[[#This Row],[Cell_ID]],'registe maintenance'!A:F,6,FALSE)," non répertoriées")</f>
        <v xml:space="preserve"> non répertoriées</v>
      </c>
      <c r="J752">
        <f>IFERROR(VLOOKUP(B752,'logos transformer '!A:B,2,FALSE),"na")</f>
        <v>4</v>
      </c>
      <c r="K752">
        <f>IFERROR(VLOOKUP(B752,'logos transformer '!A:C,3,FALSE),"na")</f>
        <v>208</v>
      </c>
      <c r="L752" s="1">
        <f>IFERROR(VLOOKUP(B752,'logos transformer '!A:D,4,FALSE),"na")</f>
        <v>45216.459027777775</v>
      </c>
    </row>
    <row r="753" spans="1:12" x14ac:dyDescent="0.3">
      <c r="A753" s="1">
        <v>45216.701388888891</v>
      </c>
      <c r="B753" t="s">
        <v>132</v>
      </c>
      <c r="C753">
        <v>80</v>
      </c>
      <c r="D753" t="s">
        <v>5</v>
      </c>
      <c r="E753" t="str">
        <f>IFERROR(VLOOKUP(logos[[#This Row],[Cell_ID]],'registe maintenance'!A:B,2,FALSE)," non répertoriées")</f>
        <v>Tshuapa</v>
      </c>
      <c r="F753">
        <f>IFERROR(VLOOKUP(logos[[#This Row],[Cell_ID]],'registe maintenance'!A:C,3,FALSE)," non répertoriées")</f>
        <v>-11.622688999999999</v>
      </c>
      <c r="G753">
        <f>IFERROR(VLOOKUP(logos[[#This Row],[Cell_ID]],'registe maintenance'!A:D,4,FALSE)," non répertoriées")</f>
        <v>18.483874</v>
      </c>
      <c r="H753" t="str">
        <f>IFERROR(VLOOKUP(logos[[#This Row],[Cell_ID]],'registe maintenance'!A:E,5,FALSE)," non répertoriées")</f>
        <v>5G</v>
      </c>
      <c r="I753" t="str">
        <f>IFERROR(VLOOKUP(logos[[#This Row],[Cell_ID]],'registe maintenance'!A:F,6,FALSE)," non répertoriées")</f>
        <v>ZTE</v>
      </c>
      <c r="J753">
        <f>IFERROR(VLOOKUP(B753,'logos transformer '!A:B,2,FALSE),"na")</f>
        <v>2</v>
      </c>
      <c r="K753">
        <f>IFERROR(VLOOKUP(B753,'logos transformer '!A:C,3,FALSE),"na")</f>
        <v>104</v>
      </c>
      <c r="L753" s="1">
        <f>IFERROR(VLOOKUP(B753,'logos transformer '!A:D,4,FALSE),"na")</f>
        <v>45216.701388888891</v>
      </c>
    </row>
    <row r="754" spans="1:12" x14ac:dyDescent="0.3">
      <c r="A754" s="1">
        <v>45226.969444444447</v>
      </c>
      <c r="B754" t="s">
        <v>155</v>
      </c>
      <c r="C754">
        <v>68</v>
      </c>
      <c r="D754" t="s">
        <v>5</v>
      </c>
      <c r="E754" t="str">
        <f>IFERROR(VLOOKUP(logos[[#This Row],[Cell_ID]],'registe maintenance'!A:B,2,FALSE)," non répertoriées")</f>
        <v>Tshopo</v>
      </c>
      <c r="F754">
        <f>IFERROR(VLOOKUP(logos[[#This Row],[Cell_ID]],'registe maintenance'!A:C,3,FALSE)," non répertoriées")</f>
        <v>3.0603760000000002</v>
      </c>
      <c r="G754">
        <f>IFERROR(VLOOKUP(logos[[#This Row],[Cell_ID]],'registe maintenance'!A:D,4,FALSE)," non répertoriées")</f>
        <v>19.708034000000001</v>
      </c>
      <c r="H754" t="str">
        <f>IFERROR(VLOOKUP(logos[[#This Row],[Cell_ID]],'registe maintenance'!A:E,5,FALSE)," non répertoriées")</f>
        <v>3G</v>
      </c>
      <c r="I754" t="str">
        <f>IFERROR(VLOOKUP(logos[[#This Row],[Cell_ID]],'registe maintenance'!A:F,6,FALSE)," non répertoriées")</f>
        <v>ZTE</v>
      </c>
      <c r="J754">
        <f>IFERROR(VLOOKUP(B754,'logos transformer '!A:B,2,FALSE),"na")</f>
        <v>2</v>
      </c>
      <c r="K754">
        <f>IFERROR(VLOOKUP(B754,'logos transformer '!A:C,3,FALSE),"na")</f>
        <v>169</v>
      </c>
      <c r="L754" s="1">
        <f>IFERROR(VLOOKUP(B754,'logos transformer '!A:D,4,FALSE),"na")</f>
        <v>45226.969444444447</v>
      </c>
    </row>
    <row r="755" spans="1:12" x14ac:dyDescent="0.3">
      <c r="A755" s="1">
        <v>45205.463888888888</v>
      </c>
      <c r="B755" t="s">
        <v>525</v>
      </c>
      <c r="C755">
        <v>103</v>
      </c>
      <c r="D755" t="s">
        <v>5</v>
      </c>
      <c r="E755" t="str">
        <f>IFERROR(VLOOKUP(logos[[#This Row],[Cell_ID]],'registe maintenance'!A:B,2,FALSE)," non répertoriées")</f>
        <v>Nord-Kivu</v>
      </c>
      <c r="F755">
        <f>IFERROR(VLOOKUP(logos[[#This Row],[Cell_ID]],'registe maintenance'!A:C,3,FALSE)," non répertoriées")</f>
        <v>-0.17258100000000001</v>
      </c>
      <c r="G755">
        <f>IFERROR(VLOOKUP(logos[[#This Row],[Cell_ID]],'registe maintenance'!A:D,4,FALSE)," non répertoriées")</f>
        <v>23.775555000000001</v>
      </c>
      <c r="H755" t="str">
        <f>IFERROR(VLOOKUP(logos[[#This Row],[Cell_ID]],'registe maintenance'!A:E,5,FALSE)," non répertoriées")</f>
        <v>5G</v>
      </c>
      <c r="I755" t="str">
        <f>IFERROR(VLOOKUP(logos[[#This Row],[Cell_ID]],'registe maintenance'!A:F,6,FALSE)," non répertoriées")</f>
        <v>Nokia</v>
      </c>
      <c r="J755">
        <f>IFERROR(VLOOKUP(B755,'logos transformer '!A:B,2,FALSE),"na")</f>
        <v>1</v>
      </c>
      <c r="K755">
        <f>IFERROR(VLOOKUP(B755,'logos transformer '!A:C,3,FALSE),"na")</f>
        <v>103</v>
      </c>
      <c r="L755" s="1">
        <f>IFERROR(VLOOKUP(B755,'logos transformer '!A:D,4,FALSE),"na")</f>
        <v>45205.463888888888</v>
      </c>
    </row>
    <row r="756" spans="1:12" x14ac:dyDescent="0.3">
      <c r="A756" s="1">
        <v>45223.365277777782</v>
      </c>
      <c r="B756" t="s">
        <v>526</v>
      </c>
      <c r="C756">
        <v>104</v>
      </c>
      <c r="D756" t="s">
        <v>8</v>
      </c>
      <c r="E756" t="str">
        <f>IFERROR(VLOOKUP(logos[[#This Row],[Cell_ID]],'registe maintenance'!A:B,2,FALSE)," non répertoriées")</f>
        <v xml:space="preserve"> non répertoriées</v>
      </c>
      <c r="F756" t="str">
        <f>IFERROR(VLOOKUP(logos[[#This Row],[Cell_ID]],'registe maintenance'!A:C,3,FALSE)," non répertoriées")</f>
        <v xml:space="preserve"> non répertoriées</v>
      </c>
      <c r="G756" t="str">
        <f>IFERROR(VLOOKUP(logos[[#This Row],[Cell_ID]],'registe maintenance'!A:D,4,FALSE)," non répertoriées")</f>
        <v xml:space="preserve"> non répertoriées</v>
      </c>
      <c r="H756" t="str">
        <f>IFERROR(VLOOKUP(logos[[#This Row],[Cell_ID]],'registe maintenance'!A:E,5,FALSE)," non répertoriées")</f>
        <v xml:space="preserve"> non répertoriées</v>
      </c>
      <c r="I756" t="str">
        <f>IFERROR(VLOOKUP(logos[[#This Row],[Cell_ID]],'registe maintenance'!A:F,6,FALSE)," non répertoriées")</f>
        <v xml:space="preserve"> non répertoriées</v>
      </c>
      <c r="J756">
        <f>IFERROR(VLOOKUP(B756,'logos transformer '!A:B,2,FALSE),"na")</f>
        <v>1</v>
      </c>
      <c r="K756">
        <f>IFERROR(VLOOKUP(B756,'logos transformer '!A:C,3,FALSE),"na")</f>
        <v>104</v>
      </c>
      <c r="L756" s="1">
        <f>IFERROR(VLOOKUP(B756,'logos transformer '!A:D,4,FALSE),"na")</f>
        <v>45223.365277777775</v>
      </c>
    </row>
    <row r="757" spans="1:12" x14ac:dyDescent="0.3">
      <c r="A757" s="1">
        <v>45228.15902777778</v>
      </c>
      <c r="B757" t="s">
        <v>399</v>
      </c>
      <c r="C757">
        <v>30</v>
      </c>
      <c r="D757" t="s">
        <v>5</v>
      </c>
      <c r="E757" t="str">
        <f>IFERROR(VLOOKUP(logos[[#This Row],[Cell_ID]],'registe maintenance'!A:B,2,FALSE)," non répertoriées")</f>
        <v>Kwilu</v>
      </c>
      <c r="F757">
        <f>IFERROR(VLOOKUP(logos[[#This Row],[Cell_ID]],'registe maintenance'!A:C,3,FALSE)," non répertoriées")</f>
        <v>0.62055499999999997</v>
      </c>
      <c r="G757">
        <f>IFERROR(VLOOKUP(logos[[#This Row],[Cell_ID]],'registe maintenance'!A:D,4,FALSE)," non répertoriées")</f>
        <v>21.222035000000002</v>
      </c>
      <c r="H757" t="str">
        <f>IFERROR(VLOOKUP(logos[[#This Row],[Cell_ID]],'registe maintenance'!A:E,5,FALSE)," non répertoriées")</f>
        <v>5G</v>
      </c>
      <c r="I757" t="str">
        <f>IFERROR(VLOOKUP(logos[[#This Row],[Cell_ID]],'registe maintenance'!A:F,6,FALSE)," non répertoriées")</f>
        <v>Nokia</v>
      </c>
      <c r="J757">
        <f>IFERROR(VLOOKUP(B757,'logos transformer '!A:B,2,FALSE),"na")</f>
        <v>2</v>
      </c>
      <c r="K757">
        <f>IFERROR(VLOOKUP(B757,'logos transformer '!A:C,3,FALSE),"na")</f>
        <v>110</v>
      </c>
      <c r="L757" s="1">
        <f>IFERROR(VLOOKUP(B757,'logos transformer '!A:D,4,FALSE),"na")</f>
        <v>45230.40902777778</v>
      </c>
    </row>
    <row r="758" spans="1:12" x14ac:dyDescent="0.3">
      <c r="A758" s="1">
        <v>45228.01458333333</v>
      </c>
      <c r="B758" t="s">
        <v>111</v>
      </c>
      <c r="C758">
        <v>98</v>
      </c>
      <c r="D758" t="s">
        <v>5</v>
      </c>
      <c r="E758" t="str">
        <f>IFERROR(VLOOKUP(logos[[#This Row],[Cell_ID]],'registe maintenance'!A:B,2,FALSE)," non répertoriées")</f>
        <v xml:space="preserve"> non répertoriées</v>
      </c>
      <c r="F758" t="str">
        <f>IFERROR(VLOOKUP(logos[[#This Row],[Cell_ID]],'registe maintenance'!A:C,3,FALSE)," non répertoriées")</f>
        <v xml:space="preserve"> non répertoriées</v>
      </c>
      <c r="G758" t="str">
        <f>IFERROR(VLOOKUP(logos[[#This Row],[Cell_ID]],'registe maintenance'!A:D,4,FALSE)," non répertoriées")</f>
        <v xml:space="preserve"> non répertoriées</v>
      </c>
      <c r="H758" t="str">
        <f>IFERROR(VLOOKUP(logos[[#This Row],[Cell_ID]],'registe maintenance'!A:E,5,FALSE)," non répertoriées")</f>
        <v xml:space="preserve"> non répertoriées</v>
      </c>
      <c r="I758" t="str">
        <f>IFERROR(VLOOKUP(logos[[#This Row],[Cell_ID]],'registe maintenance'!A:F,6,FALSE)," non répertoriées")</f>
        <v xml:space="preserve"> non répertoriées</v>
      </c>
      <c r="J758">
        <f>IFERROR(VLOOKUP(B758,'logos transformer '!A:B,2,FALSE),"na")</f>
        <v>2</v>
      </c>
      <c r="K758">
        <f>IFERROR(VLOOKUP(B758,'logos transformer '!A:C,3,FALSE),"na")</f>
        <v>213</v>
      </c>
      <c r="L758" s="1">
        <f>IFERROR(VLOOKUP(B758,'logos transformer '!A:D,4,FALSE),"na")</f>
        <v>45228.01458333333</v>
      </c>
    </row>
    <row r="759" spans="1:12" x14ac:dyDescent="0.3">
      <c r="A759" s="1">
        <v>45225.553472222222</v>
      </c>
      <c r="B759" t="s">
        <v>527</v>
      </c>
      <c r="C759">
        <v>120</v>
      </c>
      <c r="D759" t="s">
        <v>5</v>
      </c>
      <c r="E759" t="str">
        <f>IFERROR(VLOOKUP(logos[[#This Row],[Cell_ID]],'registe maintenance'!A:B,2,FALSE)," non répertoriées")</f>
        <v xml:space="preserve"> non répertoriées</v>
      </c>
      <c r="F759" t="str">
        <f>IFERROR(VLOOKUP(logos[[#This Row],[Cell_ID]],'registe maintenance'!A:C,3,FALSE)," non répertoriées")</f>
        <v xml:space="preserve"> non répertoriées</v>
      </c>
      <c r="G759" t="str">
        <f>IFERROR(VLOOKUP(logos[[#This Row],[Cell_ID]],'registe maintenance'!A:D,4,FALSE)," non répertoriées")</f>
        <v xml:space="preserve"> non répertoriées</v>
      </c>
      <c r="H759" t="str">
        <f>IFERROR(VLOOKUP(logos[[#This Row],[Cell_ID]],'registe maintenance'!A:E,5,FALSE)," non répertoriées")</f>
        <v xml:space="preserve"> non répertoriées</v>
      </c>
      <c r="I759" t="str">
        <f>IFERROR(VLOOKUP(logos[[#This Row],[Cell_ID]],'registe maintenance'!A:F,6,FALSE)," non répertoriées")</f>
        <v xml:space="preserve"> non répertoriées</v>
      </c>
      <c r="J759">
        <f>IFERROR(VLOOKUP(B759,'logos transformer '!A:B,2,FALSE),"na")</f>
        <v>2</v>
      </c>
      <c r="K759">
        <f>IFERROR(VLOOKUP(B759,'logos transformer '!A:C,3,FALSE),"na")</f>
        <v>240</v>
      </c>
      <c r="L759" s="1">
        <f>IFERROR(VLOOKUP(B759,'logos transformer '!A:D,4,FALSE),"na")</f>
        <v>45225.553472222222</v>
      </c>
    </row>
    <row r="760" spans="1:12" x14ac:dyDescent="0.3">
      <c r="A760" s="1">
        <v>45216.094444444447</v>
      </c>
      <c r="B760" t="s">
        <v>528</v>
      </c>
      <c r="C760">
        <v>74</v>
      </c>
      <c r="D760" t="s">
        <v>5</v>
      </c>
      <c r="E760" t="str">
        <f>IFERROR(VLOOKUP(logos[[#This Row],[Cell_ID]],'registe maintenance'!A:B,2,FALSE)," non répertoriées")</f>
        <v>Lomami</v>
      </c>
      <c r="F760">
        <f>IFERROR(VLOOKUP(logos[[#This Row],[Cell_ID]],'registe maintenance'!A:C,3,FALSE)," non répertoriées")</f>
        <v>4.8265669999999998</v>
      </c>
      <c r="G760">
        <f>IFERROR(VLOOKUP(logos[[#This Row],[Cell_ID]],'registe maintenance'!A:D,4,FALSE)," non répertoriées")</f>
        <v>28.535277000000001</v>
      </c>
      <c r="H760" t="str">
        <f>IFERROR(VLOOKUP(logos[[#This Row],[Cell_ID]],'registe maintenance'!A:E,5,FALSE)," non répertoriées")</f>
        <v>3G</v>
      </c>
      <c r="I760" t="str">
        <f>IFERROR(VLOOKUP(logos[[#This Row],[Cell_ID]],'registe maintenance'!A:F,6,FALSE)," non répertoriées")</f>
        <v>Huawei</v>
      </c>
      <c r="J760">
        <f>IFERROR(VLOOKUP(B760,'logos transformer '!A:B,2,FALSE),"na")</f>
        <v>2</v>
      </c>
      <c r="K760">
        <f>IFERROR(VLOOKUP(B760,'logos transformer '!A:C,3,FALSE),"na")</f>
        <v>162</v>
      </c>
      <c r="L760" s="1">
        <f>IFERROR(VLOOKUP(B760,'logos transformer '!A:D,4,FALSE),"na")</f>
        <v>45216.094444444447</v>
      </c>
    </row>
    <row r="761" spans="1:12" x14ac:dyDescent="0.3">
      <c r="A761" s="1">
        <v>45222.777777777781</v>
      </c>
      <c r="B761" t="s">
        <v>529</v>
      </c>
      <c r="C761">
        <v>102</v>
      </c>
      <c r="D761" t="s">
        <v>10</v>
      </c>
      <c r="E761" t="str">
        <f>IFERROR(VLOOKUP(logos[[#This Row],[Cell_ID]],'registe maintenance'!A:B,2,FALSE)," non répertoriées")</f>
        <v>Haut-Lomami</v>
      </c>
      <c r="F761">
        <f>IFERROR(VLOOKUP(logos[[#This Row],[Cell_ID]],'registe maintenance'!A:C,3,FALSE)," non répertoriées")</f>
        <v>-1.3938550000000001</v>
      </c>
      <c r="G761">
        <f>IFERROR(VLOOKUP(logos[[#This Row],[Cell_ID]],'registe maintenance'!A:D,4,FALSE)," non répertoriées")</f>
        <v>15.097554000000001</v>
      </c>
      <c r="H761" t="str">
        <f>IFERROR(VLOOKUP(logos[[#This Row],[Cell_ID]],'registe maintenance'!A:E,5,FALSE)," non répertoriées")</f>
        <v>4G</v>
      </c>
      <c r="I761" t="str">
        <f>IFERROR(VLOOKUP(logos[[#This Row],[Cell_ID]],'registe maintenance'!A:F,6,FALSE)," non répertoriées")</f>
        <v>Huawei</v>
      </c>
      <c r="J761">
        <f>IFERROR(VLOOKUP(B761,'logos transformer '!A:B,2,FALSE),"na")</f>
        <v>2</v>
      </c>
      <c r="K761">
        <f>IFERROR(VLOOKUP(B761,'logos transformer '!A:C,3,FALSE),"na")</f>
        <v>167</v>
      </c>
      <c r="L761" s="1">
        <f>IFERROR(VLOOKUP(B761,'logos transformer '!A:D,4,FALSE),"na")</f>
        <v>45222.777777777781</v>
      </c>
    </row>
    <row r="762" spans="1:12" x14ac:dyDescent="0.3">
      <c r="A762" s="1">
        <v>45202.645138888889</v>
      </c>
      <c r="B762" t="s">
        <v>530</v>
      </c>
      <c r="C762">
        <v>106</v>
      </c>
      <c r="D762" t="s">
        <v>10</v>
      </c>
      <c r="E762" t="str">
        <f>IFERROR(VLOOKUP(logos[[#This Row],[Cell_ID]],'registe maintenance'!A:B,2,FALSE)," non répertoriées")</f>
        <v>Kongo-Central</v>
      </c>
      <c r="F762">
        <f>IFERROR(VLOOKUP(logos[[#This Row],[Cell_ID]],'registe maintenance'!A:C,3,FALSE)," non répertoriées")</f>
        <v>1.981107</v>
      </c>
      <c r="G762">
        <f>IFERROR(VLOOKUP(logos[[#This Row],[Cell_ID]],'registe maintenance'!A:D,4,FALSE)," non répertoriées")</f>
        <v>23.932569000000001</v>
      </c>
      <c r="H762" t="str">
        <f>IFERROR(VLOOKUP(logos[[#This Row],[Cell_ID]],'registe maintenance'!A:E,5,FALSE)," non répertoriées")</f>
        <v>3G</v>
      </c>
      <c r="I762" t="str">
        <f>IFERROR(VLOOKUP(logos[[#This Row],[Cell_ID]],'registe maintenance'!A:F,6,FALSE)," non répertoriées")</f>
        <v>Nokia</v>
      </c>
      <c r="J762">
        <f>IFERROR(VLOOKUP(B762,'logos transformer '!A:B,2,FALSE),"na")</f>
        <v>3</v>
      </c>
      <c r="K762">
        <f>IFERROR(VLOOKUP(B762,'logos transformer '!A:C,3,FALSE),"na")</f>
        <v>295</v>
      </c>
      <c r="L762" s="1">
        <f>IFERROR(VLOOKUP(B762,'logos transformer '!A:D,4,FALSE),"na")</f>
        <v>45230.039583333331</v>
      </c>
    </row>
    <row r="763" spans="1:12" x14ac:dyDescent="0.3">
      <c r="A763" s="1">
        <v>45216.460416666669</v>
      </c>
      <c r="B763" t="s">
        <v>531</v>
      </c>
      <c r="C763">
        <v>36</v>
      </c>
      <c r="D763" t="s">
        <v>10</v>
      </c>
      <c r="E763" t="str">
        <f>IFERROR(VLOOKUP(logos[[#This Row],[Cell_ID]],'registe maintenance'!A:B,2,FALSE)," non répertoriées")</f>
        <v>Nord-Kivu</v>
      </c>
      <c r="F763">
        <f>IFERROR(VLOOKUP(logos[[#This Row],[Cell_ID]],'registe maintenance'!A:C,3,FALSE)," non répertoriées")</f>
        <v>-11.231472</v>
      </c>
      <c r="G763">
        <f>IFERROR(VLOOKUP(logos[[#This Row],[Cell_ID]],'registe maintenance'!A:D,4,FALSE)," non répertoriées")</f>
        <v>25.388874000000001</v>
      </c>
      <c r="H763" t="str">
        <f>IFERROR(VLOOKUP(logos[[#This Row],[Cell_ID]],'registe maintenance'!A:E,5,FALSE)," non répertoriées")</f>
        <v>4G</v>
      </c>
      <c r="I763" t="str">
        <f>IFERROR(VLOOKUP(logos[[#This Row],[Cell_ID]],'registe maintenance'!A:F,6,FALSE)," non répertoriées")</f>
        <v>Huawei</v>
      </c>
      <c r="J763">
        <f>IFERROR(VLOOKUP(B763,'logos transformer '!A:B,2,FALSE),"na")</f>
        <v>1</v>
      </c>
      <c r="K763">
        <f>IFERROR(VLOOKUP(B763,'logos transformer '!A:C,3,FALSE),"na")</f>
        <v>36</v>
      </c>
      <c r="L763" s="1">
        <f>IFERROR(VLOOKUP(B763,'logos transformer '!A:D,4,FALSE),"na")</f>
        <v>45216.460416666669</v>
      </c>
    </row>
    <row r="764" spans="1:12" x14ac:dyDescent="0.3">
      <c r="A764" s="1">
        <v>45215.756944444453</v>
      </c>
      <c r="B764" t="s">
        <v>532</v>
      </c>
      <c r="C764">
        <v>24</v>
      </c>
      <c r="D764" t="s">
        <v>10</v>
      </c>
      <c r="E764" t="str">
        <f>IFERROR(VLOOKUP(logos[[#This Row],[Cell_ID]],'registe maintenance'!A:B,2,FALSE)," non répertoriées")</f>
        <v xml:space="preserve"> non répertoriées</v>
      </c>
      <c r="F764" t="str">
        <f>IFERROR(VLOOKUP(logos[[#This Row],[Cell_ID]],'registe maintenance'!A:C,3,FALSE)," non répertoriées")</f>
        <v xml:space="preserve"> non répertoriées</v>
      </c>
      <c r="G764" t="str">
        <f>IFERROR(VLOOKUP(logos[[#This Row],[Cell_ID]],'registe maintenance'!A:D,4,FALSE)," non répertoriées")</f>
        <v xml:space="preserve"> non répertoriées</v>
      </c>
      <c r="H764" t="str">
        <f>IFERROR(VLOOKUP(logos[[#This Row],[Cell_ID]],'registe maintenance'!A:E,5,FALSE)," non répertoriées")</f>
        <v xml:space="preserve"> non répertoriées</v>
      </c>
      <c r="I764" t="str">
        <f>IFERROR(VLOOKUP(logos[[#This Row],[Cell_ID]],'registe maintenance'!A:F,6,FALSE)," non répertoriées")</f>
        <v xml:space="preserve"> non répertoriées</v>
      </c>
      <c r="J764">
        <f>IFERROR(VLOOKUP(B764,'logos transformer '!A:B,2,FALSE),"na")</f>
        <v>1</v>
      </c>
      <c r="K764">
        <f>IFERROR(VLOOKUP(B764,'logos transformer '!A:C,3,FALSE),"na")</f>
        <v>24</v>
      </c>
      <c r="L764" s="1">
        <f>IFERROR(VLOOKUP(B764,'logos transformer '!A:D,4,FALSE),"na")</f>
        <v>45215.756944444445</v>
      </c>
    </row>
    <row r="765" spans="1:12" x14ac:dyDescent="0.3">
      <c r="A765" s="1">
        <v>45211.219444444447</v>
      </c>
      <c r="B765" t="s">
        <v>533</v>
      </c>
      <c r="C765">
        <v>5</v>
      </c>
      <c r="D765" t="s">
        <v>5</v>
      </c>
      <c r="E765" t="str">
        <f>IFERROR(VLOOKUP(logos[[#This Row],[Cell_ID]],'registe maintenance'!A:B,2,FALSE)," non répertoriées")</f>
        <v>Nord-Kivu</v>
      </c>
      <c r="F765">
        <f>IFERROR(VLOOKUP(logos[[#This Row],[Cell_ID]],'registe maintenance'!A:C,3,FALSE)," non répertoriées")</f>
        <v>-8.9586360000000003</v>
      </c>
      <c r="G765">
        <f>IFERROR(VLOOKUP(logos[[#This Row],[Cell_ID]],'registe maintenance'!A:D,4,FALSE)," non répertoriées")</f>
        <v>17.157720000000001</v>
      </c>
      <c r="H765" t="str">
        <f>IFERROR(VLOOKUP(logos[[#This Row],[Cell_ID]],'registe maintenance'!A:E,5,FALSE)," non répertoriées")</f>
        <v>3G</v>
      </c>
      <c r="I765" t="str">
        <f>IFERROR(VLOOKUP(logos[[#This Row],[Cell_ID]],'registe maintenance'!A:F,6,FALSE)," non répertoriées")</f>
        <v>Nokia</v>
      </c>
      <c r="J765">
        <f>IFERROR(VLOOKUP(B765,'logos transformer '!A:B,2,FALSE),"na")</f>
        <v>1</v>
      </c>
      <c r="K765">
        <f>IFERROR(VLOOKUP(B765,'logos transformer '!A:C,3,FALSE),"na")</f>
        <v>5</v>
      </c>
      <c r="L765" s="1">
        <f>IFERROR(VLOOKUP(B765,'logos transformer '!A:D,4,FALSE),"na")</f>
        <v>45211.219444444447</v>
      </c>
    </row>
    <row r="766" spans="1:12" x14ac:dyDescent="0.3">
      <c r="A766" s="1">
        <v>45224.164583333331</v>
      </c>
      <c r="B766" t="s">
        <v>534</v>
      </c>
      <c r="C766">
        <v>57</v>
      </c>
      <c r="D766" t="s">
        <v>8</v>
      </c>
      <c r="E766" t="str">
        <f>IFERROR(VLOOKUP(logos[[#This Row],[Cell_ID]],'registe maintenance'!A:B,2,FALSE)," non répertoriées")</f>
        <v xml:space="preserve"> non répertoriées</v>
      </c>
      <c r="F766" t="str">
        <f>IFERROR(VLOOKUP(logos[[#This Row],[Cell_ID]],'registe maintenance'!A:C,3,FALSE)," non répertoriées")</f>
        <v xml:space="preserve"> non répertoriées</v>
      </c>
      <c r="G766" t="str">
        <f>IFERROR(VLOOKUP(logos[[#This Row],[Cell_ID]],'registe maintenance'!A:D,4,FALSE)," non répertoriées")</f>
        <v xml:space="preserve"> non répertoriées</v>
      </c>
      <c r="H766" t="str">
        <f>IFERROR(VLOOKUP(logos[[#This Row],[Cell_ID]],'registe maintenance'!A:E,5,FALSE)," non répertoriées")</f>
        <v xml:space="preserve"> non répertoriées</v>
      </c>
      <c r="I766" t="str">
        <f>IFERROR(VLOOKUP(logos[[#This Row],[Cell_ID]],'registe maintenance'!A:F,6,FALSE)," non répertoriées")</f>
        <v xml:space="preserve"> non répertoriées</v>
      </c>
      <c r="J766">
        <f>IFERROR(VLOOKUP(B766,'logos transformer '!A:B,2,FALSE),"na")</f>
        <v>1</v>
      </c>
      <c r="K766">
        <f>IFERROR(VLOOKUP(B766,'logos transformer '!A:C,3,FALSE),"na")</f>
        <v>57</v>
      </c>
      <c r="L766" s="1">
        <f>IFERROR(VLOOKUP(B766,'logos transformer '!A:D,4,FALSE),"na")</f>
        <v>45224.164583333331</v>
      </c>
    </row>
    <row r="767" spans="1:12" x14ac:dyDescent="0.3">
      <c r="A767" s="1">
        <v>45218.906944444447</v>
      </c>
      <c r="B767" t="s">
        <v>228</v>
      </c>
      <c r="C767">
        <v>8</v>
      </c>
      <c r="D767" t="s">
        <v>10</v>
      </c>
      <c r="E767" t="str">
        <f>IFERROR(VLOOKUP(logos[[#This Row],[Cell_ID]],'registe maintenance'!A:B,2,FALSE)," non répertoriées")</f>
        <v xml:space="preserve"> non répertoriées</v>
      </c>
      <c r="F767" t="str">
        <f>IFERROR(VLOOKUP(logos[[#This Row],[Cell_ID]],'registe maintenance'!A:C,3,FALSE)," non répertoriées")</f>
        <v xml:space="preserve"> non répertoriées</v>
      </c>
      <c r="G767" t="str">
        <f>IFERROR(VLOOKUP(logos[[#This Row],[Cell_ID]],'registe maintenance'!A:D,4,FALSE)," non répertoriées")</f>
        <v xml:space="preserve"> non répertoriées</v>
      </c>
      <c r="H767" t="str">
        <f>IFERROR(VLOOKUP(logos[[#This Row],[Cell_ID]],'registe maintenance'!A:E,5,FALSE)," non répertoriées")</f>
        <v xml:space="preserve"> non répertoriées</v>
      </c>
      <c r="I767" t="str">
        <f>IFERROR(VLOOKUP(logos[[#This Row],[Cell_ID]],'registe maintenance'!A:F,6,FALSE)," non répertoriées")</f>
        <v xml:space="preserve"> non répertoriées</v>
      </c>
      <c r="J767">
        <f>IFERROR(VLOOKUP(B767,'logos transformer '!A:B,2,FALSE),"na")</f>
        <v>3</v>
      </c>
      <c r="K767">
        <f>IFERROR(VLOOKUP(B767,'logos transformer '!A:C,3,FALSE),"na")</f>
        <v>195</v>
      </c>
      <c r="L767" s="1">
        <f>IFERROR(VLOOKUP(B767,'logos transformer '!A:D,4,FALSE),"na")</f>
        <v>45223.102083333331</v>
      </c>
    </row>
    <row r="768" spans="1:12" x14ac:dyDescent="0.3">
      <c r="A768" s="1">
        <v>45203.324305555558</v>
      </c>
      <c r="B768" t="s">
        <v>535</v>
      </c>
      <c r="C768">
        <v>34</v>
      </c>
      <c r="D768" t="s">
        <v>5</v>
      </c>
      <c r="E768" t="str">
        <f>IFERROR(VLOOKUP(logos[[#This Row],[Cell_ID]],'registe maintenance'!A:B,2,FALSE)," non répertoriées")</f>
        <v xml:space="preserve"> non répertoriées</v>
      </c>
      <c r="F768" t="str">
        <f>IFERROR(VLOOKUP(logos[[#This Row],[Cell_ID]],'registe maintenance'!A:C,3,FALSE)," non répertoriées")</f>
        <v xml:space="preserve"> non répertoriées</v>
      </c>
      <c r="G768" t="str">
        <f>IFERROR(VLOOKUP(logos[[#This Row],[Cell_ID]],'registe maintenance'!A:D,4,FALSE)," non répertoriées")</f>
        <v xml:space="preserve"> non répertoriées</v>
      </c>
      <c r="H768" t="str">
        <f>IFERROR(VLOOKUP(logos[[#This Row],[Cell_ID]],'registe maintenance'!A:E,5,FALSE)," non répertoriées")</f>
        <v xml:space="preserve"> non répertoriées</v>
      </c>
      <c r="I768" t="str">
        <f>IFERROR(VLOOKUP(logos[[#This Row],[Cell_ID]],'registe maintenance'!A:F,6,FALSE)," non répertoriées")</f>
        <v xml:space="preserve"> non répertoriées</v>
      </c>
      <c r="J768">
        <f>IFERROR(VLOOKUP(B768,'logos transformer '!A:B,2,FALSE),"na")</f>
        <v>1</v>
      </c>
      <c r="K768">
        <f>IFERROR(VLOOKUP(B768,'logos transformer '!A:C,3,FALSE),"na")</f>
        <v>34</v>
      </c>
      <c r="L768" s="1">
        <f>IFERROR(VLOOKUP(B768,'logos transformer '!A:D,4,FALSE),"na")</f>
        <v>45203.324305555558</v>
      </c>
    </row>
    <row r="769" spans="1:12" x14ac:dyDescent="0.3">
      <c r="A769" s="1">
        <v>45216.001388888893</v>
      </c>
      <c r="B769" t="s">
        <v>536</v>
      </c>
      <c r="C769">
        <v>74</v>
      </c>
      <c r="D769" t="s">
        <v>10</v>
      </c>
      <c r="E769" t="str">
        <f>IFERROR(VLOOKUP(logos[[#This Row],[Cell_ID]],'registe maintenance'!A:B,2,FALSE)," non répertoriées")</f>
        <v xml:space="preserve"> non répertoriées</v>
      </c>
      <c r="F769" t="str">
        <f>IFERROR(VLOOKUP(logos[[#This Row],[Cell_ID]],'registe maintenance'!A:C,3,FALSE)," non répertoriées")</f>
        <v xml:space="preserve"> non répertoriées</v>
      </c>
      <c r="G769" t="str">
        <f>IFERROR(VLOOKUP(logos[[#This Row],[Cell_ID]],'registe maintenance'!A:D,4,FALSE)," non répertoriées")</f>
        <v xml:space="preserve"> non répertoriées</v>
      </c>
      <c r="H769" t="str">
        <f>IFERROR(VLOOKUP(logos[[#This Row],[Cell_ID]],'registe maintenance'!A:E,5,FALSE)," non répertoriées")</f>
        <v xml:space="preserve"> non répertoriées</v>
      </c>
      <c r="I769" t="str">
        <f>IFERROR(VLOOKUP(logos[[#This Row],[Cell_ID]],'registe maintenance'!A:F,6,FALSE)," non répertoriées")</f>
        <v xml:space="preserve"> non répertoriées</v>
      </c>
      <c r="J769">
        <f>IFERROR(VLOOKUP(B769,'logos transformer '!A:B,2,FALSE),"na")</f>
        <v>2</v>
      </c>
      <c r="K769">
        <f>IFERROR(VLOOKUP(B769,'logos transformer '!A:C,3,FALSE),"na")</f>
        <v>131</v>
      </c>
      <c r="L769" s="1">
        <f>IFERROR(VLOOKUP(B769,'logos transformer '!A:D,4,FALSE),"na")</f>
        <v>45216.001388888886</v>
      </c>
    </row>
    <row r="770" spans="1:12" x14ac:dyDescent="0.3">
      <c r="A770" s="1">
        <v>45227.010416666657</v>
      </c>
      <c r="B770" t="s">
        <v>537</v>
      </c>
      <c r="C770">
        <v>49</v>
      </c>
      <c r="D770" t="s">
        <v>10</v>
      </c>
      <c r="E770" t="str">
        <f>IFERROR(VLOOKUP(logos[[#This Row],[Cell_ID]],'registe maintenance'!A:B,2,FALSE)," non répertoriées")</f>
        <v xml:space="preserve"> non répertoriées</v>
      </c>
      <c r="F770" t="str">
        <f>IFERROR(VLOOKUP(logos[[#This Row],[Cell_ID]],'registe maintenance'!A:C,3,FALSE)," non répertoriées")</f>
        <v xml:space="preserve"> non répertoriées</v>
      </c>
      <c r="G770" t="str">
        <f>IFERROR(VLOOKUP(logos[[#This Row],[Cell_ID]],'registe maintenance'!A:D,4,FALSE)," non répertoriées")</f>
        <v xml:space="preserve"> non répertoriées</v>
      </c>
      <c r="H770" t="str">
        <f>IFERROR(VLOOKUP(logos[[#This Row],[Cell_ID]],'registe maintenance'!A:E,5,FALSE)," non répertoriées")</f>
        <v xml:space="preserve"> non répertoriées</v>
      </c>
      <c r="I770" t="str">
        <f>IFERROR(VLOOKUP(logos[[#This Row],[Cell_ID]],'registe maintenance'!A:F,6,FALSE)," non répertoriées")</f>
        <v xml:space="preserve"> non répertoriées</v>
      </c>
      <c r="J770">
        <f>IFERROR(VLOOKUP(B770,'logos transformer '!A:B,2,FALSE),"na")</f>
        <v>1</v>
      </c>
      <c r="K770">
        <f>IFERROR(VLOOKUP(B770,'logos transformer '!A:C,3,FALSE),"na")</f>
        <v>49</v>
      </c>
      <c r="L770" s="1">
        <f>IFERROR(VLOOKUP(B770,'logos transformer '!A:D,4,FALSE),"na")</f>
        <v>45227.010416666664</v>
      </c>
    </row>
    <row r="771" spans="1:12" x14ac:dyDescent="0.3">
      <c r="A771" s="1">
        <v>45201.640972222223</v>
      </c>
      <c r="B771" t="s">
        <v>55</v>
      </c>
      <c r="C771">
        <v>86</v>
      </c>
      <c r="D771" t="s">
        <v>10</v>
      </c>
      <c r="E771" t="str">
        <f>IFERROR(VLOOKUP(logos[[#This Row],[Cell_ID]],'registe maintenance'!A:B,2,FALSE)," non répertoriées")</f>
        <v xml:space="preserve"> non répertoriées</v>
      </c>
      <c r="F771" t="str">
        <f>IFERROR(VLOOKUP(logos[[#This Row],[Cell_ID]],'registe maintenance'!A:C,3,FALSE)," non répertoriées")</f>
        <v xml:space="preserve"> non répertoriées</v>
      </c>
      <c r="G771" t="str">
        <f>IFERROR(VLOOKUP(logos[[#This Row],[Cell_ID]],'registe maintenance'!A:D,4,FALSE)," non répertoriées")</f>
        <v xml:space="preserve"> non répertoriées</v>
      </c>
      <c r="H771" t="str">
        <f>IFERROR(VLOOKUP(logos[[#This Row],[Cell_ID]],'registe maintenance'!A:E,5,FALSE)," non répertoriées")</f>
        <v xml:space="preserve"> non répertoriées</v>
      </c>
      <c r="I771" t="str">
        <f>IFERROR(VLOOKUP(logos[[#This Row],[Cell_ID]],'registe maintenance'!A:F,6,FALSE)," non répertoriées")</f>
        <v xml:space="preserve"> non répertoriées</v>
      </c>
      <c r="J771">
        <f>IFERROR(VLOOKUP(B771,'logos transformer '!A:B,2,FALSE),"na")</f>
        <v>3</v>
      </c>
      <c r="K771">
        <f>IFERROR(VLOOKUP(B771,'logos transformer '!A:C,3,FALSE),"na")</f>
        <v>205</v>
      </c>
      <c r="L771" s="1">
        <f>IFERROR(VLOOKUP(B771,'logos transformer '!A:D,4,FALSE),"na")</f>
        <v>45208.172222222223</v>
      </c>
    </row>
    <row r="772" spans="1:12" x14ac:dyDescent="0.3">
      <c r="A772" s="1">
        <v>45212.174305555563</v>
      </c>
      <c r="B772" t="s">
        <v>538</v>
      </c>
      <c r="C772">
        <v>112</v>
      </c>
      <c r="D772" t="s">
        <v>10</v>
      </c>
      <c r="E772" t="str">
        <f>IFERROR(VLOOKUP(logos[[#This Row],[Cell_ID]],'registe maintenance'!A:B,2,FALSE)," non répertoriées")</f>
        <v xml:space="preserve"> non répertoriées</v>
      </c>
      <c r="F772" t="str">
        <f>IFERROR(VLOOKUP(logos[[#This Row],[Cell_ID]],'registe maintenance'!A:C,3,FALSE)," non répertoriées")</f>
        <v xml:space="preserve"> non répertoriées</v>
      </c>
      <c r="G772" t="str">
        <f>IFERROR(VLOOKUP(logos[[#This Row],[Cell_ID]],'registe maintenance'!A:D,4,FALSE)," non répertoriées")</f>
        <v xml:space="preserve"> non répertoriées</v>
      </c>
      <c r="H772" t="str">
        <f>IFERROR(VLOOKUP(logos[[#This Row],[Cell_ID]],'registe maintenance'!A:E,5,FALSE)," non répertoriées")</f>
        <v xml:space="preserve"> non répertoriées</v>
      </c>
      <c r="I772" t="str">
        <f>IFERROR(VLOOKUP(logos[[#This Row],[Cell_ID]],'registe maintenance'!A:F,6,FALSE)," non répertoriées")</f>
        <v xml:space="preserve"> non répertoriées</v>
      </c>
      <c r="J772">
        <f>IFERROR(VLOOKUP(B772,'logos transformer '!A:B,2,FALSE),"na")</f>
        <v>1</v>
      </c>
      <c r="K772">
        <f>IFERROR(VLOOKUP(B772,'logos transformer '!A:C,3,FALSE),"na")</f>
        <v>112</v>
      </c>
      <c r="L772" s="1">
        <f>IFERROR(VLOOKUP(B772,'logos transformer '!A:D,4,FALSE),"na")</f>
        <v>45212.174305555556</v>
      </c>
    </row>
    <row r="773" spans="1:12" x14ac:dyDescent="0.3">
      <c r="A773" s="1">
        <v>45229.065972222219</v>
      </c>
      <c r="B773" t="s">
        <v>69</v>
      </c>
      <c r="C773">
        <v>93</v>
      </c>
      <c r="D773" t="s">
        <v>5</v>
      </c>
      <c r="E773" t="str">
        <f>IFERROR(VLOOKUP(logos[[#This Row],[Cell_ID]],'registe maintenance'!A:B,2,FALSE)," non répertoriées")</f>
        <v>Nord-Kivu</v>
      </c>
      <c r="F773">
        <f>IFERROR(VLOOKUP(logos[[#This Row],[Cell_ID]],'registe maintenance'!A:C,3,FALSE)," non répertoriées")</f>
        <v>0.82868600000000003</v>
      </c>
      <c r="G773">
        <f>IFERROR(VLOOKUP(logos[[#This Row],[Cell_ID]],'registe maintenance'!A:D,4,FALSE)," non répertoriées")</f>
        <v>26.958843999999999</v>
      </c>
      <c r="H773" t="str">
        <f>IFERROR(VLOOKUP(logos[[#This Row],[Cell_ID]],'registe maintenance'!A:E,5,FALSE)," non répertoriées")</f>
        <v>5G</v>
      </c>
      <c r="I773" t="str">
        <f>IFERROR(VLOOKUP(logos[[#This Row],[Cell_ID]],'registe maintenance'!A:F,6,FALSE)," non répertoriées")</f>
        <v>ZTE</v>
      </c>
      <c r="J773">
        <f>IFERROR(VLOOKUP(B773,'logos transformer '!A:B,2,FALSE),"na")</f>
        <v>5</v>
      </c>
      <c r="K773">
        <f>IFERROR(VLOOKUP(B773,'logos transformer '!A:C,3,FALSE),"na")</f>
        <v>385</v>
      </c>
      <c r="L773" s="1">
        <f>IFERROR(VLOOKUP(B773,'logos transformer '!A:D,4,FALSE),"na")</f>
        <v>45229.065972222219</v>
      </c>
    </row>
    <row r="774" spans="1:12" x14ac:dyDescent="0.3">
      <c r="A774" s="1">
        <v>45225.949305555558</v>
      </c>
      <c r="B774" t="s">
        <v>539</v>
      </c>
      <c r="C774">
        <v>117</v>
      </c>
      <c r="D774" t="s">
        <v>5</v>
      </c>
      <c r="E774" t="str">
        <f>IFERROR(VLOOKUP(logos[[#This Row],[Cell_ID]],'registe maintenance'!A:B,2,FALSE)," non répertoriées")</f>
        <v xml:space="preserve"> non répertoriées</v>
      </c>
      <c r="F774" t="str">
        <f>IFERROR(VLOOKUP(logos[[#This Row],[Cell_ID]],'registe maintenance'!A:C,3,FALSE)," non répertoriées")</f>
        <v xml:space="preserve"> non répertoriées</v>
      </c>
      <c r="G774" t="str">
        <f>IFERROR(VLOOKUP(logos[[#This Row],[Cell_ID]],'registe maintenance'!A:D,4,FALSE)," non répertoriées")</f>
        <v xml:space="preserve"> non répertoriées</v>
      </c>
      <c r="H774" t="str">
        <f>IFERROR(VLOOKUP(logos[[#This Row],[Cell_ID]],'registe maintenance'!A:E,5,FALSE)," non répertoriées")</f>
        <v xml:space="preserve"> non répertoriées</v>
      </c>
      <c r="I774" t="str">
        <f>IFERROR(VLOOKUP(logos[[#This Row],[Cell_ID]],'registe maintenance'!A:F,6,FALSE)," non répertoriées")</f>
        <v xml:space="preserve"> non répertoriées</v>
      </c>
      <c r="J774">
        <f>IFERROR(VLOOKUP(B774,'logos transformer '!A:B,2,FALSE),"na")</f>
        <v>1</v>
      </c>
      <c r="K774">
        <f>IFERROR(VLOOKUP(B774,'logos transformer '!A:C,3,FALSE),"na")</f>
        <v>117</v>
      </c>
      <c r="L774" s="1">
        <f>IFERROR(VLOOKUP(B774,'logos transformer '!A:D,4,FALSE),"na")</f>
        <v>45225.949305555558</v>
      </c>
    </row>
    <row r="775" spans="1:12" x14ac:dyDescent="0.3">
      <c r="A775" s="1">
        <v>45220.551388888889</v>
      </c>
      <c r="B775" t="s">
        <v>540</v>
      </c>
      <c r="C775">
        <v>6</v>
      </c>
      <c r="D775" t="s">
        <v>5</v>
      </c>
      <c r="E775" t="str">
        <f>IFERROR(VLOOKUP(logos[[#This Row],[Cell_ID]],'registe maintenance'!A:B,2,FALSE)," non répertoriées")</f>
        <v xml:space="preserve"> non répertoriées</v>
      </c>
      <c r="F775" t="str">
        <f>IFERROR(VLOOKUP(logos[[#This Row],[Cell_ID]],'registe maintenance'!A:C,3,FALSE)," non répertoriées")</f>
        <v xml:space="preserve"> non répertoriées</v>
      </c>
      <c r="G775" t="str">
        <f>IFERROR(VLOOKUP(logos[[#This Row],[Cell_ID]],'registe maintenance'!A:D,4,FALSE)," non répertoriées")</f>
        <v xml:space="preserve"> non répertoriées</v>
      </c>
      <c r="H775" t="str">
        <f>IFERROR(VLOOKUP(logos[[#This Row],[Cell_ID]],'registe maintenance'!A:E,5,FALSE)," non répertoriées")</f>
        <v xml:space="preserve"> non répertoriées</v>
      </c>
      <c r="I775" t="str">
        <f>IFERROR(VLOOKUP(logos[[#This Row],[Cell_ID]],'registe maintenance'!A:F,6,FALSE)," non répertoriées")</f>
        <v xml:space="preserve"> non répertoriées</v>
      </c>
      <c r="J775">
        <f>IFERROR(VLOOKUP(B775,'logos transformer '!A:B,2,FALSE),"na")</f>
        <v>1</v>
      </c>
      <c r="K775">
        <f>IFERROR(VLOOKUP(B775,'logos transformer '!A:C,3,FALSE),"na")</f>
        <v>6</v>
      </c>
      <c r="L775" s="1">
        <f>IFERROR(VLOOKUP(B775,'logos transformer '!A:D,4,FALSE),"na")</f>
        <v>45220.551388888889</v>
      </c>
    </row>
    <row r="776" spans="1:12" x14ac:dyDescent="0.3">
      <c r="A776" s="1">
        <v>45210.30972222222</v>
      </c>
      <c r="B776" t="s">
        <v>334</v>
      </c>
      <c r="C776">
        <v>47</v>
      </c>
      <c r="D776" t="s">
        <v>8</v>
      </c>
      <c r="E776" t="str">
        <f>IFERROR(VLOOKUP(logos[[#This Row],[Cell_ID]],'registe maintenance'!A:B,2,FALSE)," non répertoriées")</f>
        <v xml:space="preserve"> non répertoriées</v>
      </c>
      <c r="F776" t="str">
        <f>IFERROR(VLOOKUP(logos[[#This Row],[Cell_ID]],'registe maintenance'!A:C,3,FALSE)," non répertoriées")</f>
        <v xml:space="preserve"> non répertoriées</v>
      </c>
      <c r="G776" t="str">
        <f>IFERROR(VLOOKUP(logos[[#This Row],[Cell_ID]],'registe maintenance'!A:D,4,FALSE)," non répertoriées")</f>
        <v xml:space="preserve"> non répertoriées</v>
      </c>
      <c r="H776" t="str">
        <f>IFERROR(VLOOKUP(logos[[#This Row],[Cell_ID]],'registe maintenance'!A:E,5,FALSE)," non répertoriées")</f>
        <v xml:space="preserve"> non répertoriées</v>
      </c>
      <c r="I776" t="str">
        <f>IFERROR(VLOOKUP(logos[[#This Row],[Cell_ID]],'registe maintenance'!A:F,6,FALSE)," non répertoriées")</f>
        <v xml:space="preserve"> non répertoriées</v>
      </c>
      <c r="J776">
        <f>IFERROR(VLOOKUP(B776,'logos transformer '!A:B,2,FALSE),"na")</f>
        <v>2</v>
      </c>
      <c r="K776">
        <f>IFERROR(VLOOKUP(B776,'logos transformer '!A:C,3,FALSE),"na")</f>
        <v>154</v>
      </c>
      <c r="L776" s="1">
        <f>IFERROR(VLOOKUP(B776,'logos transformer '!A:D,4,FALSE),"na")</f>
        <v>45212.626388888886</v>
      </c>
    </row>
    <row r="777" spans="1:12" x14ac:dyDescent="0.3">
      <c r="A777" s="1">
        <v>45229.972222222219</v>
      </c>
      <c r="B777" t="s">
        <v>462</v>
      </c>
      <c r="C777">
        <v>5</v>
      </c>
      <c r="D777" t="s">
        <v>10</v>
      </c>
      <c r="E777" t="str">
        <f>IFERROR(VLOOKUP(logos[[#This Row],[Cell_ID]],'registe maintenance'!A:B,2,FALSE)," non répertoriées")</f>
        <v>Nord-Ubangi</v>
      </c>
      <c r="F777">
        <f>IFERROR(VLOOKUP(logos[[#This Row],[Cell_ID]],'registe maintenance'!A:C,3,FALSE)," non répertoriées")</f>
        <v>-8.4985189999999999</v>
      </c>
      <c r="G777">
        <f>IFERROR(VLOOKUP(logos[[#This Row],[Cell_ID]],'registe maintenance'!A:D,4,FALSE)," non répertoriées")</f>
        <v>12.929456999999999</v>
      </c>
      <c r="H777" t="str">
        <f>IFERROR(VLOOKUP(logos[[#This Row],[Cell_ID]],'registe maintenance'!A:E,5,FALSE)," non répertoriées")</f>
        <v>4G</v>
      </c>
      <c r="I777" t="str">
        <f>IFERROR(VLOOKUP(logos[[#This Row],[Cell_ID]],'registe maintenance'!A:F,6,FALSE)," non répertoriées")</f>
        <v>Ericsson</v>
      </c>
      <c r="J777">
        <f>IFERROR(VLOOKUP(B777,'logos transformer '!A:B,2,FALSE),"na")</f>
        <v>3</v>
      </c>
      <c r="K777">
        <f>IFERROR(VLOOKUP(B777,'logos transformer '!A:C,3,FALSE),"na")</f>
        <v>139</v>
      </c>
      <c r="L777" s="1">
        <f>IFERROR(VLOOKUP(B777,'logos transformer '!A:D,4,FALSE),"na")</f>
        <v>45229.972222222219</v>
      </c>
    </row>
    <row r="778" spans="1:12" x14ac:dyDescent="0.3">
      <c r="A778" s="1">
        <v>45208.10833333333</v>
      </c>
      <c r="B778" t="s">
        <v>541</v>
      </c>
      <c r="C778">
        <v>102</v>
      </c>
      <c r="D778" t="s">
        <v>8</v>
      </c>
      <c r="E778" t="str">
        <f>IFERROR(VLOOKUP(logos[[#This Row],[Cell_ID]],'registe maintenance'!A:B,2,FALSE)," non répertoriées")</f>
        <v>Sud-Kivu</v>
      </c>
      <c r="F778">
        <f>IFERROR(VLOOKUP(logos[[#This Row],[Cell_ID]],'registe maintenance'!A:C,3,FALSE)," non répertoriées")</f>
        <v>-1.4700059999999999</v>
      </c>
      <c r="G778">
        <f>IFERROR(VLOOKUP(logos[[#This Row],[Cell_ID]],'registe maintenance'!A:D,4,FALSE)," non répertoriées")</f>
        <v>18.680958</v>
      </c>
      <c r="H778" t="str">
        <f>IFERROR(VLOOKUP(logos[[#This Row],[Cell_ID]],'registe maintenance'!A:E,5,FALSE)," non répertoriées")</f>
        <v>3G</v>
      </c>
      <c r="I778" t="str">
        <f>IFERROR(VLOOKUP(logos[[#This Row],[Cell_ID]],'registe maintenance'!A:F,6,FALSE)," non répertoriées")</f>
        <v>Huawei</v>
      </c>
      <c r="J778">
        <f>IFERROR(VLOOKUP(B778,'logos transformer '!A:B,2,FALSE),"na")</f>
        <v>2</v>
      </c>
      <c r="K778">
        <f>IFERROR(VLOOKUP(B778,'logos transformer '!A:C,3,FALSE),"na")</f>
        <v>181</v>
      </c>
      <c r="L778" s="1">
        <f>IFERROR(VLOOKUP(B778,'logos transformer '!A:D,4,FALSE),"na")</f>
        <v>45220.618750000001</v>
      </c>
    </row>
    <row r="779" spans="1:12" x14ac:dyDescent="0.3">
      <c r="A779" s="1">
        <v>45211.147222222222</v>
      </c>
      <c r="B779" t="s">
        <v>542</v>
      </c>
      <c r="C779">
        <v>89</v>
      </c>
      <c r="D779" t="s">
        <v>8</v>
      </c>
      <c r="E779" t="str">
        <f>IFERROR(VLOOKUP(logos[[#This Row],[Cell_ID]],'registe maintenance'!A:B,2,FALSE)," non répertoriées")</f>
        <v xml:space="preserve"> non répertoriées</v>
      </c>
      <c r="F779" t="str">
        <f>IFERROR(VLOOKUP(logos[[#This Row],[Cell_ID]],'registe maintenance'!A:C,3,FALSE)," non répertoriées")</f>
        <v xml:space="preserve"> non répertoriées</v>
      </c>
      <c r="G779" t="str">
        <f>IFERROR(VLOOKUP(logos[[#This Row],[Cell_ID]],'registe maintenance'!A:D,4,FALSE)," non répertoriées")</f>
        <v xml:space="preserve"> non répertoriées</v>
      </c>
      <c r="H779" t="str">
        <f>IFERROR(VLOOKUP(logos[[#This Row],[Cell_ID]],'registe maintenance'!A:E,5,FALSE)," non répertoriées")</f>
        <v xml:space="preserve"> non répertoriées</v>
      </c>
      <c r="I779" t="str">
        <f>IFERROR(VLOOKUP(logos[[#This Row],[Cell_ID]],'registe maintenance'!A:F,6,FALSE)," non répertoriées")</f>
        <v xml:space="preserve"> non répertoriées</v>
      </c>
      <c r="J779">
        <f>IFERROR(VLOOKUP(B779,'logos transformer '!A:B,2,FALSE),"na")</f>
        <v>2</v>
      </c>
      <c r="K779">
        <f>IFERROR(VLOOKUP(B779,'logos transformer '!A:C,3,FALSE),"na")</f>
        <v>94</v>
      </c>
      <c r="L779" s="1">
        <f>IFERROR(VLOOKUP(B779,'logos transformer '!A:D,4,FALSE),"na")</f>
        <v>45211.147222222222</v>
      </c>
    </row>
    <row r="780" spans="1:12" x14ac:dyDescent="0.3">
      <c r="A780" s="1">
        <v>45221.049305555563</v>
      </c>
      <c r="B780" t="s">
        <v>331</v>
      </c>
      <c r="C780">
        <v>53</v>
      </c>
      <c r="D780" t="s">
        <v>8</v>
      </c>
      <c r="E780" t="str">
        <f>IFERROR(VLOOKUP(logos[[#This Row],[Cell_ID]],'registe maintenance'!A:B,2,FALSE)," non répertoriées")</f>
        <v>Lualaba</v>
      </c>
      <c r="F780">
        <f>IFERROR(VLOOKUP(logos[[#This Row],[Cell_ID]],'registe maintenance'!A:C,3,FALSE)," non répertoriées")</f>
        <v>1.286548</v>
      </c>
      <c r="G780">
        <f>IFERROR(VLOOKUP(logos[[#This Row],[Cell_ID]],'registe maintenance'!A:D,4,FALSE)," non répertoriées")</f>
        <v>29.823702999999998</v>
      </c>
      <c r="H780" t="str">
        <f>IFERROR(VLOOKUP(logos[[#This Row],[Cell_ID]],'registe maintenance'!A:E,5,FALSE)," non répertoriées")</f>
        <v>4G</v>
      </c>
      <c r="I780" t="str">
        <f>IFERROR(VLOOKUP(logos[[#This Row],[Cell_ID]],'registe maintenance'!A:F,6,FALSE)," non répertoriées")</f>
        <v>ZTE</v>
      </c>
      <c r="J780">
        <f>IFERROR(VLOOKUP(B780,'logos transformer '!A:B,2,FALSE),"na")</f>
        <v>2</v>
      </c>
      <c r="K780">
        <f>IFERROR(VLOOKUP(B780,'logos transformer '!A:C,3,FALSE),"na")</f>
        <v>146</v>
      </c>
      <c r="L780" s="1">
        <f>IFERROR(VLOOKUP(B780,'logos transformer '!A:D,4,FALSE),"na")</f>
        <v>45221.049305555556</v>
      </c>
    </row>
    <row r="781" spans="1:12" x14ac:dyDescent="0.3">
      <c r="A781" s="1">
        <v>45207.668055555558</v>
      </c>
      <c r="B781" t="s">
        <v>543</v>
      </c>
      <c r="C781">
        <v>113</v>
      </c>
      <c r="D781" t="s">
        <v>5</v>
      </c>
      <c r="E781" t="str">
        <f>IFERROR(VLOOKUP(logos[[#This Row],[Cell_ID]],'registe maintenance'!A:B,2,FALSE)," non répertoriées")</f>
        <v>Kongo-Central</v>
      </c>
      <c r="F781">
        <f>IFERROR(VLOOKUP(logos[[#This Row],[Cell_ID]],'registe maintenance'!A:C,3,FALSE)," non répertoriées")</f>
        <v>-7.1587569999999996</v>
      </c>
      <c r="G781">
        <f>IFERROR(VLOOKUP(logos[[#This Row],[Cell_ID]],'registe maintenance'!A:D,4,FALSE)," non répertoriées")</f>
        <v>18.975141000000001</v>
      </c>
      <c r="H781" t="str">
        <f>IFERROR(VLOOKUP(logos[[#This Row],[Cell_ID]],'registe maintenance'!A:E,5,FALSE)," non répertoriées")</f>
        <v>5G</v>
      </c>
      <c r="I781" t="str">
        <f>IFERROR(VLOOKUP(logos[[#This Row],[Cell_ID]],'registe maintenance'!A:F,6,FALSE)," non répertoriées")</f>
        <v>Ericsson</v>
      </c>
      <c r="J781">
        <f>IFERROR(VLOOKUP(B781,'logos transformer '!A:B,2,FALSE),"na")</f>
        <v>3</v>
      </c>
      <c r="K781">
        <f>IFERROR(VLOOKUP(B781,'logos transformer '!A:C,3,FALSE),"na")</f>
        <v>266</v>
      </c>
      <c r="L781" s="1">
        <f>IFERROR(VLOOKUP(B781,'logos transformer '!A:D,4,FALSE),"na")</f>
        <v>45219.569444444445</v>
      </c>
    </row>
    <row r="782" spans="1:12" x14ac:dyDescent="0.3">
      <c r="A782" s="1">
        <v>45230.50277777778</v>
      </c>
      <c r="B782" t="s">
        <v>388</v>
      </c>
      <c r="C782">
        <v>99</v>
      </c>
      <c r="D782" t="s">
        <v>5</v>
      </c>
      <c r="E782" t="str">
        <f>IFERROR(VLOOKUP(logos[[#This Row],[Cell_ID]],'registe maintenance'!A:B,2,FALSE)," non répertoriées")</f>
        <v>Equateur</v>
      </c>
      <c r="F782">
        <f>IFERROR(VLOOKUP(logos[[#This Row],[Cell_ID]],'registe maintenance'!A:C,3,FALSE)," non répertoriées")</f>
        <v>-5.7200150000000001</v>
      </c>
      <c r="G782">
        <f>IFERROR(VLOOKUP(logos[[#This Row],[Cell_ID]],'registe maintenance'!A:D,4,FALSE)," non répertoriées")</f>
        <v>25.022109</v>
      </c>
      <c r="H782" t="str">
        <f>IFERROR(VLOOKUP(logos[[#This Row],[Cell_ID]],'registe maintenance'!A:E,5,FALSE)," non répertoriées")</f>
        <v>5G</v>
      </c>
      <c r="I782" t="str">
        <f>IFERROR(VLOOKUP(logos[[#This Row],[Cell_ID]],'registe maintenance'!A:F,6,FALSE)," non répertoriées")</f>
        <v>ZTE</v>
      </c>
      <c r="J782">
        <f>IFERROR(VLOOKUP(B782,'logos transformer '!A:B,2,FALSE),"na")</f>
        <v>3</v>
      </c>
      <c r="K782">
        <f>IFERROR(VLOOKUP(B782,'logos transformer '!A:C,3,FALSE),"na")</f>
        <v>236</v>
      </c>
      <c r="L782" s="1">
        <f>IFERROR(VLOOKUP(B782,'logos transformer '!A:D,4,FALSE),"na")</f>
        <v>45230.50277777778</v>
      </c>
    </row>
    <row r="783" spans="1:12" x14ac:dyDescent="0.3">
      <c r="A783" s="1">
        <v>45228.621527777781</v>
      </c>
      <c r="B783" t="s">
        <v>68</v>
      </c>
      <c r="C783">
        <v>98</v>
      </c>
      <c r="D783" t="s">
        <v>10</v>
      </c>
      <c r="E783" t="str">
        <f>IFERROR(VLOOKUP(logos[[#This Row],[Cell_ID]],'registe maintenance'!A:B,2,FALSE)," non répertoriées")</f>
        <v>Kwango</v>
      </c>
      <c r="F783">
        <f>IFERROR(VLOOKUP(logos[[#This Row],[Cell_ID]],'registe maintenance'!A:C,3,FALSE)," non répertoriées")</f>
        <v>-10.963041</v>
      </c>
      <c r="G783">
        <f>IFERROR(VLOOKUP(logos[[#This Row],[Cell_ID]],'registe maintenance'!A:D,4,FALSE)," non répertoriées")</f>
        <v>12.269857</v>
      </c>
      <c r="H783" t="str">
        <f>IFERROR(VLOOKUP(logos[[#This Row],[Cell_ID]],'registe maintenance'!A:E,5,FALSE)," non répertoriées")</f>
        <v>4G</v>
      </c>
      <c r="I783" t="str">
        <f>IFERROR(VLOOKUP(logos[[#This Row],[Cell_ID]],'registe maintenance'!A:F,6,FALSE)," non répertoriées")</f>
        <v>Huawei</v>
      </c>
      <c r="J783">
        <f>IFERROR(VLOOKUP(B783,'logos transformer '!A:B,2,FALSE),"na")</f>
        <v>3</v>
      </c>
      <c r="K783">
        <f>IFERROR(VLOOKUP(B783,'logos transformer '!A:C,3,FALSE),"na")</f>
        <v>199</v>
      </c>
      <c r="L783" s="1">
        <f>IFERROR(VLOOKUP(B783,'logos transformer '!A:D,4,FALSE),"na")</f>
        <v>45228.621527777781</v>
      </c>
    </row>
    <row r="784" spans="1:12" x14ac:dyDescent="0.3">
      <c r="A784" s="1">
        <v>45209.388888888891</v>
      </c>
      <c r="B784" t="s">
        <v>544</v>
      </c>
      <c r="C784">
        <v>44</v>
      </c>
      <c r="D784" t="s">
        <v>5</v>
      </c>
      <c r="E784" t="str">
        <f>IFERROR(VLOOKUP(logos[[#This Row],[Cell_ID]],'registe maintenance'!A:B,2,FALSE)," non répertoriées")</f>
        <v xml:space="preserve"> non répertoriées</v>
      </c>
      <c r="F784" t="str">
        <f>IFERROR(VLOOKUP(logos[[#This Row],[Cell_ID]],'registe maintenance'!A:C,3,FALSE)," non répertoriées")</f>
        <v xml:space="preserve"> non répertoriées</v>
      </c>
      <c r="G784" t="str">
        <f>IFERROR(VLOOKUP(logos[[#This Row],[Cell_ID]],'registe maintenance'!A:D,4,FALSE)," non répertoriées")</f>
        <v xml:space="preserve"> non répertoriées</v>
      </c>
      <c r="H784" t="str">
        <f>IFERROR(VLOOKUP(logos[[#This Row],[Cell_ID]],'registe maintenance'!A:E,5,FALSE)," non répertoriées")</f>
        <v xml:space="preserve"> non répertoriées</v>
      </c>
      <c r="I784" t="str">
        <f>IFERROR(VLOOKUP(logos[[#This Row],[Cell_ID]],'registe maintenance'!A:F,6,FALSE)," non répertoriées")</f>
        <v xml:space="preserve"> non répertoriées</v>
      </c>
      <c r="J784">
        <f>IFERROR(VLOOKUP(B784,'logos transformer '!A:B,2,FALSE),"na")</f>
        <v>1</v>
      </c>
      <c r="K784">
        <f>IFERROR(VLOOKUP(B784,'logos transformer '!A:C,3,FALSE),"na")</f>
        <v>44</v>
      </c>
      <c r="L784" s="1">
        <f>IFERROR(VLOOKUP(B784,'logos transformer '!A:D,4,FALSE),"na")</f>
        <v>45209.388888888891</v>
      </c>
    </row>
    <row r="785" spans="1:12" x14ac:dyDescent="0.3">
      <c r="A785" s="1">
        <v>45202.728472222218</v>
      </c>
      <c r="B785" t="s">
        <v>472</v>
      </c>
      <c r="C785">
        <v>18</v>
      </c>
      <c r="D785" t="s">
        <v>5</v>
      </c>
      <c r="E785" t="str">
        <f>IFERROR(VLOOKUP(logos[[#This Row],[Cell_ID]],'registe maintenance'!A:B,2,FALSE)," non répertoriées")</f>
        <v xml:space="preserve"> non répertoriées</v>
      </c>
      <c r="F785" t="str">
        <f>IFERROR(VLOOKUP(logos[[#This Row],[Cell_ID]],'registe maintenance'!A:C,3,FALSE)," non répertoriées")</f>
        <v xml:space="preserve"> non répertoriées</v>
      </c>
      <c r="G785" t="str">
        <f>IFERROR(VLOOKUP(logos[[#This Row],[Cell_ID]],'registe maintenance'!A:D,4,FALSE)," non répertoriées")</f>
        <v xml:space="preserve"> non répertoriées</v>
      </c>
      <c r="H785" t="str">
        <f>IFERROR(VLOOKUP(logos[[#This Row],[Cell_ID]],'registe maintenance'!A:E,5,FALSE)," non répertoriées")</f>
        <v xml:space="preserve"> non répertoriées</v>
      </c>
      <c r="I785" t="str">
        <f>IFERROR(VLOOKUP(logos[[#This Row],[Cell_ID]],'registe maintenance'!A:F,6,FALSE)," non répertoriées")</f>
        <v xml:space="preserve"> non répertoriées</v>
      </c>
      <c r="J785">
        <f>IFERROR(VLOOKUP(B785,'logos transformer '!A:B,2,FALSE),"na")</f>
        <v>2</v>
      </c>
      <c r="K785">
        <f>IFERROR(VLOOKUP(B785,'logos transformer '!A:C,3,FALSE),"na")</f>
        <v>100</v>
      </c>
      <c r="L785" s="1">
        <f>IFERROR(VLOOKUP(B785,'logos transformer '!A:D,4,FALSE),"na")</f>
        <v>45211.711805555555</v>
      </c>
    </row>
    <row r="786" spans="1:12" x14ac:dyDescent="0.3">
      <c r="A786" s="1">
        <v>45200.466666666667</v>
      </c>
      <c r="B786" t="s">
        <v>545</v>
      </c>
      <c r="C786">
        <v>31</v>
      </c>
      <c r="D786" t="s">
        <v>8</v>
      </c>
      <c r="E786" t="str">
        <f>IFERROR(VLOOKUP(logos[[#This Row],[Cell_ID]],'registe maintenance'!A:B,2,FALSE)," non répertoriées")</f>
        <v>Lomami</v>
      </c>
      <c r="F786">
        <f>IFERROR(VLOOKUP(logos[[#This Row],[Cell_ID]],'registe maintenance'!A:C,3,FALSE)," non répertoriées")</f>
        <v>-9.5619429999999994</v>
      </c>
      <c r="G786">
        <f>IFERROR(VLOOKUP(logos[[#This Row],[Cell_ID]],'registe maintenance'!A:D,4,FALSE)," non répertoriées")</f>
        <v>21.445726000000001</v>
      </c>
      <c r="H786" t="str">
        <f>IFERROR(VLOOKUP(logos[[#This Row],[Cell_ID]],'registe maintenance'!A:E,5,FALSE)," non répertoriées")</f>
        <v>4G</v>
      </c>
      <c r="I786" t="str">
        <f>IFERROR(VLOOKUP(logos[[#This Row],[Cell_ID]],'registe maintenance'!A:F,6,FALSE)," non répertoriées")</f>
        <v>Nokia</v>
      </c>
      <c r="J786">
        <f>IFERROR(VLOOKUP(B786,'logos transformer '!A:B,2,FALSE),"na")</f>
        <v>2</v>
      </c>
      <c r="K786">
        <f>IFERROR(VLOOKUP(B786,'logos transformer '!A:C,3,FALSE),"na")</f>
        <v>126</v>
      </c>
      <c r="L786" s="1">
        <f>IFERROR(VLOOKUP(B786,'logos transformer '!A:D,4,FALSE),"na")</f>
        <v>45201.293055555558</v>
      </c>
    </row>
    <row r="787" spans="1:12" x14ac:dyDescent="0.3">
      <c r="A787" s="1">
        <v>45225.553472222222</v>
      </c>
      <c r="B787" t="s">
        <v>527</v>
      </c>
      <c r="C787">
        <v>120</v>
      </c>
      <c r="D787" t="s">
        <v>5</v>
      </c>
      <c r="E787" t="str">
        <f>IFERROR(VLOOKUP(logos[[#This Row],[Cell_ID]],'registe maintenance'!A:B,2,FALSE)," non répertoriées")</f>
        <v xml:space="preserve"> non répertoriées</v>
      </c>
      <c r="F787" t="str">
        <f>IFERROR(VLOOKUP(logos[[#This Row],[Cell_ID]],'registe maintenance'!A:C,3,FALSE)," non répertoriées")</f>
        <v xml:space="preserve"> non répertoriées</v>
      </c>
      <c r="G787" t="str">
        <f>IFERROR(VLOOKUP(logos[[#This Row],[Cell_ID]],'registe maintenance'!A:D,4,FALSE)," non répertoriées")</f>
        <v xml:space="preserve"> non répertoriées</v>
      </c>
      <c r="H787" t="str">
        <f>IFERROR(VLOOKUP(logos[[#This Row],[Cell_ID]],'registe maintenance'!A:E,5,FALSE)," non répertoriées")</f>
        <v xml:space="preserve"> non répertoriées</v>
      </c>
      <c r="I787" t="str">
        <f>IFERROR(VLOOKUP(logos[[#This Row],[Cell_ID]],'registe maintenance'!A:F,6,FALSE)," non répertoriées")</f>
        <v xml:space="preserve"> non répertoriées</v>
      </c>
      <c r="J787">
        <f>IFERROR(VLOOKUP(B787,'logos transformer '!A:B,2,FALSE),"na")</f>
        <v>2</v>
      </c>
      <c r="K787">
        <f>IFERROR(VLOOKUP(B787,'logos transformer '!A:C,3,FALSE),"na")</f>
        <v>240</v>
      </c>
      <c r="L787" s="1">
        <f>IFERROR(VLOOKUP(B787,'logos transformer '!A:D,4,FALSE),"na")</f>
        <v>45225.553472222222</v>
      </c>
    </row>
    <row r="788" spans="1:12" x14ac:dyDescent="0.3">
      <c r="A788" s="1">
        <v>45226.209027777782</v>
      </c>
      <c r="B788" t="s">
        <v>462</v>
      </c>
      <c r="C788">
        <v>81</v>
      </c>
      <c r="D788" t="s">
        <v>10</v>
      </c>
      <c r="E788" t="str">
        <f>IFERROR(VLOOKUP(logos[[#This Row],[Cell_ID]],'registe maintenance'!A:B,2,FALSE)," non répertoriées")</f>
        <v>Nord-Ubangi</v>
      </c>
      <c r="F788">
        <f>IFERROR(VLOOKUP(logos[[#This Row],[Cell_ID]],'registe maintenance'!A:C,3,FALSE)," non répertoriées")</f>
        <v>-8.4985189999999999</v>
      </c>
      <c r="G788">
        <f>IFERROR(VLOOKUP(logos[[#This Row],[Cell_ID]],'registe maintenance'!A:D,4,FALSE)," non répertoriées")</f>
        <v>12.929456999999999</v>
      </c>
      <c r="H788" t="str">
        <f>IFERROR(VLOOKUP(logos[[#This Row],[Cell_ID]],'registe maintenance'!A:E,5,FALSE)," non répertoriées")</f>
        <v>4G</v>
      </c>
      <c r="I788" t="str">
        <f>IFERROR(VLOOKUP(logos[[#This Row],[Cell_ID]],'registe maintenance'!A:F,6,FALSE)," non répertoriées")</f>
        <v>Ericsson</v>
      </c>
      <c r="J788">
        <f>IFERROR(VLOOKUP(B788,'logos transformer '!A:B,2,FALSE),"na")</f>
        <v>3</v>
      </c>
      <c r="K788">
        <f>IFERROR(VLOOKUP(B788,'logos transformer '!A:C,3,FALSE),"na")</f>
        <v>139</v>
      </c>
      <c r="L788" s="1">
        <f>IFERROR(VLOOKUP(B788,'logos transformer '!A:D,4,FALSE),"na")</f>
        <v>45229.972222222219</v>
      </c>
    </row>
    <row r="789" spans="1:12" x14ac:dyDescent="0.3">
      <c r="A789" s="1">
        <v>45230.537499999999</v>
      </c>
      <c r="B789" t="s">
        <v>546</v>
      </c>
      <c r="C789">
        <v>33</v>
      </c>
      <c r="D789" t="s">
        <v>8</v>
      </c>
      <c r="E789" t="str">
        <f>IFERROR(VLOOKUP(logos[[#This Row],[Cell_ID]],'registe maintenance'!A:B,2,FALSE)," non répertoriées")</f>
        <v xml:space="preserve"> non répertoriées</v>
      </c>
      <c r="F789" t="str">
        <f>IFERROR(VLOOKUP(logos[[#This Row],[Cell_ID]],'registe maintenance'!A:C,3,FALSE)," non répertoriées")</f>
        <v xml:space="preserve"> non répertoriées</v>
      </c>
      <c r="G789" t="str">
        <f>IFERROR(VLOOKUP(logos[[#This Row],[Cell_ID]],'registe maintenance'!A:D,4,FALSE)," non répertoriées")</f>
        <v xml:space="preserve"> non répertoriées</v>
      </c>
      <c r="H789" t="str">
        <f>IFERROR(VLOOKUP(logos[[#This Row],[Cell_ID]],'registe maintenance'!A:E,5,FALSE)," non répertoriées")</f>
        <v xml:space="preserve"> non répertoriées</v>
      </c>
      <c r="I789" t="str">
        <f>IFERROR(VLOOKUP(logos[[#This Row],[Cell_ID]],'registe maintenance'!A:F,6,FALSE)," non répertoriées")</f>
        <v xml:space="preserve"> non répertoriées</v>
      </c>
      <c r="J789">
        <f>IFERROR(VLOOKUP(B789,'logos transformer '!A:B,2,FALSE),"na")</f>
        <v>2</v>
      </c>
      <c r="K789">
        <f>IFERROR(VLOOKUP(B789,'logos transformer '!A:C,3,FALSE),"na")</f>
        <v>75</v>
      </c>
      <c r="L789" s="1">
        <f>IFERROR(VLOOKUP(B789,'logos transformer '!A:D,4,FALSE),"na")</f>
        <v>45230.537499999999</v>
      </c>
    </row>
    <row r="790" spans="1:12" x14ac:dyDescent="0.3">
      <c r="A790" s="1">
        <v>45214.740972222222</v>
      </c>
      <c r="B790" t="s">
        <v>245</v>
      </c>
      <c r="C790">
        <v>8</v>
      </c>
      <c r="D790" t="s">
        <v>5</v>
      </c>
      <c r="E790" t="str">
        <f>IFERROR(VLOOKUP(logos[[#This Row],[Cell_ID]],'registe maintenance'!A:B,2,FALSE)," non répertoriées")</f>
        <v>Nord-Kivu</v>
      </c>
      <c r="F790">
        <f>IFERROR(VLOOKUP(logos[[#This Row],[Cell_ID]],'registe maintenance'!A:C,3,FALSE)," non répertoriées")</f>
        <v>-10.846306999999999</v>
      </c>
      <c r="G790">
        <f>IFERROR(VLOOKUP(logos[[#This Row],[Cell_ID]],'registe maintenance'!A:D,4,FALSE)," non répertoriées")</f>
        <v>19.201827999999999</v>
      </c>
      <c r="H790" t="str">
        <f>IFERROR(VLOOKUP(logos[[#This Row],[Cell_ID]],'registe maintenance'!A:E,5,FALSE)," non répertoriées")</f>
        <v>4G</v>
      </c>
      <c r="I790" t="str">
        <f>IFERROR(VLOOKUP(logos[[#This Row],[Cell_ID]],'registe maintenance'!A:F,6,FALSE)," non répertoriées")</f>
        <v>Ericsson</v>
      </c>
      <c r="J790">
        <f>IFERROR(VLOOKUP(B790,'logos transformer '!A:B,2,FALSE),"na")</f>
        <v>3</v>
      </c>
      <c r="K790">
        <f>IFERROR(VLOOKUP(B790,'logos transformer '!A:C,3,FALSE),"na")</f>
        <v>121</v>
      </c>
      <c r="L790" s="1">
        <f>IFERROR(VLOOKUP(B790,'logos transformer '!A:D,4,FALSE),"na")</f>
        <v>45223.252083333333</v>
      </c>
    </row>
    <row r="791" spans="1:12" x14ac:dyDescent="0.3">
      <c r="A791" s="1">
        <v>45217.29583333333</v>
      </c>
      <c r="B791" t="s">
        <v>547</v>
      </c>
      <c r="C791">
        <v>119</v>
      </c>
      <c r="D791" t="s">
        <v>5</v>
      </c>
      <c r="E791" t="str">
        <f>IFERROR(VLOOKUP(logos[[#This Row],[Cell_ID]],'registe maintenance'!A:B,2,FALSE)," non répertoriées")</f>
        <v xml:space="preserve"> non répertoriées</v>
      </c>
      <c r="F791" t="str">
        <f>IFERROR(VLOOKUP(logos[[#This Row],[Cell_ID]],'registe maintenance'!A:C,3,FALSE)," non répertoriées")</f>
        <v xml:space="preserve"> non répertoriées</v>
      </c>
      <c r="G791" t="str">
        <f>IFERROR(VLOOKUP(logos[[#This Row],[Cell_ID]],'registe maintenance'!A:D,4,FALSE)," non répertoriées")</f>
        <v xml:space="preserve"> non répertoriées</v>
      </c>
      <c r="H791" t="str">
        <f>IFERROR(VLOOKUP(logos[[#This Row],[Cell_ID]],'registe maintenance'!A:E,5,FALSE)," non répertoriées")</f>
        <v xml:space="preserve"> non répertoriées</v>
      </c>
      <c r="I791" t="str">
        <f>IFERROR(VLOOKUP(logos[[#This Row],[Cell_ID]],'registe maintenance'!A:F,6,FALSE)," non répertoriées")</f>
        <v xml:space="preserve"> non répertoriées</v>
      </c>
      <c r="J791">
        <f>IFERROR(VLOOKUP(B791,'logos transformer '!A:B,2,FALSE),"na")</f>
        <v>1</v>
      </c>
      <c r="K791">
        <f>IFERROR(VLOOKUP(B791,'logos transformer '!A:C,3,FALSE),"na")</f>
        <v>119</v>
      </c>
      <c r="L791" s="1">
        <f>IFERROR(VLOOKUP(B791,'logos transformer '!A:D,4,FALSE),"na")</f>
        <v>45217.29583333333</v>
      </c>
    </row>
    <row r="792" spans="1:12" x14ac:dyDescent="0.3">
      <c r="A792" s="1">
        <v>45214.160416666673</v>
      </c>
      <c r="B792" t="s">
        <v>435</v>
      </c>
      <c r="C792">
        <v>108</v>
      </c>
      <c r="D792" t="s">
        <v>10</v>
      </c>
      <c r="E792" t="str">
        <f>IFERROR(VLOOKUP(logos[[#This Row],[Cell_ID]],'registe maintenance'!A:B,2,FALSE)," non répertoriées")</f>
        <v>Mongala</v>
      </c>
      <c r="F792">
        <f>IFERROR(VLOOKUP(logos[[#This Row],[Cell_ID]],'registe maintenance'!A:C,3,FALSE)," non répertoriées")</f>
        <v>-11.407966</v>
      </c>
      <c r="G792">
        <f>IFERROR(VLOOKUP(logos[[#This Row],[Cell_ID]],'registe maintenance'!A:D,4,FALSE)," non répertoriées")</f>
        <v>28.378274000000001</v>
      </c>
      <c r="H792" t="str">
        <f>IFERROR(VLOOKUP(logos[[#This Row],[Cell_ID]],'registe maintenance'!A:E,5,FALSE)," non répertoriées")</f>
        <v>4G</v>
      </c>
      <c r="I792" t="str">
        <f>IFERROR(VLOOKUP(logos[[#This Row],[Cell_ID]],'registe maintenance'!A:F,6,FALSE)," non répertoriées")</f>
        <v>ZTE</v>
      </c>
      <c r="J792">
        <f>IFERROR(VLOOKUP(B792,'logos transformer '!A:B,2,FALSE),"na")</f>
        <v>2</v>
      </c>
      <c r="K792">
        <f>IFERROR(VLOOKUP(B792,'logos transformer '!A:C,3,FALSE),"na")</f>
        <v>226</v>
      </c>
      <c r="L792" s="1">
        <f>IFERROR(VLOOKUP(B792,'logos transformer '!A:D,4,FALSE),"na")</f>
        <v>45214.160416666666</v>
      </c>
    </row>
    <row r="793" spans="1:12" x14ac:dyDescent="0.3">
      <c r="A793" s="1">
        <v>45225.171527777777</v>
      </c>
      <c r="B793" t="s">
        <v>548</v>
      </c>
      <c r="C793">
        <v>104</v>
      </c>
      <c r="D793" t="s">
        <v>8</v>
      </c>
      <c r="E793" t="str">
        <f>IFERROR(VLOOKUP(logos[[#This Row],[Cell_ID]],'registe maintenance'!A:B,2,FALSE)," non répertoriées")</f>
        <v>Kongo-Central</v>
      </c>
      <c r="F793">
        <f>IFERROR(VLOOKUP(logos[[#This Row],[Cell_ID]],'registe maintenance'!A:C,3,FALSE)," non répertoriées")</f>
        <v>1.2463919999999999</v>
      </c>
      <c r="G793">
        <f>IFERROR(VLOOKUP(logos[[#This Row],[Cell_ID]],'registe maintenance'!A:D,4,FALSE)," non répertoriées")</f>
        <v>13.266916999999999</v>
      </c>
      <c r="H793" t="str">
        <f>IFERROR(VLOOKUP(logos[[#This Row],[Cell_ID]],'registe maintenance'!A:E,5,FALSE)," non répertoriées")</f>
        <v>5G</v>
      </c>
      <c r="I793" t="str">
        <f>IFERROR(VLOOKUP(logos[[#This Row],[Cell_ID]],'registe maintenance'!A:F,6,FALSE)," non répertoriées")</f>
        <v>Huawei</v>
      </c>
      <c r="J793">
        <f>IFERROR(VLOOKUP(B793,'logos transformer '!A:B,2,FALSE),"na")</f>
        <v>1</v>
      </c>
      <c r="K793">
        <f>IFERROR(VLOOKUP(B793,'logos transformer '!A:C,3,FALSE),"na")</f>
        <v>104</v>
      </c>
      <c r="L793" s="1">
        <f>IFERROR(VLOOKUP(B793,'logos transformer '!A:D,4,FALSE),"na")</f>
        <v>45225.171527777777</v>
      </c>
    </row>
    <row r="794" spans="1:12" x14ac:dyDescent="0.3">
      <c r="A794" s="1">
        <v>45200.078472222223</v>
      </c>
      <c r="B794" t="s">
        <v>238</v>
      </c>
      <c r="C794">
        <v>40</v>
      </c>
      <c r="D794" t="s">
        <v>5</v>
      </c>
      <c r="E794" t="str">
        <f>IFERROR(VLOOKUP(logos[[#This Row],[Cell_ID]],'registe maintenance'!A:B,2,FALSE)," non répertoriées")</f>
        <v>Kasai</v>
      </c>
      <c r="F794">
        <f>IFERROR(VLOOKUP(logos[[#This Row],[Cell_ID]],'registe maintenance'!A:C,3,FALSE)," non répertoriées")</f>
        <v>-10.165072</v>
      </c>
      <c r="G794">
        <f>IFERROR(VLOOKUP(logos[[#This Row],[Cell_ID]],'registe maintenance'!A:D,4,FALSE)," non répertoriées")</f>
        <v>29.428024000000001</v>
      </c>
      <c r="H794" t="str">
        <f>IFERROR(VLOOKUP(logos[[#This Row],[Cell_ID]],'registe maintenance'!A:E,5,FALSE)," non répertoriées")</f>
        <v>5G</v>
      </c>
      <c r="I794" t="str">
        <f>IFERROR(VLOOKUP(logos[[#This Row],[Cell_ID]],'registe maintenance'!A:F,6,FALSE)," non répertoriées")</f>
        <v>Huawei</v>
      </c>
      <c r="J794">
        <f>IFERROR(VLOOKUP(B794,'logos transformer '!A:B,2,FALSE),"na")</f>
        <v>3</v>
      </c>
      <c r="K794">
        <f>IFERROR(VLOOKUP(B794,'logos transformer '!A:C,3,FALSE),"na")</f>
        <v>160</v>
      </c>
      <c r="L794" s="1">
        <f>IFERROR(VLOOKUP(B794,'logos transformer '!A:D,4,FALSE),"na")</f>
        <v>45225.622916666667</v>
      </c>
    </row>
    <row r="795" spans="1:12" x14ac:dyDescent="0.3">
      <c r="A795" s="1">
        <v>45224.297222222223</v>
      </c>
      <c r="B795" t="s">
        <v>549</v>
      </c>
      <c r="C795">
        <v>12</v>
      </c>
      <c r="D795" t="s">
        <v>10</v>
      </c>
      <c r="E795" t="str">
        <f>IFERROR(VLOOKUP(logos[[#This Row],[Cell_ID]],'registe maintenance'!A:B,2,FALSE)," non répertoriées")</f>
        <v xml:space="preserve"> non répertoriées</v>
      </c>
      <c r="F795" t="str">
        <f>IFERROR(VLOOKUP(logos[[#This Row],[Cell_ID]],'registe maintenance'!A:C,3,FALSE)," non répertoriées")</f>
        <v xml:space="preserve"> non répertoriées</v>
      </c>
      <c r="G795" t="str">
        <f>IFERROR(VLOOKUP(logos[[#This Row],[Cell_ID]],'registe maintenance'!A:D,4,FALSE)," non répertoriées")</f>
        <v xml:space="preserve"> non répertoriées</v>
      </c>
      <c r="H795" t="str">
        <f>IFERROR(VLOOKUP(logos[[#This Row],[Cell_ID]],'registe maintenance'!A:E,5,FALSE)," non répertoriées")</f>
        <v xml:space="preserve"> non répertoriées</v>
      </c>
      <c r="I795" t="str">
        <f>IFERROR(VLOOKUP(logos[[#This Row],[Cell_ID]],'registe maintenance'!A:F,6,FALSE)," non répertoriées")</f>
        <v xml:space="preserve"> non répertoriées</v>
      </c>
      <c r="J795">
        <f>IFERROR(VLOOKUP(B795,'logos transformer '!A:B,2,FALSE),"na")</f>
        <v>1</v>
      </c>
      <c r="K795">
        <f>IFERROR(VLOOKUP(B795,'logos transformer '!A:C,3,FALSE),"na")</f>
        <v>12</v>
      </c>
      <c r="L795" s="1">
        <f>IFERROR(VLOOKUP(B795,'logos transformer '!A:D,4,FALSE),"na")</f>
        <v>45224.297222222223</v>
      </c>
    </row>
    <row r="796" spans="1:12" x14ac:dyDescent="0.3">
      <c r="A796" s="1">
        <v>45206.515972222223</v>
      </c>
      <c r="B796" t="s">
        <v>550</v>
      </c>
      <c r="C796">
        <v>108</v>
      </c>
      <c r="D796" t="s">
        <v>5</v>
      </c>
      <c r="E796" t="str">
        <f>IFERROR(VLOOKUP(logos[[#This Row],[Cell_ID]],'registe maintenance'!A:B,2,FALSE)," non répertoriées")</f>
        <v>Kinshasa</v>
      </c>
      <c r="F796">
        <f>IFERROR(VLOOKUP(logos[[#This Row],[Cell_ID]],'registe maintenance'!A:C,3,FALSE)," non répertoriées")</f>
        <v>-10.227569000000001</v>
      </c>
      <c r="G796">
        <f>IFERROR(VLOOKUP(logos[[#This Row],[Cell_ID]],'registe maintenance'!A:D,4,FALSE)," non répertoriées")</f>
        <v>18.887930999999998</v>
      </c>
      <c r="H796" t="str">
        <f>IFERROR(VLOOKUP(logos[[#This Row],[Cell_ID]],'registe maintenance'!A:E,5,FALSE)," non répertoriées")</f>
        <v>3G</v>
      </c>
      <c r="I796" t="str">
        <f>IFERROR(VLOOKUP(logos[[#This Row],[Cell_ID]],'registe maintenance'!A:F,6,FALSE)," non répertoriées")</f>
        <v>ZTE</v>
      </c>
      <c r="J796">
        <f>IFERROR(VLOOKUP(B796,'logos transformer '!A:B,2,FALSE),"na")</f>
        <v>1</v>
      </c>
      <c r="K796">
        <f>IFERROR(VLOOKUP(B796,'logos transformer '!A:C,3,FALSE),"na")</f>
        <v>108</v>
      </c>
      <c r="L796" s="1">
        <f>IFERROR(VLOOKUP(B796,'logos transformer '!A:D,4,FALSE),"na")</f>
        <v>45206.515972222223</v>
      </c>
    </row>
    <row r="797" spans="1:12" x14ac:dyDescent="0.3">
      <c r="A797" s="1">
        <v>45221.861805555563</v>
      </c>
      <c r="B797" t="s">
        <v>551</v>
      </c>
      <c r="C797">
        <v>65</v>
      </c>
      <c r="D797" t="s">
        <v>5</v>
      </c>
      <c r="E797" t="str">
        <f>IFERROR(VLOOKUP(logos[[#This Row],[Cell_ID]],'registe maintenance'!A:B,2,FALSE)," non répertoriées")</f>
        <v>Tanganyika</v>
      </c>
      <c r="F797">
        <f>IFERROR(VLOOKUP(logos[[#This Row],[Cell_ID]],'registe maintenance'!A:C,3,FALSE)," non répertoriées")</f>
        <v>-3.9148719999999999</v>
      </c>
      <c r="G797">
        <f>IFERROR(VLOOKUP(logos[[#This Row],[Cell_ID]],'registe maintenance'!A:D,4,FALSE)," non répertoriées")</f>
        <v>12.260933</v>
      </c>
      <c r="H797" t="str">
        <f>IFERROR(VLOOKUP(logos[[#This Row],[Cell_ID]],'registe maintenance'!A:E,5,FALSE)," non répertoriées")</f>
        <v>4G</v>
      </c>
      <c r="I797" t="str">
        <f>IFERROR(VLOOKUP(logos[[#This Row],[Cell_ID]],'registe maintenance'!A:F,6,FALSE)," non répertoriées")</f>
        <v>Ericsson</v>
      </c>
      <c r="J797">
        <f>IFERROR(VLOOKUP(B797,'logos transformer '!A:B,2,FALSE),"na")</f>
        <v>1</v>
      </c>
      <c r="K797">
        <f>IFERROR(VLOOKUP(B797,'logos transformer '!A:C,3,FALSE),"na")</f>
        <v>65</v>
      </c>
      <c r="L797" s="1">
        <f>IFERROR(VLOOKUP(B797,'logos transformer '!A:D,4,FALSE),"na")</f>
        <v>45221.861805555556</v>
      </c>
    </row>
    <row r="798" spans="1:12" x14ac:dyDescent="0.3">
      <c r="A798" s="1">
        <v>45202.775694444441</v>
      </c>
      <c r="B798" t="s">
        <v>530</v>
      </c>
      <c r="C798">
        <v>72</v>
      </c>
      <c r="D798" t="s">
        <v>5</v>
      </c>
      <c r="E798" t="str">
        <f>IFERROR(VLOOKUP(logos[[#This Row],[Cell_ID]],'registe maintenance'!A:B,2,FALSE)," non répertoriées")</f>
        <v>Kongo-Central</v>
      </c>
      <c r="F798">
        <f>IFERROR(VLOOKUP(logos[[#This Row],[Cell_ID]],'registe maintenance'!A:C,3,FALSE)," non répertoriées")</f>
        <v>1.981107</v>
      </c>
      <c r="G798">
        <f>IFERROR(VLOOKUP(logos[[#This Row],[Cell_ID]],'registe maintenance'!A:D,4,FALSE)," non répertoriées")</f>
        <v>23.932569000000001</v>
      </c>
      <c r="H798" t="str">
        <f>IFERROR(VLOOKUP(logos[[#This Row],[Cell_ID]],'registe maintenance'!A:E,5,FALSE)," non répertoriées")</f>
        <v>3G</v>
      </c>
      <c r="I798" t="str">
        <f>IFERROR(VLOOKUP(logos[[#This Row],[Cell_ID]],'registe maintenance'!A:F,6,FALSE)," non répertoriées")</f>
        <v>Nokia</v>
      </c>
      <c r="J798">
        <f>IFERROR(VLOOKUP(B798,'logos transformer '!A:B,2,FALSE),"na")</f>
        <v>3</v>
      </c>
      <c r="K798">
        <f>IFERROR(VLOOKUP(B798,'logos transformer '!A:C,3,FALSE),"na")</f>
        <v>295</v>
      </c>
      <c r="L798" s="1">
        <f>IFERROR(VLOOKUP(B798,'logos transformer '!A:D,4,FALSE),"na")</f>
        <v>45230.039583333331</v>
      </c>
    </row>
    <row r="799" spans="1:12" x14ac:dyDescent="0.3">
      <c r="A799" s="1">
        <v>45208.084027777782</v>
      </c>
      <c r="B799" t="s">
        <v>552</v>
      </c>
      <c r="C799">
        <v>50</v>
      </c>
      <c r="D799" t="s">
        <v>8</v>
      </c>
      <c r="E799" t="str">
        <f>IFERROR(VLOOKUP(logos[[#This Row],[Cell_ID]],'registe maintenance'!A:B,2,FALSE)," non répertoriées")</f>
        <v xml:space="preserve"> non répertoriées</v>
      </c>
      <c r="F799" t="str">
        <f>IFERROR(VLOOKUP(logos[[#This Row],[Cell_ID]],'registe maintenance'!A:C,3,FALSE)," non répertoriées")</f>
        <v xml:space="preserve"> non répertoriées</v>
      </c>
      <c r="G799" t="str">
        <f>IFERROR(VLOOKUP(logos[[#This Row],[Cell_ID]],'registe maintenance'!A:D,4,FALSE)," non répertoriées")</f>
        <v xml:space="preserve"> non répertoriées</v>
      </c>
      <c r="H799" t="str">
        <f>IFERROR(VLOOKUP(logos[[#This Row],[Cell_ID]],'registe maintenance'!A:E,5,FALSE)," non répertoriées")</f>
        <v xml:space="preserve"> non répertoriées</v>
      </c>
      <c r="I799" t="str">
        <f>IFERROR(VLOOKUP(logos[[#This Row],[Cell_ID]],'registe maintenance'!A:F,6,FALSE)," non répertoriées")</f>
        <v xml:space="preserve"> non répertoriées</v>
      </c>
      <c r="J799">
        <f>IFERROR(VLOOKUP(B799,'logos transformer '!A:B,2,FALSE),"na")</f>
        <v>1</v>
      </c>
      <c r="K799">
        <f>IFERROR(VLOOKUP(B799,'logos transformer '!A:C,3,FALSE),"na")</f>
        <v>50</v>
      </c>
      <c r="L799" s="1">
        <f>IFERROR(VLOOKUP(B799,'logos transformer '!A:D,4,FALSE),"na")</f>
        <v>45208.084027777775</v>
      </c>
    </row>
    <row r="800" spans="1:12" x14ac:dyDescent="0.3">
      <c r="A800" s="1">
        <v>45202.289583333331</v>
      </c>
      <c r="B800" t="s">
        <v>140</v>
      </c>
      <c r="C800">
        <v>103</v>
      </c>
      <c r="D800" t="s">
        <v>8</v>
      </c>
      <c r="E800" t="str">
        <f>IFERROR(VLOOKUP(logos[[#This Row],[Cell_ID]],'registe maintenance'!A:B,2,FALSE)," non répertoriées")</f>
        <v xml:space="preserve"> non répertoriées</v>
      </c>
      <c r="F800" t="str">
        <f>IFERROR(VLOOKUP(logos[[#This Row],[Cell_ID]],'registe maintenance'!A:C,3,FALSE)," non répertoriées")</f>
        <v xml:space="preserve"> non répertoriées</v>
      </c>
      <c r="G800" t="str">
        <f>IFERROR(VLOOKUP(logos[[#This Row],[Cell_ID]],'registe maintenance'!A:D,4,FALSE)," non répertoriées")</f>
        <v xml:space="preserve"> non répertoriées</v>
      </c>
      <c r="H800" t="str">
        <f>IFERROR(VLOOKUP(logos[[#This Row],[Cell_ID]],'registe maintenance'!A:E,5,FALSE)," non répertoriées")</f>
        <v xml:space="preserve"> non répertoriées</v>
      </c>
      <c r="I800" t="str">
        <f>IFERROR(VLOOKUP(logos[[#This Row],[Cell_ID]],'registe maintenance'!A:F,6,FALSE)," non répertoriées")</f>
        <v xml:space="preserve"> non répertoriées</v>
      </c>
      <c r="J800">
        <f>IFERROR(VLOOKUP(B800,'logos transformer '!A:B,2,FALSE),"na")</f>
        <v>4</v>
      </c>
      <c r="K800">
        <f>IFERROR(VLOOKUP(B800,'logos transformer '!A:C,3,FALSE),"na")</f>
        <v>347</v>
      </c>
      <c r="L800" s="1">
        <f>IFERROR(VLOOKUP(B800,'logos transformer '!A:D,4,FALSE),"na")</f>
        <v>45217.818749999999</v>
      </c>
    </row>
    <row r="801" spans="1:12" x14ac:dyDescent="0.3">
      <c r="A801" s="1">
        <v>45220.618750000001</v>
      </c>
      <c r="B801" t="s">
        <v>541</v>
      </c>
      <c r="C801">
        <v>79</v>
      </c>
      <c r="D801" t="s">
        <v>5</v>
      </c>
      <c r="E801" t="str">
        <f>IFERROR(VLOOKUP(logos[[#This Row],[Cell_ID]],'registe maintenance'!A:B,2,FALSE)," non répertoriées")</f>
        <v>Sud-Kivu</v>
      </c>
      <c r="F801">
        <f>IFERROR(VLOOKUP(logos[[#This Row],[Cell_ID]],'registe maintenance'!A:C,3,FALSE)," non répertoriées")</f>
        <v>-1.4700059999999999</v>
      </c>
      <c r="G801">
        <f>IFERROR(VLOOKUP(logos[[#This Row],[Cell_ID]],'registe maintenance'!A:D,4,FALSE)," non répertoriées")</f>
        <v>18.680958</v>
      </c>
      <c r="H801" t="str">
        <f>IFERROR(VLOOKUP(logos[[#This Row],[Cell_ID]],'registe maintenance'!A:E,5,FALSE)," non répertoriées")</f>
        <v>3G</v>
      </c>
      <c r="I801" t="str">
        <f>IFERROR(VLOOKUP(logos[[#This Row],[Cell_ID]],'registe maintenance'!A:F,6,FALSE)," non répertoriées")</f>
        <v>Huawei</v>
      </c>
      <c r="J801">
        <f>IFERROR(VLOOKUP(B801,'logos transformer '!A:B,2,FALSE),"na")</f>
        <v>2</v>
      </c>
      <c r="K801">
        <f>IFERROR(VLOOKUP(B801,'logos transformer '!A:C,3,FALSE),"na")</f>
        <v>181</v>
      </c>
      <c r="L801" s="1">
        <f>IFERROR(VLOOKUP(B801,'logos transformer '!A:D,4,FALSE),"na")</f>
        <v>45220.618750000001</v>
      </c>
    </row>
    <row r="802" spans="1:12" x14ac:dyDescent="0.3">
      <c r="A802" s="1">
        <v>45204.122916666667</v>
      </c>
      <c r="B802" t="s">
        <v>461</v>
      </c>
      <c r="C802">
        <v>34</v>
      </c>
      <c r="D802" t="s">
        <v>5</v>
      </c>
      <c r="E802" t="str">
        <f>IFERROR(VLOOKUP(logos[[#This Row],[Cell_ID]],'registe maintenance'!A:B,2,FALSE)," non répertoriées")</f>
        <v>Equateur</v>
      </c>
      <c r="F802">
        <f>IFERROR(VLOOKUP(logos[[#This Row],[Cell_ID]],'registe maintenance'!A:C,3,FALSE)," non répertoriées")</f>
        <v>-6.1490739999999997</v>
      </c>
      <c r="G802">
        <f>IFERROR(VLOOKUP(logos[[#This Row],[Cell_ID]],'registe maintenance'!A:D,4,FALSE)," non répertoriées")</f>
        <v>23.304411000000002</v>
      </c>
      <c r="H802" t="str">
        <f>IFERROR(VLOOKUP(logos[[#This Row],[Cell_ID]],'registe maintenance'!A:E,5,FALSE)," non répertoriées")</f>
        <v>5G</v>
      </c>
      <c r="I802" t="str">
        <f>IFERROR(VLOOKUP(logos[[#This Row],[Cell_ID]],'registe maintenance'!A:F,6,FALSE)," non répertoriées")</f>
        <v>ZTE</v>
      </c>
      <c r="J802">
        <f>IFERROR(VLOOKUP(B802,'logos transformer '!A:B,2,FALSE),"na")</f>
        <v>3</v>
      </c>
      <c r="K802">
        <f>IFERROR(VLOOKUP(B802,'logos transformer '!A:C,3,FALSE),"na")</f>
        <v>197</v>
      </c>
      <c r="L802" s="1">
        <f>IFERROR(VLOOKUP(B802,'logos transformer '!A:D,4,FALSE),"na")</f>
        <v>45214.634722222225</v>
      </c>
    </row>
    <row r="803" spans="1:12" x14ac:dyDescent="0.3">
      <c r="A803" s="1">
        <v>45227.421527777777</v>
      </c>
      <c r="B803" t="s">
        <v>524</v>
      </c>
      <c r="C803">
        <v>25</v>
      </c>
      <c r="D803" t="s">
        <v>8</v>
      </c>
      <c r="E803" t="str">
        <f>IFERROR(VLOOKUP(logos[[#This Row],[Cell_ID]],'registe maintenance'!A:B,2,FALSE)," non répertoriées")</f>
        <v xml:space="preserve"> non répertoriées</v>
      </c>
      <c r="F803" t="str">
        <f>IFERROR(VLOOKUP(logos[[#This Row],[Cell_ID]],'registe maintenance'!A:C,3,FALSE)," non répertoriées")</f>
        <v xml:space="preserve"> non répertoriées</v>
      </c>
      <c r="G803" t="str">
        <f>IFERROR(VLOOKUP(logos[[#This Row],[Cell_ID]],'registe maintenance'!A:D,4,FALSE)," non répertoriées")</f>
        <v xml:space="preserve"> non répertoriées</v>
      </c>
      <c r="H803" t="str">
        <f>IFERROR(VLOOKUP(logos[[#This Row],[Cell_ID]],'registe maintenance'!A:E,5,FALSE)," non répertoriées")</f>
        <v xml:space="preserve"> non répertoriées</v>
      </c>
      <c r="I803" t="str">
        <f>IFERROR(VLOOKUP(logos[[#This Row],[Cell_ID]],'registe maintenance'!A:F,6,FALSE)," non répertoriées")</f>
        <v xml:space="preserve"> non répertoriées</v>
      </c>
      <c r="J803">
        <f>IFERROR(VLOOKUP(B803,'logos transformer '!A:B,2,FALSE),"na")</f>
        <v>2</v>
      </c>
      <c r="K803">
        <f>IFERROR(VLOOKUP(B803,'logos transformer '!A:C,3,FALSE),"na")</f>
        <v>89</v>
      </c>
      <c r="L803" s="1">
        <f>IFERROR(VLOOKUP(B803,'logos transformer '!A:D,4,FALSE),"na")</f>
        <v>45227.421527777777</v>
      </c>
    </row>
    <row r="804" spans="1:12" x14ac:dyDescent="0.3">
      <c r="A804" s="1">
        <v>45201.585416666669</v>
      </c>
      <c r="B804" t="s">
        <v>553</v>
      </c>
      <c r="C804">
        <v>17</v>
      </c>
      <c r="D804" t="s">
        <v>10</v>
      </c>
      <c r="E804" t="str">
        <f>IFERROR(VLOOKUP(logos[[#This Row],[Cell_ID]],'registe maintenance'!A:B,2,FALSE)," non répertoriées")</f>
        <v xml:space="preserve"> non répertoriées</v>
      </c>
      <c r="F804" t="str">
        <f>IFERROR(VLOOKUP(logos[[#This Row],[Cell_ID]],'registe maintenance'!A:C,3,FALSE)," non répertoriées")</f>
        <v xml:space="preserve"> non répertoriées</v>
      </c>
      <c r="G804" t="str">
        <f>IFERROR(VLOOKUP(logos[[#This Row],[Cell_ID]],'registe maintenance'!A:D,4,FALSE)," non répertoriées")</f>
        <v xml:space="preserve"> non répertoriées</v>
      </c>
      <c r="H804" t="str">
        <f>IFERROR(VLOOKUP(logos[[#This Row],[Cell_ID]],'registe maintenance'!A:E,5,FALSE)," non répertoriées")</f>
        <v xml:space="preserve"> non répertoriées</v>
      </c>
      <c r="I804" t="str">
        <f>IFERROR(VLOOKUP(logos[[#This Row],[Cell_ID]],'registe maintenance'!A:F,6,FALSE)," non répertoriées")</f>
        <v xml:space="preserve"> non répertoriées</v>
      </c>
      <c r="J804">
        <f>IFERROR(VLOOKUP(B804,'logos transformer '!A:B,2,FALSE),"na")</f>
        <v>1</v>
      </c>
      <c r="K804">
        <f>IFERROR(VLOOKUP(B804,'logos transformer '!A:C,3,FALSE),"na")</f>
        <v>17</v>
      </c>
      <c r="L804" s="1">
        <f>IFERROR(VLOOKUP(B804,'logos transformer '!A:D,4,FALSE),"na")</f>
        <v>45201.585416666669</v>
      </c>
    </row>
    <row r="805" spans="1:12" x14ac:dyDescent="0.3">
      <c r="A805" s="1">
        <v>45205.768750000003</v>
      </c>
      <c r="B805" t="s">
        <v>554</v>
      </c>
      <c r="C805">
        <v>36</v>
      </c>
      <c r="D805" t="s">
        <v>5</v>
      </c>
      <c r="E805" t="str">
        <f>IFERROR(VLOOKUP(logos[[#This Row],[Cell_ID]],'registe maintenance'!A:B,2,FALSE)," non répertoriées")</f>
        <v>Kongo-Central</v>
      </c>
      <c r="F805">
        <f>IFERROR(VLOOKUP(logos[[#This Row],[Cell_ID]],'registe maintenance'!A:C,3,FALSE)," non répertoriées")</f>
        <v>-0.469945</v>
      </c>
      <c r="G805">
        <f>IFERROR(VLOOKUP(logos[[#This Row],[Cell_ID]],'registe maintenance'!A:D,4,FALSE)," non répertoriées")</f>
        <v>21.038527999999999</v>
      </c>
      <c r="H805" t="str">
        <f>IFERROR(VLOOKUP(logos[[#This Row],[Cell_ID]],'registe maintenance'!A:E,5,FALSE)," non répertoriées")</f>
        <v>3G</v>
      </c>
      <c r="I805" t="str">
        <f>IFERROR(VLOOKUP(logos[[#This Row],[Cell_ID]],'registe maintenance'!A:F,6,FALSE)," non répertoriées")</f>
        <v>Ericsson</v>
      </c>
      <c r="J805">
        <f>IFERROR(VLOOKUP(B805,'logos transformer '!A:B,2,FALSE),"na")</f>
        <v>1</v>
      </c>
      <c r="K805">
        <f>IFERROR(VLOOKUP(B805,'logos transformer '!A:C,3,FALSE),"na")</f>
        <v>36</v>
      </c>
      <c r="L805" s="1">
        <f>IFERROR(VLOOKUP(B805,'logos transformer '!A:D,4,FALSE),"na")</f>
        <v>45205.768750000003</v>
      </c>
    </row>
    <row r="806" spans="1:12" x14ac:dyDescent="0.3">
      <c r="A806" s="1">
        <v>45226.975694444453</v>
      </c>
      <c r="B806" t="s">
        <v>187</v>
      </c>
      <c r="C806">
        <v>89</v>
      </c>
      <c r="D806" t="s">
        <v>10</v>
      </c>
      <c r="E806" t="str">
        <f>IFERROR(VLOOKUP(logos[[#This Row],[Cell_ID]],'registe maintenance'!A:B,2,FALSE)," non répertoriées")</f>
        <v xml:space="preserve"> non répertoriées</v>
      </c>
      <c r="F806" t="str">
        <f>IFERROR(VLOOKUP(logos[[#This Row],[Cell_ID]],'registe maintenance'!A:C,3,FALSE)," non répertoriées")</f>
        <v xml:space="preserve"> non répertoriées</v>
      </c>
      <c r="G806" t="str">
        <f>IFERROR(VLOOKUP(logos[[#This Row],[Cell_ID]],'registe maintenance'!A:D,4,FALSE)," non répertoriées")</f>
        <v xml:space="preserve"> non répertoriées</v>
      </c>
      <c r="H806" t="str">
        <f>IFERROR(VLOOKUP(logos[[#This Row],[Cell_ID]],'registe maintenance'!A:E,5,FALSE)," non répertoriées")</f>
        <v xml:space="preserve"> non répertoriées</v>
      </c>
      <c r="I806" t="str">
        <f>IFERROR(VLOOKUP(logos[[#This Row],[Cell_ID]],'registe maintenance'!A:F,6,FALSE)," non répertoriées")</f>
        <v xml:space="preserve"> non répertoriées</v>
      </c>
      <c r="J806">
        <f>IFERROR(VLOOKUP(B806,'logos transformer '!A:B,2,FALSE),"na")</f>
        <v>3</v>
      </c>
      <c r="K806">
        <f>IFERROR(VLOOKUP(B806,'logos transformer '!A:C,3,FALSE),"na")</f>
        <v>217</v>
      </c>
      <c r="L806" s="1">
        <f>IFERROR(VLOOKUP(B806,'logos transformer '!A:D,4,FALSE),"na")</f>
        <v>45226.975694444445</v>
      </c>
    </row>
    <row r="807" spans="1:12" x14ac:dyDescent="0.3">
      <c r="A807" s="1">
        <v>45215.01666666667</v>
      </c>
      <c r="B807" t="s">
        <v>555</v>
      </c>
      <c r="C807">
        <v>35</v>
      </c>
      <c r="D807" t="s">
        <v>8</v>
      </c>
      <c r="E807" t="str">
        <f>IFERROR(VLOOKUP(logos[[#This Row],[Cell_ID]],'registe maintenance'!A:B,2,FALSE)," non répertoriées")</f>
        <v xml:space="preserve"> non répertoriées</v>
      </c>
      <c r="F807" t="str">
        <f>IFERROR(VLOOKUP(logos[[#This Row],[Cell_ID]],'registe maintenance'!A:C,3,FALSE)," non répertoriées")</f>
        <v xml:space="preserve"> non répertoriées</v>
      </c>
      <c r="G807" t="str">
        <f>IFERROR(VLOOKUP(logos[[#This Row],[Cell_ID]],'registe maintenance'!A:D,4,FALSE)," non répertoriées")</f>
        <v xml:space="preserve"> non répertoriées</v>
      </c>
      <c r="H807" t="str">
        <f>IFERROR(VLOOKUP(logos[[#This Row],[Cell_ID]],'registe maintenance'!A:E,5,FALSE)," non répertoriées")</f>
        <v xml:space="preserve"> non répertoriées</v>
      </c>
      <c r="I807" t="str">
        <f>IFERROR(VLOOKUP(logos[[#This Row],[Cell_ID]],'registe maintenance'!A:F,6,FALSE)," non répertoriées")</f>
        <v xml:space="preserve"> non répertoriées</v>
      </c>
      <c r="J807">
        <f>IFERROR(VLOOKUP(B807,'logos transformer '!A:B,2,FALSE),"na")</f>
        <v>1</v>
      </c>
      <c r="K807">
        <f>IFERROR(VLOOKUP(B807,'logos transformer '!A:C,3,FALSE),"na")</f>
        <v>35</v>
      </c>
      <c r="L807" s="1">
        <f>IFERROR(VLOOKUP(B807,'logos transformer '!A:D,4,FALSE),"na")</f>
        <v>45215.01666666667</v>
      </c>
    </row>
    <row r="808" spans="1:12" x14ac:dyDescent="0.3">
      <c r="A808" s="1">
        <v>45221.549305555563</v>
      </c>
      <c r="B808" t="s">
        <v>556</v>
      </c>
      <c r="C808">
        <v>39</v>
      </c>
      <c r="D808" t="s">
        <v>8</v>
      </c>
      <c r="E808" t="str">
        <f>IFERROR(VLOOKUP(logos[[#This Row],[Cell_ID]],'registe maintenance'!A:B,2,FALSE)," non répertoriées")</f>
        <v xml:space="preserve"> non répertoriées</v>
      </c>
      <c r="F808" t="str">
        <f>IFERROR(VLOOKUP(logos[[#This Row],[Cell_ID]],'registe maintenance'!A:C,3,FALSE)," non répertoriées")</f>
        <v xml:space="preserve"> non répertoriées</v>
      </c>
      <c r="G808" t="str">
        <f>IFERROR(VLOOKUP(logos[[#This Row],[Cell_ID]],'registe maintenance'!A:D,4,FALSE)," non répertoriées")</f>
        <v xml:space="preserve"> non répertoriées</v>
      </c>
      <c r="H808" t="str">
        <f>IFERROR(VLOOKUP(logos[[#This Row],[Cell_ID]],'registe maintenance'!A:E,5,FALSE)," non répertoriées")</f>
        <v xml:space="preserve"> non répertoriées</v>
      </c>
      <c r="I808" t="str">
        <f>IFERROR(VLOOKUP(logos[[#This Row],[Cell_ID]],'registe maintenance'!A:F,6,FALSE)," non répertoriées")</f>
        <v xml:space="preserve"> non répertoriées</v>
      </c>
      <c r="J808">
        <f>IFERROR(VLOOKUP(B808,'logos transformer '!A:B,2,FALSE),"na")</f>
        <v>1</v>
      </c>
      <c r="K808">
        <f>IFERROR(VLOOKUP(B808,'logos transformer '!A:C,3,FALSE),"na")</f>
        <v>39</v>
      </c>
      <c r="L808" s="1">
        <f>IFERROR(VLOOKUP(B808,'logos transformer '!A:D,4,FALSE),"na")</f>
        <v>45221.549305555556</v>
      </c>
    </row>
    <row r="809" spans="1:12" x14ac:dyDescent="0.3">
      <c r="A809" s="1">
        <v>45211.290277777778</v>
      </c>
      <c r="B809" t="s">
        <v>557</v>
      </c>
      <c r="C809">
        <v>73</v>
      </c>
      <c r="D809" t="s">
        <v>10</v>
      </c>
      <c r="E809" t="str">
        <f>IFERROR(VLOOKUP(logos[[#This Row],[Cell_ID]],'registe maintenance'!A:B,2,FALSE)," non répertoriées")</f>
        <v xml:space="preserve"> non répertoriées</v>
      </c>
      <c r="F809" t="str">
        <f>IFERROR(VLOOKUP(logos[[#This Row],[Cell_ID]],'registe maintenance'!A:C,3,FALSE)," non répertoriées")</f>
        <v xml:space="preserve"> non répertoriées</v>
      </c>
      <c r="G809" t="str">
        <f>IFERROR(VLOOKUP(logos[[#This Row],[Cell_ID]],'registe maintenance'!A:D,4,FALSE)," non répertoriées")</f>
        <v xml:space="preserve"> non répertoriées</v>
      </c>
      <c r="H809" t="str">
        <f>IFERROR(VLOOKUP(logos[[#This Row],[Cell_ID]],'registe maintenance'!A:E,5,FALSE)," non répertoriées")</f>
        <v xml:space="preserve"> non répertoriées</v>
      </c>
      <c r="I809" t="str">
        <f>IFERROR(VLOOKUP(logos[[#This Row],[Cell_ID]],'registe maintenance'!A:F,6,FALSE)," non répertoriées")</f>
        <v xml:space="preserve"> non répertoriées</v>
      </c>
      <c r="J809">
        <f>IFERROR(VLOOKUP(B809,'logos transformer '!A:B,2,FALSE),"na")</f>
        <v>2</v>
      </c>
      <c r="K809">
        <f>IFERROR(VLOOKUP(B809,'logos transformer '!A:C,3,FALSE),"na")</f>
        <v>147</v>
      </c>
      <c r="L809" s="1">
        <f>IFERROR(VLOOKUP(B809,'logos transformer '!A:D,4,FALSE),"na")</f>
        <v>45211.290277777778</v>
      </c>
    </row>
    <row r="810" spans="1:12" x14ac:dyDescent="0.3">
      <c r="A810" s="1">
        <v>45205.345138888893</v>
      </c>
      <c r="B810" t="s">
        <v>174</v>
      </c>
      <c r="C810">
        <v>109</v>
      </c>
      <c r="D810" t="s">
        <v>8</v>
      </c>
      <c r="E810" t="str">
        <f>IFERROR(VLOOKUP(logos[[#This Row],[Cell_ID]],'registe maintenance'!A:B,2,FALSE)," non répertoriées")</f>
        <v>Lomami</v>
      </c>
      <c r="F810">
        <f>IFERROR(VLOOKUP(logos[[#This Row],[Cell_ID]],'registe maintenance'!A:C,3,FALSE)," non répertoriées")</f>
        <v>-2.2681789999999999</v>
      </c>
      <c r="G810">
        <f>IFERROR(VLOOKUP(logos[[#This Row],[Cell_ID]],'registe maintenance'!A:D,4,FALSE)," non répertoriées")</f>
        <v>25.699068</v>
      </c>
      <c r="H810" t="str">
        <f>IFERROR(VLOOKUP(logos[[#This Row],[Cell_ID]],'registe maintenance'!A:E,5,FALSE)," non répertoriées")</f>
        <v>3G</v>
      </c>
      <c r="I810" t="str">
        <f>IFERROR(VLOOKUP(logos[[#This Row],[Cell_ID]],'registe maintenance'!A:F,6,FALSE)," non répertoriées")</f>
        <v>ZTE</v>
      </c>
      <c r="J810">
        <f>IFERROR(VLOOKUP(B810,'logos transformer '!A:B,2,FALSE),"na")</f>
        <v>2</v>
      </c>
      <c r="K810">
        <f>IFERROR(VLOOKUP(B810,'logos transformer '!A:C,3,FALSE),"na")</f>
        <v>219</v>
      </c>
      <c r="L810" s="1">
        <f>IFERROR(VLOOKUP(B810,'logos transformer '!A:D,4,FALSE),"na")</f>
        <v>45226.100694444445</v>
      </c>
    </row>
    <row r="811" spans="1:12" x14ac:dyDescent="0.3">
      <c r="A811" s="1">
        <v>45214.168055555558</v>
      </c>
      <c r="B811" t="s">
        <v>558</v>
      </c>
      <c r="C811">
        <v>106</v>
      </c>
      <c r="D811" t="s">
        <v>5</v>
      </c>
      <c r="E811" t="str">
        <f>IFERROR(VLOOKUP(logos[[#This Row],[Cell_ID]],'registe maintenance'!A:B,2,FALSE)," non répertoriées")</f>
        <v>Sud-Kivu</v>
      </c>
      <c r="F811">
        <f>IFERROR(VLOOKUP(logos[[#This Row],[Cell_ID]],'registe maintenance'!A:C,3,FALSE)," non répertoriées")</f>
        <v>-11.207139</v>
      </c>
      <c r="G811">
        <f>IFERROR(VLOOKUP(logos[[#This Row],[Cell_ID]],'registe maintenance'!A:D,4,FALSE)," non répertoriées")</f>
        <v>18.702511999999999</v>
      </c>
      <c r="H811" t="str">
        <f>IFERROR(VLOOKUP(logos[[#This Row],[Cell_ID]],'registe maintenance'!A:E,5,FALSE)," non répertoriées")</f>
        <v>5G</v>
      </c>
      <c r="I811" t="str">
        <f>IFERROR(VLOOKUP(logos[[#This Row],[Cell_ID]],'registe maintenance'!A:F,6,FALSE)," non répertoriées")</f>
        <v>Ericsson</v>
      </c>
      <c r="J811">
        <f>IFERROR(VLOOKUP(B811,'logos transformer '!A:B,2,FALSE),"na")</f>
        <v>1</v>
      </c>
      <c r="K811">
        <f>IFERROR(VLOOKUP(B811,'logos transformer '!A:C,3,FALSE),"na")</f>
        <v>106</v>
      </c>
      <c r="L811" s="1">
        <f>IFERROR(VLOOKUP(B811,'logos transformer '!A:D,4,FALSE),"na")</f>
        <v>45214.168055555558</v>
      </c>
    </row>
    <row r="812" spans="1:12" x14ac:dyDescent="0.3">
      <c r="A812" s="1">
        <v>45219.818749999999</v>
      </c>
      <c r="B812" t="s">
        <v>183</v>
      </c>
      <c r="C812">
        <v>99</v>
      </c>
      <c r="D812" t="s">
        <v>10</v>
      </c>
      <c r="E812" t="str">
        <f>IFERROR(VLOOKUP(logos[[#This Row],[Cell_ID]],'registe maintenance'!A:B,2,FALSE)," non répertoriées")</f>
        <v xml:space="preserve"> non répertoriées</v>
      </c>
      <c r="F812" t="str">
        <f>IFERROR(VLOOKUP(logos[[#This Row],[Cell_ID]],'registe maintenance'!A:C,3,FALSE)," non répertoriées")</f>
        <v xml:space="preserve"> non répertoriées</v>
      </c>
      <c r="G812" t="str">
        <f>IFERROR(VLOOKUP(logos[[#This Row],[Cell_ID]],'registe maintenance'!A:D,4,FALSE)," non répertoriées")</f>
        <v xml:space="preserve"> non répertoriées</v>
      </c>
      <c r="H812" t="str">
        <f>IFERROR(VLOOKUP(logos[[#This Row],[Cell_ID]],'registe maintenance'!A:E,5,FALSE)," non répertoriées")</f>
        <v xml:space="preserve"> non répertoriées</v>
      </c>
      <c r="I812" t="str">
        <f>IFERROR(VLOOKUP(logos[[#This Row],[Cell_ID]],'registe maintenance'!A:F,6,FALSE)," non répertoriées")</f>
        <v xml:space="preserve"> non répertoriées</v>
      </c>
      <c r="J812">
        <f>IFERROR(VLOOKUP(B812,'logos transformer '!A:B,2,FALSE),"na")</f>
        <v>3</v>
      </c>
      <c r="K812">
        <f>IFERROR(VLOOKUP(B812,'logos transformer '!A:C,3,FALSE),"na")</f>
        <v>254</v>
      </c>
      <c r="L812" s="1">
        <f>IFERROR(VLOOKUP(B812,'logos transformer '!A:D,4,FALSE),"na")</f>
        <v>45219.818749999999</v>
      </c>
    </row>
    <row r="813" spans="1:12" x14ac:dyDescent="0.3">
      <c r="A813" s="1">
        <v>45207.845833333333</v>
      </c>
      <c r="B813" t="s">
        <v>217</v>
      </c>
      <c r="C813">
        <v>12</v>
      </c>
      <c r="D813" t="s">
        <v>10</v>
      </c>
      <c r="E813" t="str">
        <f>IFERROR(VLOOKUP(logos[[#This Row],[Cell_ID]],'registe maintenance'!A:B,2,FALSE)," non répertoriées")</f>
        <v xml:space="preserve"> non répertoriées</v>
      </c>
      <c r="F813" t="str">
        <f>IFERROR(VLOOKUP(logos[[#This Row],[Cell_ID]],'registe maintenance'!A:C,3,FALSE)," non répertoriées")</f>
        <v xml:space="preserve"> non répertoriées</v>
      </c>
      <c r="G813" t="str">
        <f>IFERROR(VLOOKUP(logos[[#This Row],[Cell_ID]],'registe maintenance'!A:D,4,FALSE)," non répertoriées")</f>
        <v xml:space="preserve"> non répertoriées</v>
      </c>
      <c r="H813" t="str">
        <f>IFERROR(VLOOKUP(logos[[#This Row],[Cell_ID]],'registe maintenance'!A:E,5,FALSE)," non répertoriées")</f>
        <v xml:space="preserve"> non répertoriées</v>
      </c>
      <c r="I813" t="str">
        <f>IFERROR(VLOOKUP(logos[[#This Row],[Cell_ID]],'registe maintenance'!A:F,6,FALSE)," non répertoriées")</f>
        <v xml:space="preserve"> non répertoriées</v>
      </c>
      <c r="J813">
        <f>IFERROR(VLOOKUP(B813,'logos transformer '!A:B,2,FALSE),"na")</f>
        <v>2</v>
      </c>
      <c r="K813">
        <f>IFERROR(VLOOKUP(B813,'logos transformer '!A:C,3,FALSE),"na")</f>
        <v>54</v>
      </c>
      <c r="L813" s="1">
        <f>IFERROR(VLOOKUP(B813,'logos transformer '!A:D,4,FALSE),"na")</f>
        <v>45223.18472222222</v>
      </c>
    </row>
    <row r="814" spans="1:12" x14ac:dyDescent="0.3">
      <c r="A814" s="1">
        <v>45215.580555555563</v>
      </c>
      <c r="B814" t="s">
        <v>230</v>
      </c>
      <c r="C814">
        <v>102</v>
      </c>
      <c r="D814" t="s">
        <v>10</v>
      </c>
      <c r="E814" t="str">
        <f>IFERROR(VLOOKUP(logos[[#This Row],[Cell_ID]],'registe maintenance'!A:B,2,FALSE)," non répertoriées")</f>
        <v>Tshopo</v>
      </c>
      <c r="F814">
        <f>IFERROR(VLOOKUP(logos[[#This Row],[Cell_ID]],'registe maintenance'!A:C,3,FALSE)," non répertoriées")</f>
        <v>2.4425979999999998</v>
      </c>
      <c r="G814">
        <f>IFERROR(VLOOKUP(logos[[#This Row],[Cell_ID]],'registe maintenance'!A:D,4,FALSE)," non répertoriées")</f>
        <v>24.924308</v>
      </c>
      <c r="H814" t="str">
        <f>IFERROR(VLOOKUP(logos[[#This Row],[Cell_ID]],'registe maintenance'!A:E,5,FALSE)," non répertoriées")</f>
        <v>5G</v>
      </c>
      <c r="I814" t="str">
        <f>IFERROR(VLOOKUP(logos[[#This Row],[Cell_ID]],'registe maintenance'!A:F,6,FALSE)," non répertoriées")</f>
        <v>Ericsson</v>
      </c>
      <c r="J814">
        <f>IFERROR(VLOOKUP(B814,'logos transformer '!A:B,2,FALSE),"na")</f>
        <v>2</v>
      </c>
      <c r="K814">
        <f>IFERROR(VLOOKUP(B814,'logos transformer '!A:C,3,FALSE),"na")</f>
        <v>113</v>
      </c>
      <c r="L814" s="1">
        <f>IFERROR(VLOOKUP(B814,'logos transformer '!A:D,4,FALSE),"na")</f>
        <v>45227.144444444442</v>
      </c>
    </row>
    <row r="815" spans="1:12" x14ac:dyDescent="0.3">
      <c r="A815" s="1">
        <v>45217.627083333333</v>
      </c>
      <c r="B815" t="s">
        <v>151</v>
      </c>
      <c r="C815">
        <v>33</v>
      </c>
      <c r="D815" t="s">
        <v>5</v>
      </c>
      <c r="E815" t="str">
        <f>IFERROR(VLOOKUP(logos[[#This Row],[Cell_ID]],'registe maintenance'!A:B,2,FALSE)," non répertoriées")</f>
        <v>Haut-Uele</v>
      </c>
      <c r="F815">
        <f>IFERROR(VLOOKUP(logos[[#This Row],[Cell_ID]],'registe maintenance'!A:C,3,FALSE)," non répertoriées")</f>
        <v>-1.8045979999999999</v>
      </c>
      <c r="G815">
        <f>IFERROR(VLOOKUP(logos[[#This Row],[Cell_ID]],'registe maintenance'!A:D,4,FALSE)," non répertoriées")</f>
        <v>12.511096999999999</v>
      </c>
      <c r="H815" t="str">
        <f>IFERROR(VLOOKUP(logos[[#This Row],[Cell_ID]],'registe maintenance'!A:E,5,FALSE)," non répertoriées")</f>
        <v>3G</v>
      </c>
      <c r="I815" t="str">
        <f>IFERROR(VLOOKUP(logos[[#This Row],[Cell_ID]],'registe maintenance'!A:F,6,FALSE)," non répertoriées")</f>
        <v>Huawei</v>
      </c>
      <c r="J815">
        <f>IFERROR(VLOOKUP(B815,'logos transformer '!A:B,2,FALSE),"na")</f>
        <v>4</v>
      </c>
      <c r="K815">
        <f>IFERROR(VLOOKUP(B815,'logos transformer '!A:C,3,FALSE),"na")</f>
        <v>211</v>
      </c>
      <c r="L815" s="1">
        <f>IFERROR(VLOOKUP(B815,'logos transformer '!A:D,4,FALSE),"na")</f>
        <v>45228.57708333333</v>
      </c>
    </row>
    <row r="816" spans="1:12" x14ac:dyDescent="0.3">
      <c r="A816" s="1">
        <v>45202.35</v>
      </c>
      <c r="B816" t="s">
        <v>559</v>
      </c>
      <c r="C816">
        <v>78</v>
      </c>
      <c r="D816" t="s">
        <v>5</v>
      </c>
      <c r="E816" t="str">
        <f>IFERROR(VLOOKUP(logos[[#This Row],[Cell_ID]],'registe maintenance'!A:B,2,FALSE)," non répertoriées")</f>
        <v>Mongala</v>
      </c>
      <c r="F816">
        <f>IFERROR(VLOOKUP(logos[[#This Row],[Cell_ID]],'registe maintenance'!A:C,3,FALSE)," non répertoriées")</f>
        <v>4.0988100000000003</v>
      </c>
      <c r="G816">
        <f>IFERROR(VLOOKUP(logos[[#This Row],[Cell_ID]],'registe maintenance'!A:D,4,FALSE)," non répertoriées")</f>
        <v>29.843810999999999</v>
      </c>
      <c r="H816" t="str">
        <f>IFERROR(VLOOKUP(logos[[#This Row],[Cell_ID]],'registe maintenance'!A:E,5,FALSE)," non répertoriées")</f>
        <v>3G</v>
      </c>
      <c r="I816" t="str">
        <f>IFERROR(VLOOKUP(logos[[#This Row],[Cell_ID]],'registe maintenance'!A:F,6,FALSE)," non répertoriées")</f>
        <v>Huawei</v>
      </c>
      <c r="J816">
        <f>IFERROR(VLOOKUP(B816,'logos transformer '!A:B,2,FALSE),"na")</f>
        <v>1</v>
      </c>
      <c r="K816">
        <f>IFERROR(VLOOKUP(B816,'logos transformer '!A:C,3,FALSE),"na")</f>
        <v>78</v>
      </c>
      <c r="L816" s="1">
        <f>IFERROR(VLOOKUP(B816,'logos transformer '!A:D,4,FALSE),"na")</f>
        <v>45202.35</v>
      </c>
    </row>
    <row r="817" spans="1:12" x14ac:dyDescent="0.3">
      <c r="A817" s="1">
        <v>45204.55</v>
      </c>
      <c r="B817" t="s">
        <v>224</v>
      </c>
      <c r="C817">
        <v>113</v>
      </c>
      <c r="D817" t="s">
        <v>8</v>
      </c>
      <c r="E817" t="str">
        <f>IFERROR(VLOOKUP(logos[[#This Row],[Cell_ID]],'registe maintenance'!A:B,2,FALSE)," non répertoriées")</f>
        <v>Kongo-Central</v>
      </c>
      <c r="F817">
        <f>IFERROR(VLOOKUP(logos[[#This Row],[Cell_ID]],'registe maintenance'!A:C,3,FALSE)," non répertoriées")</f>
        <v>2.975352</v>
      </c>
      <c r="G817">
        <f>IFERROR(VLOOKUP(logos[[#This Row],[Cell_ID]],'registe maintenance'!A:D,4,FALSE)," non répertoriées")</f>
        <v>22.535886000000001</v>
      </c>
      <c r="H817" t="str">
        <f>IFERROR(VLOOKUP(logos[[#This Row],[Cell_ID]],'registe maintenance'!A:E,5,FALSE)," non répertoriées")</f>
        <v>4G</v>
      </c>
      <c r="I817" t="str">
        <f>IFERROR(VLOOKUP(logos[[#This Row],[Cell_ID]],'registe maintenance'!A:F,6,FALSE)," non répertoriées")</f>
        <v>Huawei</v>
      </c>
      <c r="J817">
        <f>IFERROR(VLOOKUP(B817,'logos transformer '!A:B,2,FALSE),"na")</f>
        <v>3</v>
      </c>
      <c r="K817">
        <f>IFERROR(VLOOKUP(B817,'logos transformer '!A:C,3,FALSE),"na")</f>
        <v>140</v>
      </c>
      <c r="L817" s="1">
        <f>IFERROR(VLOOKUP(B817,'logos transformer '!A:D,4,FALSE),"na")</f>
        <v>45222.663194444445</v>
      </c>
    </row>
    <row r="818" spans="1:12" x14ac:dyDescent="0.3">
      <c r="A818" s="1">
        <v>45220.677083333343</v>
      </c>
      <c r="B818" t="s">
        <v>560</v>
      </c>
      <c r="C818">
        <v>107</v>
      </c>
      <c r="D818" t="s">
        <v>10</v>
      </c>
      <c r="E818" t="str">
        <f>IFERROR(VLOOKUP(logos[[#This Row],[Cell_ID]],'registe maintenance'!A:B,2,FALSE)," non répertoriées")</f>
        <v>Tshopo</v>
      </c>
      <c r="F818">
        <f>IFERROR(VLOOKUP(logos[[#This Row],[Cell_ID]],'registe maintenance'!A:C,3,FALSE)," non répertoriées")</f>
        <v>-6.4670189999999996</v>
      </c>
      <c r="G818">
        <f>IFERROR(VLOOKUP(logos[[#This Row],[Cell_ID]],'registe maintenance'!A:D,4,FALSE)," non répertoriées")</f>
        <v>29.487309</v>
      </c>
      <c r="H818" t="str">
        <f>IFERROR(VLOOKUP(logos[[#This Row],[Cell_ID]],'registe maintenance'!A:E,5,FALSE)," non répertoriées")</f>
        <v>4G</v>
      </c>
      <c r="I818" t="str">
        <f>IFERROR(VLOOKUP(logos[[#This Row],[Cell_ID]],'registe maintenance'!A:F,6,FALSE)," non répertoriées")</f>
        <v>ZTE</v>
      </c>
      <c r="J818">
        <f>IFERROR(VLOOKUP(B818,'logos transformer '!A:B,2,FALSE),"na")</f>
        <v>1</v>
      </c>
      <c r="K818">
        <f>IFERROR(VLOOKUP(B818,'logos transformer '!A:C,3,FALSE),"na")</f>
        <v>107</v>
      </c>
      <c r="L818" s="1">
        <f>IFERROR(VLOOKUP(B818,'logos transformer '!A:D,4,FALSE),"na")</f>
        <v>45220.677083333336</v>
      </c>
    </row>
    <row r="819" spans="1:12" x14ac:dyDescent="0.3">
      <c r="A819" s="1">
        <v>45220.743055555547</v>
      </c>
      <c r="B819" t="s">
        <v>383</v>
      </c>
      <c r="C819">
        <v>54</v>
      </c>
      <c r="D819" t="s">
        <v>8</v>
      </c>
      <c r="E819" t="str">
        <f>IFERROR(VLOOKUP(logos[[#This Row],[Cell_ID]],'registe maintenance'!A:B,2,FALSE)," non répertoriées")</f>
        <v>Nord-Kivu</v>
      </c>
      <c r="F819">
        <f>IFERROR(VLOOKUP(logos[[#This Row],[Cell_ID]],'registe maintenance'!A:C,3,FALSE)," non répertoriées")</f>
        <v>-5.42171</v>
      </c>
      <c r="G819">
        <f>IFERROR(VLOOKUP(logos[[#This Row],[Cell_ID]],'registe maintenance'!A:D,4,FALSE)," non répertoriées")</f>
        <v>24.202960999999998</v>
      </c>
      <c r="H819" t="str">
        <f>IFERROR(VLOOKUP(logos[[#This Row],[Cell_ID]],'registe maintenance'!A:E,5,FALSE)," non répertoriées")</f>
        <v>5G</v>
      </c>
      <c r="I819" t="str">
        <f>IFERROR(VLOOKUP(logos[[#This Row],[Cell_ID]],'registe maintenance'!A:F,6,FALSE)," non répertoriées")</f>
        <v>Ericsson</v>
      </c>
      <c r="J819">
        <f>IFERROR(VLOOKUP(B819,'logos transformer '!A:B,2,FALSE),"na")</f>
        <v>2</v>
      </c>
      <c r="K819">
        <f>IFERROR(VLOOKUP(B819,'logos transformer '!A:C,3,FALSE),"na")</f>
        <v>94</v>
      </c>
      <c r="L819" s="1">
        <f>IFERROR(VLOOKUP(B819,'logos transformer '!A:D,4,FALSE),"na")</f>
        <v>45220.743055555555</v>
      </c>
    </row>
    <row r="820" spans="1:12" x14ac:dyDescent="0.3">
      <c r="A820" s="1">
        <v>45200.534722222219</v>
      </c>
      <c r="B820" t="s">
        <v>561</v>
      </c>
      <c r="C820">
        <v>50</v>
      </c>
      <c r="D820" t="s">
        <v>10</v>
      </c>
      <c r="E820" t="str">
        <f>IFERROR(VLOOKUP(logos[[#This Row],[Cell_ID]],'registe maintenance'!A:B,2,FALSE)," non répertoriées")</f>
        <v>Tshuapa</v>
      </c>
      <c r="F820">
        <f>IFERROR(VLOOKUP(logos[[#This Row],[Cell_ID]],'registe maintenance'!A:C,3,FALSE)," non répertoriées")</f>
        <v>-7.7587710000000003</v>
      </c>
      <c r="G820">
        <f>IFERROR(VLOOKUP(logos[[#This Row],[Cell_ID]],'registe maintenance'!A:D,4,FALSE)," non répertoriées")</f>
        <v>17.880848</v>
      </c>
      <c r="H820" t="str">
        <f>IFERROR(VLOOKUP(logos[[#This Row],[Cell_ID]],'registe maintenance'!A:E,5,FALSE)," non répertoriées")</f>
        <v>3G</v>
      </c>
      <c r="I820" t="str">
        <f>IFERROR(VLOOKUP(logos[[#This Row],[Cell_ID]],'registe maintenance'!A:F,6,FALSE)," non répertoriées")</f>
        <v>Ericsson</v>
      </c>
      <c r="J820">
        <f>IFERROR(VLOOKUP(B820,'logos transformer '!A:B,2,FALSE),"na")</f>
        <v>1</v>
      </c>
      <c r="K820">
        <f>IFERROR(VLOOKUP(B820,'logos transformer '!A:C,3,FALSE),"na")</f>
        <v>50</v>
      </c>
      <c r="L820" s="1">
        <f>IFERROR(VLOOKUP(B820,'logos transformer '!A:D,4,FALSE),"na")</f>
        <v>45200.534722222219</v>
      </c>
    </row>
    <row r="821" spans="1:12" x14ac:dyDescent="0.3">
      <c r="A821" s="1">
        <v>45222.479166666657</v>
      </c>
      <c r="B821" t="s">
        <v>562</v>
      </c>
      <c r="C821">
        <v>112</v>
      </c>
      <c r="D821" t="s">
        <v>8</v>
      </c>
      <c r="E821" t="str">
        <f>IFERROR(VLOOKUP(logos[[#This Row],[Cell_ID]],'registe maintenance'!A:B,2,FALSE)," non répertoriées")</f>
        <v>Haut-Uele</v>
      </c>
      <c r="F821">
        <f>IFERROR(VLOOKUP(logos[[#This Row],[Cell_ID]],'registe maintenance'!A:C,3,FALSE)," non répertoriées")</f>
        <v>-8.8118569999999998</v>
      </c>
      <c r="G821">
        <f>IFERROR(VLOOKUP(logos[[#This Row],[Cell_ID]],'registe maintenance'!A:D,4,FALSE)," non répertoriées")</f>
        <v>14.465711000000001</v>
      </c>
      <c r="H821" t="str">
        <f>IFERROR(VLOOKUP(logos[[#This Row],[Cell_ID]],'registe maintenance'!A:E,5,FALSE)," non répertoriées")</f>
        <v>5G</v>
      </c>
      <c r="I821" t="str">
        <f>IFERROR(VLOOKUP(logos[[#This Row],[Cell_ID]],'registe maintenance'!A:F,6,FALSE)," non répertoriées")</f>
        <v>Nokia</v>
      </c>
      <c r="J821">
        <f>IFERROR(VLOOKUP(B821,'logos transformer '!A:B,2,FALSE),"na")</f>
        <v>1</v>
      </c>
      <c r="K821">
        <f>IFERROR(VLOOKUP(B821,'logos transformer '!A:C,3,FALSE),"na")</f>
        <v>112</v>
      </c>
      <c r="L821" s="1">
        <f>IFERROR(VLOOKUP(B821,'logos transformer '!A:D,4,FALSE),"na")</f>
        <v>45222.479166666664</v>
      </c>
    </row>
    <row r="822" spans="1:12" x14ac:dyDescent="0.3">
      <c r="A822" s="1">
        <v>45217.640277777777</v>
      </c>
      <c r="B822" t="s">
        <v>563</v>
      </c>
      <c r="C822">
        <v>113</v>
      </c>
      <c r="D822" t="s">
        <v>10</v>
      </c>
      <c r="E822" t="str">
        <f>IFERROR(VLOOKUP(logos[[#This Row],[Cell_ID]],'registe maintenance'!A:B,2,FALSE)," non répertoriées")</f>
        <v xml:space="preserve"> non répertoriées</v>
      </c>
      <c r="F822" t="str">
        <f>IFERROR(VLOOKUP(logos[[#This Row],[Cell_ID]],'registe maintenance'!A:C,3,FALSE)," non répertoriées")</f>
        <v xml:space="preserve"> non répertoriées</v>
      </c>
      <c r="G822" t="str">
        <f>IFERROR(VLOOKUP(logos[[#This Row],[Cell_ID]],'registe maintenance'!A:D,4,FALSE)," non répertoriées")</f>
        <v xml:space="preserve"> non répertoriées</v>
      </c>
      <c r="H822" t="str">
        <f>IFERROR(VLOOKUP(logos[[#This Row],[Cell_ID]],'registe maintenance'!A:E,5,FALSE)," non répertoriées")</f>
        <v xml:space="preserve"> non répertoriées</v>
      </c>
      <c r="I822" t="str">
        <f>IFERROR(VLOOKUP(logos[[#This Row],[Cell_ID]],'registe maintenance'!A:F,6,FALSE)," non répertoriées")</f>
        <v xml:space="preserve"> non répertoriées</v>
      </c>
      <c r="J822">
        <f>IFERROR(VLOOKUP(B822,'logos transformer '!A:B,2,FALSE),"na")</f>
        <v>2</v>
      </c>
      <c r="K822">
        <f>IFERROR(VLOOKUP(B822,'logos transformer '!A:C,3,FALSE),"na")</f>
        <v>161</v>
      </c>
      <c r="L822" s="1">
        <f>IFERROR(VLOOKUP(B822,'logos transformer '!A:D,4,FALSE),"na")</f>
        <v>45220.093055555553</v>
      </c>
    </row>
    <row r="823" spans="1:12" x14ac:dyDescent="0.3">
      <c r="A823" s="1">
        <v>45229.772222222222</v>
      </c>
      <c r="B823" t="s">
        <v>443</v>
      </c>
      <c r="C823">
        <v>27</v>
      </c>
      <c r="D823" t="s">
        <v>5</v>
      </c>
      <c r="E823" t="str">
        <f>IFERROR(VLOOKUP(logos[[#This Row],[Cell_ID]],'registe maintenance'!A:B,2,FALSE)," non répertoriées")</f>
        <v xml:space="preserve"> non répertoriées</v>
      </c>
      <c r="F823" t="str">
        <f>IFERROR(VLOOKUP(logos[[#This Row],[Cell_ID]],'registe maintenance'!A:C,3,FALSE)," non répertoriées")</f>
        <v xml:space="preserve"> non répertoriées</v>
      </c>
      <c r="G823" t="str">
        <f>IFERROR(VLOOKUP(logos[[#This Row],[Cell_ID]],'registe maintenance'!A:D,4,FALSE)," non répertoriées")</f>
        <v xml:space="preserve"> non répertoriées</v>
      </c>
      <c r="H823" t="str">
        <f>IFERROR(VLOOKUP(logos[[#This Row],[Cell_ID]],'registe maintenance'!A:E,5,FALSE)," non répertoriées")</f>
        <v xml:space="preserve"> non répertoriées</v>
      </c>
      <c r="I823" t="str">
        <f>IFERROR(VLOOKUP(logos[[#This Row],[Cell_ID]],'registe maintenance'!A:F,6,FALSE)," non répertoriées")</f>
        <v xml:space="preserve"> non répertoriées</v>
      </c>
      <c r="J823">
        <f>IFERROR(VLOOKUP(B823,'logos transformer '!A:B,2,FALSE),"na")</f>
        <v>2</v>
      </c>
      <c r="K823">
        <f>IFERROR(VLOOKUP(B823,'logos transformer '!A:C,3,FALSE),"na")</f>
        <v>49</v>
      </c>
      <c r="L823" s="1">
        <f>IFERROR(VLOOKUP(B823,'logos transformer '!A:D,4,FALSE),"na")</f>
        <v>45229.772222222222</v>
      </c>
    </row>
    <row r="824" spans="1:12" x14ac:dyDescent="0.3">
      <c r="A824" s="1">
        <v>45210.511805555558</v>
      </c>
      <c r="B824" t="s">
        <v>564</v>
      </c>
      <c r="C824">
        <v>27</v>
      </c>
      <c r="D824" t="s">
        <v>8</v>
      </c>
      <c r="E824" t="str">
        <f>IFERROR(VLOOKUP(logos[[#This Row],[Cell_ID]],'registe maintenance'!A:B,2,FALSE)," non répertoriées")</f>
        <v xml:space="preserve"> non répertoriées</v>
      </c>
      <c r="F824" t="str">
        <f>IFERROR(VLOOKUP(logos[[#This Row],[Cell_ID]],'registe maintenance'!A:C,3,FALSE)," non répertoriées")</f>
        <v xml:space="preserve"> non répertoriées</v>
      </c>
      <c r="G824" t="str">
        <f>IFERROR(VLOOKUP(logos[[#This Row],[Cell_ID]],'registe maintenance'!A:D,4,FALSE)," non répertoriées")</f>
        <v xml:space="preserve"> non répertoriées</v>
      </c>
      <c r="H824" t="str">
        <f>IFERROR(VLOOKUP(logos[[#This Row],[Cell_ID]],'registe maintenance'!A:E,5,FALSE)," non répertoriées")</f>
        <v xml:space="preserve"> non répertoriées</v>
      </c>
      <c r="I824" t="str">
        <f>IFERROR(VLOOKUP(logos[[#This Row],[Cell_ID]],'registe maintenance'!A:F,6,FALSE)," non répertoriées")</f>
        <v xml:space="preserve"> non répertoriées</v>
      </c>
      <c r="J824">
        <f>IFERROR(VLOOKUP(B824,'logos transformer '!A:B,2,FALSE),"na")</f>
        <v>1</v>
      </c>
      <c r="K824">
        <f>IFERROR(VLOOKUP(B824,'logos transformer '!A:C,3,FALSE),"na")</f>
        <v>27</v>
      </c>
      <c r="L824" s="1">
        <f>IFERROR(VLOOKUP(B824,'logos transformer '!A:D,4,FALSE),"na")</f>
        <v>45210.511805555558</v>
      </c>
    </row>
    <row r="825" spans="1:12" x14ac:dyDescent="0.3">
      <c r="A825" s="1">
        <v>45205.013888888891</v>
      </c>
      <c r="B825" t="s">
        <v>36</v>
      </c>
      <c r="C825">
        <v>35</v>
      </c>
      <c r="D825" t="s">
        <v>8</v>
      </c>
      <c r="E825" t="str">
        <f>IFERROR(VLOOKUP(logos[[#This Row],[Cell_ID]],'registe maintenance'!A:B,2,FALSE)," non répertoriées")</f>
        <v>Nord-Ubangi</v>
      </c>
      <c r="F825">
        <f>IFERROR(VLOOKUP(logos[[#This Row],[Cell_ID]],'registe maintenance'!A:C,3,FALSE)," non répertoriées")</f>
        <v>-8.1437910000000002</v>
      </c>
      <c r="G825">
        <f>IFERROR(VLOOKUP(logos[[#This Row],[Cell_ID]],'registe maintenance'!A:D,4,FALSE)," non répertoriées")</f>
        <v>28.946161</v>
      </c>
      <c r="H825" t="str">
        <f>IFERROR(VLOOKUP(logos[[#This Row],[Cell_ID]],'registe maintenance'!A:E,5,FALSE)," non répertoriées")</f>
        <v>4G</v>
      </c>
      <c r="I825" t="str">
        <f>IFERROR(VLOOKUP(logos[[#This Row],[Cell_ID]],'registe maintenance'!A:F,6,FALSE)," non répertoriées")</f>
        <v>ZTE</v>
      </c>
      <c r="J825">
        <f>IFERROR(VLOOKUP(B825,'logos transformer '!A:B,2,FALSE),"na")</f>
        <v>3</v>
      </c>
      <c r="K825">
        <f>IFERROR(VLOOKUP(B825,'logos transformer '!A:C,3,FALSE),"na")</f>
        <v>136</v>
      </c>
      <c r="L825" s="1">
        <f>IFERROR(VLOOKUP(B825,'logos transformer '!A:D,4,FALSE),"na")</f>
        <v>45211.279166666667</v>
      </c>
    </row>
    <row r="826" spans="1:12" x14ac:dyDescent="0.3">
      <c r="A826" s="1">
        <v>45226.224999999999</v>
      </c>
      <c r="B826" t="s">
        <v>565</v>
      </c>
      <c r="C826">
        <v>11</v>
      </c>
      <c r="D826" t="s">
        <v>8</v>
      </c>
      <c r="E826" t="str">
        <f>IFERROR(VLOOKUP(logos[[#This Row],[Cell_ID]],'registe maintenance'!A:B,2,FALSE)," non répertoriées")</f>
        <v>Sankuru</v>
      </c>
      <c r="F826">
        <f>IFERROR(VLOOKUP(logos[[#This Row],[Cell_ID]],'registe maintenance'!A:C,3,FALSE)," non répertoriées")</f>
        <v>-0.157111</v>
      </c>
      <c r="G826">
        <f>IFERROR(VLOOKUP(logos[[#This Row],[Cell_ID]],'registe maintenance'!A:D,4,FALSE)," non répertoriées")</f>
        <v>25.415125</v>
      </c>
      <c r="H826" t="str">
        <f>IFERROR(VLOOKUP(logos[[#This Row],[Cell_ID]],'registe maintenance'!A:E,5,FALSE)," non répertoriées")</f>
        <v>4G</v>
      </c>
      <c r="I826" t="str">
        <f>IFERROR(VLOOKUP(logos[[#This Row],[Cell_ID]],'registe maintenance'!A:F,6,FALSE)," non répertoriées")</f>
        <v>Ericsson</v>
      </c>
      <c r="J826">
        <f>IFERROR(VLOOKUP(B826,'logos transformer '!A:B,2,FALSE),"na")</f>
        <v>1</v>
      </c>
      <c r="K826">
        <f>IFERROR(VLOOKUP(B826,'logos transformer '!A:C,3,FALSE),"na")</f>
        <v>11</v>
      </c>
      <c r="L826" s="1">
        <f>IFERROR(VLOOKUP(B826,'logos transformer '!A:D,4,FALSE),"na")</f>
        <v>45226.224999999999</v>
      </c>
    </row>
    <row r="827" spans="1:12" x14ac:dyDescent="0.3">
      <c r="A827" s="1">
        <v>45209.988888888889</v>
      </c>
      <c r="B827" t="s">
        <v>461</v>
      </c>
      <c r="C827">
        <v>51</v>
      </c>
      <c r="D827" t="s">
        <v>8</v>
      </c>
      <c r="E827" t="str">
        <f>IFERROR(VLOOKUP(logos[[#This Row],[Cell_ID]],'registe maintenance'!A:B,2,FALSE)," non répertoriées")</f>
        <v>Equateur</v>
      </c>
      <c r="F827">
        <f>IFERROR(VLOOKUP(logos[[#This Row],[Cell_ID]],'registe maintenance'!A:C,3,FALSE)," non répertoriées")</f>
        <v>-6.1490739999999997</v>
      </c>
      <c r="G827">
        <f>IFERROR(VLOOKUP(logos[[#This Row],[Cell_ID]],'registe maintenance'!A:D,4,FALSE)," non répertoriées")</f>
        <v>23.304411000000002</v>
      </c>
      <c r="H827" t="str">
        <f>IFERROR(VLOOKUP(logos[[#This Row],[Cell_ID]],'registe maintenance'!A:E,5,FALSE)," non répertoriées")</f>
        <v>5G</v>
      </c>
      <c r="I827" t="str">
        <f>IFERROR(VLOOKUP(logos[[#This Row],[Cell_ID]],'registe maintenance'!A:F,6,FALSE)," non répertoriées")</f>
        <v>ZTE</v>
      </c>
      <c r="J827">
        <f>IFERROR(VLOOKUP(B827,'logos transformer '!A:B,2,FALSE),"na")</f>
        <v>3</v>
      </c>
      <c r="K827">
        <f>IFERROR(VLOOKUP(B827,'logos transformer '!A:C,3,FALSE),"na")</f>
        <v>197</v>
      </c>
      <c r="L827" s="1">
        <f>IFERROR(VLOOKUP(B827,'logos transformer '!A:D,4,FALSE),"na")</f>
        <v>45214.634722222225</v>
      </c>
    </row>
    <row r="828" spans="1:12" x14ac:dyDescent="0.3">
      <c r="A828" s="1">
        <v>45209.174305555563</v>
      </c>
      <c r="B828" t="s">
        <v>542</v>
      </c>
      <c r="C828">
        <v>5</v>
      </c>
      <c r="D828" t="s">
        <v>5</v>
      </c>
      <c r="E828" t="str">
        <f>IFERROR(VLOOKUP(logos[[#This Row],[Cell_ID]],'registe maintenance'!A:B,2,FALSE)," non répertoriées")</f>
        <v xml:space="preserve"> non répertoriées</v>
      </c>
      <c r="F828" t="str">
        <f>IFERROR(VLOOKUP(logos[[#This Row],[Cell_ID]],'registe maintenance'!A:C,3,FALSE)," non répertoriées")</f>
        <v xml:space="preserve"> non répertoriées</v>
      </c>
      <c r="G828" t="str">
        <f>IFERROR(VLOOKUP(logos[[#This Row],[Cell_ID]],'registe maintenance'!A:D,4,FALSE)," non répertoriées")</f>
        <v xml:space="preserve"> non répertoriées</v>
      </c>
      <c r="H828" t="str">
        <f>IFERROR(VLOOKUP(logos[[#This Row],[Cell_ID]],'registe maintenance'!A:E,5,FALSE)," non répertoriées")</f>
        <v xml:space="preserve"> non répertoriées</v>
      </c>
      <c r="I828" t="str">
        <f>IFERROR(VLOOKUP(logos[[#This Row],[Cell_ID]],'registe maintenance'!A:F,6,FALSE)," non répertoriées")</f>
        <v xml:space="preserve"> non répertoriées</v>
      </c>
      <c r="J828">
        <f>IFERROR(VLOOKUP(B828,'logos transformer '!A:B,2,FALSE),"na")</f>
        <v>2</v>
      </c>
      <c r="K828">
        <f>IFERROR(VLOOKUP(B828,'logos transformer '!A:C,3,FALSE),"na")</f>
        <v>94</v>
      </c>
      <c r="L828" s="1">
        <f>IFERROR(VLOOKUP(B828,'logos transformer '!A:D,4,FALSE),"na")</f>
        <v>45211.147222222222</v>
      </c>
    </row>
    <row r="829" spans="1:12" x14ac:dyDescent="0.3">
      <c r="A829" s="1">
        <v>45223.030555555553</v>
      </c>
      <c r="B829" t="s">
        <v>566</v>
      </c>
      <c r="C829">
        <v>59</v>
      </c>
      <c r="D829" t="s">
        <v>5</v>
      </c>
      <c r="E829" t="str">
        <f>IFERROR(VLOOKUP(logos[[#This Row],[Cell_ID]],'registe maintenance'!A:B,2,FALSE)," non répertoriées")</f>
        <v xml:space="preserve"> non répertoriées</v>
      </c>
      <c r="F829" t="str">
        <f>IFERROR(VLOOKUP(logos[[#This Row],[Cell_ID]],'registe maintenance'!A:C,3,FALSE)," non répertoriées")</f>
        <v xml:space="preserve"> non répertoriées</v>
      </c>
      <c r="G829" t="str">
        <f>IFERROR(VLOOKUP(logos[[#This Row],[Cell_ID]],'registe maintenance'!A:D,4,FALSE)," non répertoriées")</f>
        <v xml:space="preserve"> non répertoriées</v>
      </c>
      <c r="H829" t="str">
        <f>IFERROR(VLOOKUP(logos[[#This Row],[Cell_ID]],'registe maintenance'!A:E,5,FALSE)," non répertoriées")</f>
        <v xml:space="preserve"> non répertoriées</v>
      </c>
      <c r="I829" t="str">
        <f>IFERROR(VLOOKUP(logos[[#This Row],[Cell_ID]],'registe maintenance'!A:F,6,FALSE)," non répertoriées")</f>
        <v xml:space="preserve"> non répertoriées</v>
      </c>
      <c r="J829">
        <f>IFERROR(VLOOKUP(B829,'logos transformer '!A:B,2,FALSE),"na")</f>
        <v>1</v>
      </c>
      <c r="K829">
        <f>IFERROR(VLOOKUP(B829,'logos transformer '!A:C,3,FALSE),"na")</f>
        <v>59</v>
      </c>
      <c r="L829" s="1">
        <f>IFERROR(VLOOKUP(B829,'logos transformer '!A:D,4,FALSE),"na")</f>
        <v>45223.030555555553</v>
      </c>
    </row>
    <row r="830" spans="1:12" x14ac:dyDescent="0.3">
      <c r="A830" s="1">
        <v>45230.767361111109</v>
      </c>
      <c r="B830" t="s">
        <v>567</v>
      </c>
      <c r="C830">
        <v>16</v>
      </c>
      <c r="D830" t="s">
        <v>10</v>
      </c>
      <c r="E830" t="str">
        <f>IFERROR(VLOOKUP(logos[[#This Row],[Cell_ID]],'registe maintenance'!A:B,2,FALSE)," non répertoriées")</f>
        <v xml:space="preserve"> non répertoriées</v>
      </c>
      <c r="F830" t="str">
        <f>IFERROR(VLOOKUP(logos[[#This Row],[Cell_ID]],'registe maintenance'!A:C,3,FALSE)," non répertoriées")</f>
        <v xml:space="preserve"> non répertoriées</v>
      </c>
      <c r="G830" t="str">
        <f>IFERROR(VLOOKUP(logos[[#This Row],[Cell_ID]],'registe maintenance'!A:D,4,FALSE)," non répertoriées")</f>
        <v xml:space="preserve"> non répertoriées</v>
      </c>
      <c r="H830" t="str">
        <f>IFERROR(VLOOKUP(logos[[#This Row],[Cell_ID]],'registe maintenance'!A:E,5,FALSE)," non répertoriées")</f>
        <v xml:space="preserve"> non répertoriées</v>
      </c>
      <c r="I830" t="str">
        <f>IFERROR(VLOOKUP(logos[[#This Row],[Cell_ID]],'registe maintenance'!A:F,6,FALSE)," non répertoriées")</f>
        <v xml:space="preserve"> non répertoriées</v>
      </c>
      <c r="J830">
        <f>IFERROR(VLOOKUP(B830,'logos transformer '!A:B,2,FALSE),"na")</f>
        <v>1</v>
      </c>
      <c r="K830">
        <f>IFERROR(VLOOKUP(B830,'logos transformer '!A:C,3,FALSE),"na")</f>
        <v>16</v>
      </c>
      <c r="L830" s="1">
        <f>IFERROR(VLOOKUP(B830,'logos transformer '!A:D,4,FALSE),"na")</f>
        <v>45230.767361111109</v>
      </c>
    </row>
    <row r="831" spans="1:12" x14ac:dyDescent="0.3">
      <c r="A831" s="1">
        <v>45227.751388888893</v>
      </c>
      <c r="B831" t="s">
        <v>450</v>
      </c>
      <c r="C831">
        <v>42</v>
      </c>
      <c r="D831" t="s">
        <v>5</v>
      </c>
      <c r="E831" t="str">
        <f>IFERROR(VLOOKUP(logos[[#This Row],[Cell_ID]],'registe maintenance'!A:B,2,FALSE)," non répertoriées")</f>
        <v>Sud-Ubangi</v>
      </c>
      <c r="F831">
        <f>IFERROR(VLOOKUP(logos[[#This Row],[Cell_ID]],'registe maintenance'!A:C,3,FALSE)," non répertoriées")</f>
        <v>-12.050063</v>
      </c>
      <c r="G831">
        <f>IFERROR(VLOOKUP(logos[[#This Row],[Cell_ID]],'registe maintenance'!A:D,4,FALSE)," non répertoriées")</f>
        <v>26.636987999999999</v>
      </c>
      <c r="H831" t="str">
        <f>IFERROR(VLOOKUP(logos[[#This Row],[Cell_ID]],'registe maintenance'!A:E,5,FALSE)," non répertoriées")</f>
        <v>3G</v>
      </c>
      <c r="I831" t="str">
        <f>IFERROR(VLOOKUP(logos[[#This Row],[Cell_ID]],'registe maintenance'!A:F,6,FALSE)," non répertoriées")</f>
        <v>Nokia</v>
      </c>
      <c r="J831">
        <f>IFERROR(VLOOKUP(B831,'logos transformer '!A:B,2,FALSE),"na")</f>
        <v>2</v>
      </c>
      <c r="K831">
        <f>IFERROR(VLOOKUP(B831,'logos transformer '!A:C,3,FALSE),"na")</f>
        <v>128</v>
      </c>
      <c r="L831" s="1">
        <f>IFERROR(VLOOKUP(B831,'logos transformer '!A:D,4,FALSE),"na")</f>
        <v>45227.751388888886</v>
      </c>
    </row>
    <row r="832" spans="1:12" x14ac:dyDescent="0.3">
      <c r="A832" s="1">
        <v>45205.805555555547</v>
      </c>
      <c r="B832" t="s">
        <v>568</v>
      </c>
      <c r="C832">
        <v>110</v>
      </c>
      <c r="D832" t="s">
        <v>5</v>
      </c>
      <c r="E832" t="str">
        <f>IFERROR(VLOOKUP(logos[[#This Row],[Cell_ID]],'registe maintenance'!A:B,2,FALSE)," non répertoriées")</f>
        <v xml:space="preserve"> non répertoriées</v>
      </c>
      <c r="F832" t="str">
        <f>IFERROR(VLOOKUP(logos[[#This Row],[Cell_ID]],'registe maintenance'!A:C,3,FALSE)," non répertoriées")</f>
        <v xml:space="preserve"> non répertoriées</v>
      </c>
      <c r="G832" t="str">
        <f>IFERROR(VLOOKUP(logos[[#This Row],[Cell_ID]],'registe maintenance'!A:D,4,FALSE)," non répertoriées")</f>
        <v xml:space="preserve"> non répertoriées</v>
      </c>
      <c r="H832" t="str">
        <f>IFERROR(VLOOKUP(logos[[#This Row],[Cell_ID]],'registe maintenance'!A:E,5,FALSE)," non répertoriées")</f>
        <v xml:space="preserve"> non répertoriées</v>
      </c>
      <c r="I832" t="str">
        <f>IFERROR(VLOOKUP(logos[[#This Row],[Cell_ID]],'registe maintenance'!A:F,6,FALSE)," non répertoriées")</f>
        <v xml:space="preserve"> non répertoriées</v>
      </c>
      <c r="J832">
        <f>IFERROR(VLOOKUP(B832,'logos transformer '!A:B,2,FALSE),"na")</f>
        <v>1</v>
      </c>
      <c r="K832">
        <f>IFERROR(VLOOKUP(B832,'logos transformer '!A:C,3,FALSE),"na")</f>
        <v>110</v>
      </c>
      <c r="L832" s="1">
        <f>IFERROR(VLOOKUP(B832,'logos transformer '!A:D,4,FALSE),"na")</f>
        <v>45205.805555555555</v>
      </c>
    </row>
    <row r="833" spans="1:12" x14ac:dyDescent="0.3">
      <c r="A833" s="1">
        <v>45229.801388888889</v>
      </c>
      <c r="B833" t="s">
        <v>214</v>
      </c>
      <c r="C833">
        <v>89</v>
      </c>
      <c r="D833" t="s">
        <v>5</v>
      </c>
      <c r="E833" t="str">
        <f>IFERROR(VLOOKUP(logos[[#This Row],[Cell_ID]],'registe maintenance'!A:B,2,FALSE)," non répertoriées")</f>
        <v xml:space="preserve"> non répertoriées</v>
      </c>
      <c r="F833" t="str">
        <f>IFERROR(VLOOKUP(logos[[#This Row],[Cell_ID]],'registe maintenance'!A:C,3,FALSE)," non répertoriées")</f>
        <v xml:space="preserve"> non répertoriées</v>
      </c>
      <c r="G833" t="str">
        <f>IFERROR(VLOOKUP(logos[[#This Row],[Cell_ID]],'registe maintenance'!A:D,4,FALSE)," non répertoriées")</f>
        <v xml:space="preserve"> non répertoriées</v>
      </c>
      <c r="H833" t="str">
        <f>IFERROR(VLOOKUP(logos[[#This Row],[Cell_ID]],'registe maintenance'!A:E,5,FALSE)," non répertoriées")</f>
        <v xml:space="preserve"> non répertoriées</v>
      </c>
      <c r="I833" t="str">
        <f>IFERROR(VLOOKUP(logos[[#This Row],[Cell_ID]],'registe maintenance'!A:F,6,FALSE)," non répertoriées")</f>
        <v xml:space="preserve"> non répertoriées</v>
      </c>
      <c r="J833">
        <f>IFERROR(VLOOKUP(B833,'logos transformer '!A:B,2,FALSE),"na")</f>
        <v>3</v>
      </c>
      <c r="K833">
        <f>IFERROR(VLOOKUP(B833,'logos transformer '!A:C,3,FALSE),"na")</f>
        <v>211</v>
      </c>
      <c r="L833" s="1">
        <f>IFERROR(VLOOKUP(B833,'logos transformer '!A:D,4,FALSE),"na")</f>
        <v>45229.801388888889</v>
      </c>
    </row>
    <row r="834" spans="1:12" x14ac:dyDescent="0.3">
      <c r="A834" s="1">
        <v>45220.754166666673</v>
      </c>
      <c r="B834" t="s">
        <v>142</v>
      </c>
      <c r="C834">
        <v>85</v>
      </c>
      <c r="D834" t="s">
        <v>5</v>
      </c>
      <c r="E834" t="str">
        <f>IFERROR(VLOOKUP(logos[[#This Row],[Cell_ID]],'registe maintenance'!A:B,2,FALSE)," non répertoriées")</f>
        <v>Lualaba</v>
      </c>
      <c r="F834">
        <f>IFERROR(VLOOKUP(logos[[#This Row],[Cell_ID]],'registe maintenance'!A:C,3,FALSE)," non répertoriées")</f>
        <v>-9.7803979999999999</v>
      </c>
      <c r="G834">
        <f>IFERROR(VLOOKUP(logos[[#This Row],[Cell_ID]],'registe maintenance'!A:D,4,FALSE)," non répertoriées")</f>
        <v>17.686595000000001</v>
      </c>
      <c r="H834" t="str">
        <f>IFERROR(VLOOKUP(logos[[#This Row],[Cell_ID]],'registe maintenance'!A:E,5,FALSE)," non répertoriées")</f>
        <v>4G</v>
      </c>
      <c r="I834" t="str">
        <f>IFERROR(VLOOKUP(logos[[#This Row],[Cell_ID]],'registe maintenance'!A:F,6,FALSE)," non répertoriées")</f>
        <v>Ericsson</v>
      </c>
      <c r="J834">
        <f>IFERROR(VLOOKUP(B834,'logos transformer '!A:B,2,FALSE),"na")</f>
        <v>2</v>
      </c>
      <c r="K834">
        <f>IFERROR(VLOOKUP(B834,'logos transformer '!A:C,3,FALSE),"na")</f>
        <v>151</v>
      </c>
      <c r="L834" s="1">
        <f>IFERROR(VLOOKUP(B834,'logos transformer '!A:D,4,FALSE),"na")</f>
        <v>45220.754166666666</v>
      </c>
    </row>
    <row r="835" spans="1:12" x14ac:dyDescent="0.3">
      <c r="A835" s="1">
        <v>45229.631249999999</v>
      </c>
      <c r="B835" t="s">
        <v>569</v>
      </c>
      <c r="C835">
        <v>81</v>
      </c>
      <c r="D835" t="s">
        <v>5</v>
      </c>
      <c r="E835" t="str">
        <f>IFERROR(VLOOKUP(logos[[#This Row],[Cell_ID]],'registe maintenance'!A:B,2,FALSE)," non répertoriées")</f>
        <v>Tshuapa</v>
      </c>
      <c r="F835">
        <f>IFERROR(VLOOKUP(logos[[#This Row],[Cell_ID]],'registe maintenance'!A:C,3,FALSE)," non répertoriées")</f>
        <v>-10.574821</v>
      </c>
      <c r="G835">
        <f>IFERROR(VLOOKUP(logos[[#This Row],[Cell_ID]],'registe maintenance'!A:D,4,FALSE)," non répertoriées")</f>
        <v>25.324966</v>
      </c>
      <c r="H835" t="str">
        <f>IFERROR(VLOOKUP(logos[[#This Row],[Cell_ID]],'registe maintenance'!A:E,5,FALSE)," non répertoriées")</f>
        <v>5G</v>
      </c>
      <c r="I835" t="str">
        <f>IFERROR(VLOOKUP(logos[[#This Row],[Cell_ID]],'registe maintenance'!A:F,6,FALSE)," non répertoriées")</f>
        <v>Ericsson</v>
      </c>
      <c r="J835">
        <f>IFERROR(VLOOKUP(B835,'logos transformer '!A:B,2,FALSE),"na")</f>
        <v>1</v>
      </c>
      <c r="K835">
        <f>IFERROR(VLOOKUP(B835,'logos transformer '!A:C,3,FALSE),"na")</f>
        <v>81</v>
      </c>
      <c r="L835" s="1">
        <f>IFERROR(VLOOKUP(B835,'logos transformer '!A:D,4,FALSE),"na")</f>
        <v>45229.631249999999</v>
      </c>
    </row>
    <row r="836" spans="1:12" x14ac:dyDescent="0.3">
      <c r="A836" s="1">
        <v>45210.961111111108</v>
      </c>
      <c r="B836" t="s">
        <v>167</v>
      </c>
      <c r="C836">
        <v>66</v>
      </c>
      <c r="D836" t="s">
        <v>5</v>
      </c>
      <c r="E836" t="str">
        <f>IFERROR(VLOOKUP(logos[[#This Row],[Cell_ID]],'registe maintenance'!A:B,2,FALSE)," non répertoriées")</f>
        <v>Kinshasa</v>
      </c>
      <c r="F836">
        <f>IFERROR(VLOOKUP(logos[[#This Row],[Cell_ID]],'registe maintenance'!A:C,3,FALSE)," non répertoriées")</f>
        <v>-11.991020000000001</v>
      </c>
      <c r="G836">
        <f>IFERROR(VLOOKUP(logos[[#This Row],[Cell_ID]],'registe maintenance'!A:D,4,FALSE)," non répertoriées")</f>
        <v>22.514747</v>
      </c>
      <c r="H836" t="str">
        <f>IFERROR(VLOOKUP(logos[[#This Row],[Cell_ID]],'registe maintenance'!A:E,5,FALSE)," non répertoriées")</f>
        <v>5G</v>
      </c>
      <c r="I836" t="str">
        <f>IFERROR(VLOOKUP(logos[[#This Row],[Cell_ID]],'registe maintenance'!A:F,6,FALSE)," non répertoriées")</f>
        <v>ZTE</v>
      </c>
      <c r="J836">
        <f>IFERROR(VLOOKUP(B836,'logos transformer '!A:B,2,FALSE),"na")</f>
        <v>2</v>
      </c>
      <c r="K836">
        <f>IFERROR(VLOOKUP(B836,'logos transformer '!A:C,3,FALSE),"na")</f>
        <v>98</v>
      </c>
      <c r="L836" s="1">
        <f>IFERROR(VLOOKUP(B836,'logos transformer '!A:D,4,FALSE),"na")</f>
        <v>45220.416666666664</v>
      </c>
    </row>
    <row r="837" spans="1:12" x14ac:dyDescent="0.3">
      <c r="A837" s="1">
        <v>45207.472222222219</v>
      </c>
      <c r="B837" t="s">
        <v>570</v>
      </c>
      <c r="C837">
        <v>30</v>
      </c>
      <c r="D837" t="s">
        <v>10</v>
      </c>
      <c r="E837" t="str">
        <f>IFERROR(VLOOKUP(logos[[#This Row],[Cell_ID]],'registe maintenance'!A:B,2,FALSE)," non répertoriées")</f>
        <v xml:space="preserve"> non répertoriées</v>
      </c>
      <c r="F837" t="str">
        <f>IFERROR(VLOOKUP(logos[[#This Row],[Cell_ID]],'registe maintenance'!A:C,3,FALSE)," non répertoriées")</f>
        <v xml:space="preserve"> non répertoriées</v>
      </c>
      <c r="G837" t="str">
        <f>IFERROR(VLOOKUP(logos[[#This Row],[Cell_ID]],'registe maintenance'!A:D,4,FALSE)," non répertoriées")</f>
        <v xml:space="preserve"> non répertoriées</v>
      </c>
      <c r="H837" t="str">
        <f>IFERROR(VLOOKUP(logos[[#This Row],[Cell_ID]],'registe maintenance'!A:E,5,FALSE)," non répertoriées")</f>
        <v xml:space="preserve"> non répertoriées</v>
      </c>
      <c r="I837" t="str">
        <f>IFERROR(VLOOKUP(logos[[#This Row],[Cell_ID]],'registe maintenance'!A:F,6,FALSE)," non répertoriées")</f>
        <v xml:space="preserve"> non répertoriées</v>
      </c>
      <c r="J837">
        <f>IFERROR(VLOOKUP(B837,'logos transformer '!A:B,2,FALSE),"na")</f>
        <v>1</v>
      </c>
      <c r="K837">
        <f>IFERROR(VLOOKUP(B837,'logos transformer '!A:C,3,FALSE),"na")</f>
        <v>30</v>
      </c>
      <c r="L837" s="1">
        <f>IFERROR(VLOOKUP(B837,'logos transformer '!A:D,4,FALSE),"na")</f>
        <v>45207.472222222219</v>
      </c>
    </row>
    <row r="838" spans="1:12" x14ac:dyDescent="0.3">
      <c r="A838" s="1">
        <v>45205.87222222222</v>
      </c>
      <c r="B838" t="s">
        <v>571</v>
      </c>
      <c r="C838">
        <v>17</v>
      </c>
      <c r="D838" t="s">
        <v>5</v>
      </c>
      <c r="E838" t="str">
        <f>IFERROR(VLOOKUP(logos[[#This Row],[Cell_ID]],'registe maintenance'!A:B,2,FALSE)," non répertoriées")</f>
        <v xml:space="preserve"> non répertoriées</v>
      </c>
      <c r="F838" t="str">
        <f>IFERROR(VLOOKUP(logos[[#This Row],[Cell_ID]],'registe maintenance'!A:C,3,FALSE)," non répertoriées")</f>
        <v xml:space="preserve"> non répertoriées</v>
      </c>
      <c r="G838" t="str">
        <f>IFERROR(VLOOKUP(logos[[#This Row],[Cell_ID]],'registe maintenance'!A:D,4,FALSE)," non répertoriées")</f>
        <v xml:space="preserve"> non répertoriées</v>
      </c>
      <c r="H838" t="str">
        <f>IFERROR(VLOOKUP(logos[[#This Row],[Cell_ID]],'registe maintenance'!A:E,5,FALSE)," non répertoriées")</f>
        <v xml:space="preserve"> non répertoriées</v>
      </c>
      <c r="I838" t="str">
        <f>IFERROR(VLOOKUP(logos[[#This Row],[Cell_ID]],'registe maintenance'!A:F,6,FALSE)," non répertoriées")</f>
        <v xml:space="preserve"> non répertoriées</v>
      </c>
      <c r="J838">
        <f>IFERROR(VLOOKUP(B838,'logos transformer '!A:B,2,FALSE),"na")</f>
        <v>1</v>
      </c>
      <c r="K838">
        <f>IFERROR(VLOOKUP(B838,'logos transformer '!A:C,3,FALSE),"na")</f>
        <v>17</v>
      </c>
      <c r="L838" s="1">
        <f>IFERROR(VLOOKUP(B838,'logos transformer '!A:D,4,FALSE),"na")</f>
        <v>45205.87222222222</v>
      </c>
    </row>
    <row r="839" spans="1:12" x14ac:dyDescent="0.3">
      <c r="A839" s="1">
        <v>45230.119444444441</v>
      </c>
      <c r="B839" t="s">
        <v>185</v>
      </c>
      <c r="C839">
        <v>8</v>
      </c>
      <c r="D839" t="s">
        <v>8</v>
      </c>
      <c r="E839" t="str">
        <f>IFERROR(VLOOKUP(logos[[#This Row],[Cell_ID]],'registe maintenance'!A:B,2,FALSE)," non répertoriées")</f>
        <v>Lualaba</v>
      </c>
      <c r="F839">
        <f>IFERROR(VLOOKUP(logos[[#This Row],[Cell_ID]],'registe maintenance'!A:C,3,FALSE)," non répertoriées")</f>
        <v>-9.5243310000000001</v>
      </c>
      <c r="G839">
        <f>IFERROR(VLOOKUP(logos[[#This Row],[Cell_ID]],'registe maintenance'!A:D,4,FALSE)," non répertoriées")</f>
        <v>30.541212000000002</v>
      </c>
      <c r="H839" t="str">
        <f>IFERROR(VLOOKUP(logos[[#This Row],[Cell_ID]],'registe maintenance'!A:E,5,FALSE)," non répertoriées")</f>
        <v>3G</v>
      </c>
      <c r="I839" t="str">
        <f>IFERROR(VLOOKUP(logos[[#This Row],[Cell_ID]],'registe maintenance'!A:F,6,FALSE)," non répertoriées")</f>
        <v>Ericsson</v>
      </c>
      <c r="J839">
        <f>IFERROR(VLOOKUP(B839,'logos transformer '!A:B,2,FALSE),"na")</f>
        <v>3</v>
      </c>
      <c r="K839">
        <f>IFERROR(VLOOKUP(B839,'logos transformer '!A:C,3,FALSE),"na")</f>
        <v>126</v>
      </c>
      <c r="L839" s="1">
        <f>IFERROR(VLOOKUP(B839,'logos transformer '!A:D,4,FALSE),"na")</f>
        <v>45230.119444444441</v>
      </c>
    </row>
    <row r="840" spans="1:12" x14ac:dyDescent="0.3">
      <c r="A840" s="1">
        <v>45222.902777777781</v>
      </c>
      <c r="B840" t="s">
        <v>235</v>
      </c>
      <c r="C840">
        <v>31</v>
      </c>
      <c r="D840" t="s">
        <v>10</v>
      </c>
      <c r="E840" t="str">
        <f>IFERROR(VLOOKUP(logos[[#This Row],[Cell_ID]],'registe maintenance'!A:B,2,FALSE)," non répertoriées")</f>
        <v>Sankuru</v>
      </c>
      <c r="F840">
        <f>IFERROR(VLOOKUP(logos[[#This Row],[Cell_ID]],'registe maintenance'!A:C,3,FALSE)," non répertoriées")</f>
        <v>-7.5969509999999998</v>
      </c>
      <c r="G840">
        <f>IFERROR(VLOOKUP(logos[[#This Row],[Cell_ID]],'registe maintenance'!A:D,4,FALSE)," non répertoriées")</f>
        <v>22.153986</v>
      </c>
      <c r="H840" t="str">
        <f>IFERROR(VLOOKUP(logos[[#This Row],[Cell_ID]],'registe maintenance'!A:E,5,FALSE)," non répertoriées")</f>
        <v>3G</v>
      </c>
      <c r="I840" t="str">
        <f>IFERROR(VLOOKUP(logos[[#This Row],[Cell_ID]],'registe maintenance'!A:F,6,FALSE)," non répertoriées")</f>
        <v>Ericsson</v>
      </c>
      <c r="J840">
        <f>IFERROR(VLOOKUP(B840,'logos transformer '!A:B,2,FALSE),"na")</f>
        <v>2</v>
      </c>
      <c r="K840">
        <f>IFERROR(VLOOKUP(B840,'logos transformer '!A:C,3,FALSE),"na")</f>
        <v>151</v>
      </c>
      <c r="L840" s="1">
        <f>IFERROR(VLOOKUP(B840,'logos transformer '!A:D,4,FALSE),"na")</f>
        <v>45222.902777777781</v>
      </c>
    </row>
    <row r="841" spans="1:12" x14ac:dyDescent="0.3">
      <c r="A841" s="1">
        <v>45223.436111111107</v>
      </c>
      <c r="B841" t="s">
        <v>191</v>
      </c>
      <c r="C841">
        <v>26</v>
      </c>
      <c r="D841" t="s">
        <v>5</v>
      </c>
      <c r="E841" t="str">
        <f>IFERROR(VLOOKUP(logos[[#This Row],[Cell_ID]],'registe maintenance'!A:B,2,FALSE)," non répertoriées")</f>
        <v>Bas-Uele</v>
      </c>
      <c r="F841">
        <f>IFERROR(VLOOKUP(logos[[#This Row],[Cell_ID]],'registe maintenance'!A:C,3,FALSE)," non répertoriées")</f>
        <v>1.5278670000000001</v>
      </c>
      <c r="G841">
        <f>IFERROR(VLOOKUP(logos[[#This Row],[Cell_ID]],'registe maintenance'!A:D,4,FALSE)," non répertoriées")</f>
        <v>13.899388999999999</v>
      </c>
      <c r="H841" t="str">
        <f>IFERROR(VLOOKUP(logos[[#This Row],[Cell_ID]],'registe maintenance'!A:E,5,FALSE)," non répertoriées")</f>
        <v>3G</v>
      </c>
      <c r="I841" t="str">
        <f>IFERROR(VLOOKUP(logos[[#This Row],[Cell_ID]],'registe maintenance'!A:F,6,FALSE)," non répertoriées")</f>
        <v>Huawei</v>
      </c>
      <c r="J841">
        <f>IFERROR(VLOOKUP(B841,'logos transformer '!A:B,2,FALSE),"na")</f>
        <v>5</v>
      </c>
      <c r="K841">
        <f>IFERROR(VLOOKUP(B841,'logos transformer '!A:C,3,FALSE),"na")</f>
        <v>273</v>
      </c>
      <c r="L841" s="1">
        <f>IFERROR(VLOOKUP(B841,'logos transformer '!A:D,4,FALSE),"na")</f>
        <v>45223.436111111114</v>
      </c>
    </row>
    <row r="842" spans="1:12" x14ac:dyDescent="0.3">
      <c r="A842" s="1">
        <v>45200.342361111107</v>
      </c>
      <c r="B842" t="s">
        <v>280</v>
      </c>
      <c r="C842">
        <v>86</v>
      </c>
      <c r="D842" t="s">
        <v>8</v>
      </c>
      <c r="E842" t="str">
        <f>IFERROR(VLOOKUP(logos[[#This Row],[Cell_ID]],'registe maintenance'!A:B,2,FALSE)," non répertoriées")</f>
        <v>Haut-Lomami</v>
      </c>
      <c r="F842">
        <f>IFERROR(VLOOKUP(logos[[#This Row],[Cell_ID]],'registe maintenance'!A:C,3,FALSE)," non répertoriées")</f>
        <v>2.628638</v>
      </c>
      <c r="G842">
        <f>IFERROR(VLOOKUP(logos[[#This Row],[Cell_ID]],'registe maintenance'!A:D,4,FALSE)," non répertoriées")</f>
        <v>28.420582</v>
      </c>
      <c r="H842" t="str">
        <f>IFERROR(VLOOKUP(logos[[#This Row],[Cell_ID]],'registe maintenance'!A:E,5,FALSE)," non répertoriées")</f>
        <v>4G</v>
      </c>
      <c r="I842" t="str">
        <f>IFERROR(VLOOKUP(logos[[#This Row],[Cell_ID]],'registe maintenance'!A:F,6,FALSE)," non répertoriées")</f>
        <v>Huawei</v>
      </c>
      <c r="J842">
        <f>IFERROR(VLOOKUP(B842,'logos transformer '!A:B,2,FALSE),"na")</f>
        <v>2</v>
      </c>
      <c r="K842">
        <f>IFERROR(VLOOKUP(B842,'logos transformer '!A:C,3,FALSE),"na")</f>
        <v>136</v>
      </c>
      <c r="L842" s="1">
        <f>IFERROR(VLOOKUP(B842,'logos transformer '!A:D,4,FALSE),"na")</f>
        <v>45205.47152777778</v>
      </c>
    </row>
    <row r="843" spans="1:12" x14ac:dyDescent="0.3">
      <c r="A843" s="1">
        <v>45207.919444444437</v>
      </c>
      <c r="B843" t="s">
        <v>572</v>
      </c>
      <c r="C843">
        <v>42</v>
      </c>
      <c r="D843" t="s">
        <v>5</v>
      </c>
      <c r="E843" t="str">
        <f>IFERROR(VLOOKUP(logos[[#This Row],[Cell_ID]],'registe maintenance'!A:B,2,FALSE)," non répertoriées")</f>
        <v xml:space="preserve"> non répertoriées</v>
      </c>
      <c r="F843" t="str">
        <f>IFERROR(VLOOKUP(logos[[#This Row],[Cell_ID]],'registe maintenance'!A:C,3,FALSE)," non répertoriées")</f>
        <v xml:space="preserve"> non répertoriées</v>
      </c>
      <c r="G843" t="str">
        <f>IFERROR(VLOOKUP(logos[[#This Row],[Cell_ID]],'registe maintenance'!A:D,4,FALSE)," non répertoriées")</f>
        <v xml:space="preserve"> non répertoriées</v>
      </c>
      <c r="H843" t="str">
        <f>IFERROR(VLOOKUP(logos[[#This Row],[Cell_ID]],'registe maintenance'!A:E,5,FALSE)," non répertoriées")</f>
        <v xml:space="preserve"> non répertoriées</v>
      </c>
      <c r="I843" t="str">
        <f>IFERROR(VLOOKUP(logos[[#This Row],[Cell_ID]],'registe maintenance'!A:F,6,FALSE)," non répertoriées")</f>
        <v xml:space="preserve"> non répertoriées</v>
      </c>
      <c r="J843">
        <f>IFERROR(VLOOKUP(B843,'logos transformer '!A:B,2,FALSE),"na")</f>
        <v>1</v>
      </c>
      <c r="K843">
        <f>IFERROR(VLOOKUP(B843,'logos transformer '!A:C,3,FALSE),"na")</f>
        <v>42</v>
      </c>
      <c r="L843" s="1">
        <f>IFERROR(VLOOKUP(B843,'logos transformer '!A:D,4,FALSE),"na")</f>
        <v>45207.919444444444</v>
      </c>
    </row>
    <row r="844" spans="1:12" x14ac:dyDescent="0.3">
      <c r="A844" s="1">
        <v>45211.368055555547</v>
      </c>
      <c r="B844" t="s">
        <v>166</v>
      </c>
      <c r="C844">
        <v>15</v>
      </c>
      <c r="D844" t="s">
        <v>8</v>
      </c>
      <c r="E844" t="str">
        <f>IFERROR(VLOOKUP(logos[[#This Row],[Cell_ID]],'registe maintenance'!A:B,2,FALSE)," non répertoriées")</f>
        <v xml:space="preserve"> non répertoriées</v>
      </c>
      <c r="F844" t="str">
        <f>IFERROR(VLOOKUP(logos[[#This Row],[Cell_ID]],'registe maintenance'!A:C,3,FALSE)," non répertoriées")</f>
        <v xml:space="preserve"> non répertoriées</v>
      </c>
      <c r="G844" t="str">
        <f>IFERROR(VLOOKUP(logos[[#This Row],[Cell_ID]],'registe maintenance'!A:D,4,FALSE)," non répertoriées")</f>
        <v xml:space="preserve"> non répertoriées</v>
      </c>
      <c r="H844" t="str">
        <f>IFERROR(VLOOKUP(logos[[#This Row],[Cell_ID]],'registe maintenance'!A:E,5,FALSE)," non répertoriées")</f>
        <v xml:space="preserve"> non répertoriées</v>
      </c>
      <c r="I844" t="str">
        <f>IFERROR(VLOOKUP(logos[[#This Row],[Cell_ID]],'registe maintenance'!A:F,6,FALSE)," non répertoriées")</f>
        <v xml:space="preserve"> non répertoriées</v>
      </c>
      <c r="J844">
        <f>IFERROR(VLOOKUP(B844,'logos transformer '!A:B,2,FALSE),"na")</f>
        <v>2</v>
      </c>
      <c r="K844">
        <f>IFERROR(VLOOKUP(B844,'logos transformer '!A:C,3,FALSE),"na")</f>
        <v>43</v>
      </c>
      <c r="L844" s="1">
        <f>IFERROR(VLOOKUP(B844,'logos transformer '!A:D,4,FALSE),"na")</f>
        <v>45217.570833333331</v>
      </c>
    </row>
    <row r="845" spans="1:12" x14ac:dyDescent="0.3">
      <c r="A845" s="1">
        <v>45203.958333333343</v>
      </c>
      <c r="B845" t="s">
        <v>573</v>
      </c>
      <c r="C845">
        <v>65</v>
      </c>
      <c r="D845" t="s">
        <v>10</v>
      </c>
      <c r="E845" t="str">
        <f>IFERROR(VLOOKUP(logos[[#This Row],[Cell_ID]],'registe maintenance'!A:B,2,FALSE)," non répertoriées")</f>
        <v xml:space="preserve"> non répertoriées</v>
      </c>
      <c r="F845" t="str">
        <f>IFERROR(VLOOKUP(logos[[#This Row],[Cell_ID]],'registe maintenance'!A:C,3,FALSE)," non répertoriées")</f>
        <v xml:space="preserve"> non répertoriées</v>
      </c>
      <c r="G845" t="str">
        <f>IFERROR(VLOOKUP(logos[[#This Row],[Cell_ID]],'registe maintenance'!A:D,4,FALSE)," non répertoriées")</f>
        <v xml:space="preserve"> non répertoriées</v>
      </c>
      <c r="H845" t="str">
        <f>IFERROR(VLOOKUP(logos[[#This Row],[Cell_ID]],'registe maintenance'!A:E,5,FALSE)," non répertoriées")</f>
        <v xml:space="preserve"> non répertoriées</v>
      </c>
      <c r="I845" t="str">
        <f>IFERROR(VLOOKUP(logos[[#This Row],[Cell_ID]],'registe maintenance'!A:F,6,FALSE)," non répertoriées")</f>
        <v xml:space="preserve"> non répertoriées</v>
      </c>
      <c r="J845">
        <f>IFERROR(VLOOKUP(B845,'logos transformer '!A:B,2,FALSE),"na")</f>
        <v>1</v>
      </c>
      <c r="K845">
        <f>IFERROR(VLOOKUP(B845,'logos transformer '!A:C,3,FALSE),"na")</f>
        <v>65</v>
      </c>
      <c r="L845" s="1">
        <f>IFERROR(VLOOKUP(B845,'logos transformer '!A:D,4,FALSE),"na")</f>
        <v>45203.958333333336</v>
      </c>
    </row>
    <row r="846" spans="1:12" x14ac:dyDescent="0.3">
      <c r="A846" s="1">
        <v>45201.519444444442</v>
      </c>
      <c r="B846" t="s">
        <v>120</v>
      </c>
      <c r="C846">
        <v>113</v>
      </c>
      <c r="D846" t="s">
        <v>10</v>
      </c>
      <c r="E846" t="str">
        <f>IFERROR(VLOOKUP(logos[[#This Row],[Cell_ID]],'registe maintenance'!A:B,2,FALSE)," non répertoriées")</f>
        <v xml:space="preserve"> non répertoriées</v>
      </c>
      <c r="F846" t="str">
        <f>IFERROR(VLOOKUP(logos[[#This Row],[Cell_ID]],'registe maintenance'!A:C,3,FALSE)," non répertoriées")</f>
        <v xml:space="preserve"> non répertoriées</v>
      </c>
      <c r="G846" t="str">
        <f>IFERROR(VLOOKUP(logos[[#This Row],[Cell_ID]],'registe maintenance'!A:D,4,FALSE)," non répertoriées")</f>
        <v xml:space="preserve"> non répertoriées</v>
      </c>
      <c r="H846" t="str">
        <f>IFERROR(VLOOKUP(logos[[#This Row],[Cell_ID]],'registe maintenance'!A:E,5,FALSE)," non répertoriées")</f>
        <v xml:space="preserve"> non répertoriées</v>
      </c>
      <c r="I846" t="str">
        <f>IFERROR(VLOOKUP(logos[[#This Row],[Cell_ID]],'registe maintenance'!A:F,6,FALSE)," non répertoriées")</f>
        <v xml:space="preserve"> non répertoriées</v>
      </c>
      <c r="J846">
        <f>IFERROR(VLOOKUP(B846,'logos transformer '!A:B,2,FALSE),"na")</f>
        <v>2</v>
      </c>
      <c r="K846">
        <f>IFERROR(VLOOKUP(B846,'logos transformer '!A:C,3,FALSE),"na")</f>
        <v>207</v>
      </c>
      <c r="L846" s="1">
        <f>IFERROR(VLOOKUP(B846,'logos transformer '!A:D,4,FALSE),"na")</f>
        <v>45209.268750000003</v>
      </c>
    </row>
    <row r="847" spans="1:12" x14ac:dyDescent="0.3">
      <c r="A847" s="1">
        <v>45223.548611111109</v>
      </c>
      <c r="B847" t="s">
        <v>518</v>
      </c>
      <c r="C847">
        <v>19</v>
      </c>
      <c r="D847" t="s">
        <v>8</v>
      </c>
      <c r="E847" t="str">
        <f>IFERROR(VLOOKUP(logos[[#This Row],[Cell_ID]],'registe maintenance'!A:B,2,FALSE)," non répertoriées")</f>
        <v xml:space="preserve"> non répertoriées</v>
      </c>
      <c r="F847" t="str">
        <f>IFERROR(VLOOKUP(logos[[#This Row],[Cell_ID]],'registe maintenance'!A:C,3,FALSE)," non répertoriées")</f>
        <v xml:space="preserve"> non répertoriées</v>
      </c>
      <c r="G847" t="str">
        <f>IFERROR(VLOOKUP(logos[[#This Row],[Cell_ID]],'registe maintenance'!A:D,4,FALSE)," non répertoriées")</f>
        <v xml:space="preserve"> non répertoriées</v>
      </c>
      <c r="H847" t="str">
        <f>IFERROR(VLOOKUP(logos[[#This Row],[Cell_ID]],'registe maintenance'!A:E,5,FALSE)," non répertoriées")</f>
        <v xml:space="preserve"> non répertoriées</v>
      </c>
      <c r="I847" t="str">
        <f>IFERROR(VLOOKUP(logos[[#This Row],[Cell_ID]],'registe maintenance'!A:F,6,FALSE)," non répertoriées")</f>
        <v xml:space="preserve"> non répertoriées</v>
      </c>
      <c r="J847">
        <f>IFERROR(VLOOKUP(B847,'logos transformer '!A:B,2,FALSE),"na")</f>
        <v>2</v>
      </c>
      <c r="K847">
        <f>IFERROR(VLOOKUP(B847,'logos transformer '!A:C,3,FALSE),"na")</f>
        <v>100</v>
      </c>
      <c r="L847" s="1">
        <f>IFERROR(VLOOKUP(B847,'logos transformer '!A:D,4,FALSE),"na")</f>
        <v>45223.548611111109</v>
      </c>
    </row>
    <row r="848" spans="1:12" x14ac:dyDescent="0.3">
      <c r="A848" s="1">
        <v>45228.563194444447</v>
      </c>
      <c r="B848" t="s">
        <v>475</v>
      </c>
      <c r="C848">
        <v>44</v>
      </c>
      <c r="D848" t="s">
        <v>5</v>
      </c>
      <c r="E848" t="str">
        <f>IFERROR(VLOOKUP(logos[[#This Row],[Cell_ID]],'registe maintenance'!A:B,2,FALSE)," non répertoriées")</f>
        <v>Tshopo</v>
      </c>
      <c r="F848">
        <f>IFERROR(VLOOKUP(logos[[#This Row],[Cell_ID]],'registe maintenance'!A:C,3,FALSE)," non répertoriées")</f>
        <v>-11.265995</v>
      </c>
      <c r="G848">
        <f>IFERROR(VLOOKUP(logos[[#This Row],[Cell_ID]],'registe maintenance'!A:D,4,FALSE)," non répertoriées")</f>
        <v>28.935514999999999</v>
      </c>
      <c r="H848" t="str">
        <f>IFERROR(VLOOKUP(logos[[#This Row],[Cell_ID]],'registe maintenance'!A:E,5,FALSE)," non répertoriées")</f>
        <v>4G</v>
      </c>
      <c r="I848" t="str">
        <f>IFERROR(VLOOKUP(logos[[#This Row],[Cell_ID]],'registe maintenance'!A:F,6,FALSE)," non répertoriées")</f>
        <v>Ericsson</v>
      </c>
      <c r="J848">
        <f>IFERROR(VLOOKUP(B848,'logos transformer '!A:B,2,FALSE),"na")</f>
        <v>2</v>
      </c>
      <c r="K848">
        <f>IFERROR(VLOOKUP(B848,'logos transformer '!A:C,3,FALSE),"na")</f>
        <v>89</v>
      </c>
      <c r="L848" s="1">
        <f>IFERROR(VLOOKUP(B848,'logos transformer '!A:D,4,FALSE),"na")</f>
        <v>45228.563194444447</v>
      </c>
    </row>
    <row r="849" spans="1:12" x14ac:dyDescent="0.3">
      <c r="A849" s="1">
        <v>45228.515277777777</v>
      </c>
      <c r="B849" t="s">
        <v>574</v>
      </c>
      <c r="C849">
        <v>105</v>
      </c>
      <c r="D849" t="s">
        <v>5</v>
      </c>
      <c r="E849" t="str">
        <f>IFERROR(VLOOKUP(logos[[#This Row],[Cell_ID]],'registe maintenance'!A:B,2,FALSE)," non répertoriées")</f>
        <v>Tshopo</v>
      </c>
      <c r="F849">
        <f>IFERROR(VLOOKUP(logos[[#This Row],[Cell_ID]],'registe maintenance'!A:C,3,FALSE)," non répertoriées")</f>
        <v>-0.919767</v>
      </c>
      <c r="G849">
        <f>IFERROR(VLOOKUP(logos[[#This Row],[Cell_ID]],'registe maintenance'!A:D,4,FALSE)," non répertoriées")</f>
        <v>18.905538</v>
      </c>
      <c r="H849" t="str">
        <f>IFERROR(VLOOKUP(logos[[#This Row],[Cell_ID]],'registe maintenance'!A:E,5,FALSE)," non répertoriées")</f>
        <v>5G</v>
      </c>
      <c r="I849" t="str">
        <f>IFERROR(VLOOKUP(logos[[#This Row],[Cell_ID]],'registe maintenance'!A:F,6,FALSE)," non répertoriées")</f>
        <v>Ericsson</v>
      </c>
      <c r="J849">
        <f>IFERROR(VLOOKUP(B849,'logos transformer '!A:B,2,FALSE),"na")</f>
        <v>1</v>
      </c>
      <c r="K849">
        <f>IFERROR(VLOOKUP(B849,'logos transformer '!A:C,3,FALSE),"na")</f>
        <v>105</v>
      </c>
      <c r="L849" s="1">
        <f>IFERROR(VLOOKUP(B849,'logos transformer '!A:D,4,FALSE),"na")</f>
        <v>45228.515277777777</v>
      </c>
    </row>
    <row r="850" spans="1:12" x14ac:dyDescent="0.3">
      <c r="A850" s="1">
        <v>45217.504166666673</v>
      </c>
      <c r="B850" t="s">
        <v>305</v>
      </c>
      <c r="C850">
        <v>55</v>
      </c>
      <c r="D850" t="s">
        <v>10</v>
      </c>
      <c r="E850" t="str">
        <f>IFERROR(VLOOKUP(logos[[#This Row],[Cell_ID]],'registe maintenance'!A:B,2,FALSE)," non répertoriées")</f>
        <v xml:space="preserve"> non répertoriées</v>
      </c>
      <c r="F850" t="str">
        <f>IFERROR(VLOOKUP(logos[[#This Row],[Cell_ID]],'registe maintenance'!A:C,3,FALSE)," non répertoriées")</f>
        <v xml:space="preserve"> non répertoriées</v>
      </c>
      <c r="G850" t="str">
        <f>IFERROR(VLOOKUP(logos[[#This Row],[Cell_ID]],'registe maintenance'!A:D,4,FALSE)," non répertoriées")</f>
        <v xml:space="preserve"> non répertoriées</v>
      </c>
      <c r="H850" t="str">
        <f>IFERROR(VLOOKUP(logos[[#This Row],[Cell_ID]],'registe maintenance'!A:E,5,FALSE)," non répertoriées")</f>
        <v xml:space="preserve"> non répertoriées</v>
      </c>
      <c r="I850" t="str">
        <f>IFERROR(VLOOKUP(logos[[#This Row],[Cell_ID]],'registe maintenance'!A:F,6,FALSE)," non répertoriées")</f>
        <v xml:space="preserve"> non répertoriées</v>
      </c>
      <c r="J850">
        <f>IFERROR(VLOOKUP(B850,'logos transformer '!A:B,2,FALSE),"na")</f>
        <v>3</v>
      </c>
      <c r="K850">
        <f>IFERROR(VLOOKUP(B850,'logos transformer '!A:C,3,FALSE),"na")</f>
        <v>204</v>
      </c>
      <c r="L850" s="1">
        <f>IFERROR(VLOOKUP(B850,'logos transformer '!A:D,4,FALSE),"na")</f>
        <v>45219.076388888891</v>
      </c>
    </row>
    <row r="851" spans="1:12" x14ac:dyDescent="0.3">
      <c r="A851" s="1">
        <v>45226.659722222219</v>
      </c>
      <c r="B851" t="s">
        <v>290</v>
      </c>
      <c r="C851">
        <v>65</v>
      </c>
      <c r="D851" t="s">
        <v>8</v>
      </c>
      <c r="E851" t="str">
        <f>IFERROR(VLOOKUP(logos[[#This Row],[Cell_ID]],'registe maintenance'!A:B,2,FALSE)," non répertoriées")</f>
        <v>Haut-Katanga</v>
      </c>
      <c r="F851">
        <f>IFERROR(VLOOKUP(logos[[#This Row],[Cell_ID]],'registe maintenance'!A:C,3,FALSE)," non répertoriées")</f>
        <v>-11.594525000000001</v>
      </c>
      <c r="G851">
        <f>IFERROR(VLOOKUP(logos[[#This Row],[Cell_ID]],'registe maintenance'!A:D,4,FALSE)," non répertoriées")</f>
        <v>29.744895</v>
      </c>
      <c r="H851" t="str">
        <f>IFERROR(VLOOKUP(logos[[#This Row],[Cell_ID]],'registe maintenance'!A:E,5,FALSE)," non répertoriées")</f>
        <v>3G</v>
      </c>
      <c r="I851" t="str">
        <f>IFERROR(VLOOKUP(logos[[#This Row],[Cell_ID]],'registe maintenance'!A:F,6,FALSE)," non répertoriées")</f>
        <v>ZTE</v>
      </c>
      <c r="J851">
        <f>IFERROR(VLOOKUP(B851,'logos transformer '!A:B,2,FALSE),"na")</f>
        <v>2</v>
      </c>
      <c r="K851">
        <f>IFERROR(VLOOKUP(B851,'logos transformer '!A:C,3,FALSE),"na")</f>
        <v>168</v>
      </c>
      <c r="L851" s="1">
        <f>IFERROR(VLOOKUP(B851,'logos transformer '!A:D,4,FALSE),"na")</f>
        <v>45226.659722222219</v>
      </c>
    </row>
    <row r="852" spans="1:12" x14ac:dyDescent="0.3">
      <c r="A852" s="1">
        <v>45227.77847222222</v>
      </c>
      <c r="B852" t="s">
        <v>432</v>
      </c>
      <c r="C852">
        <v>67</v>
      </c>
      <c r="D852" t="s">
        <v>10</v>
      </c>
      <c r="E852" t="str">
        <f>IFERROR(VLOOKUP(logos[[#This Row],[Cell_ID]],'registe maintenance'!A:B,2,FALSE)," non répertoriées")</f>
        <v>Mai-Ndombe</v>
      </c>
      <c r="F852">
        <f>IFERROR(VLOOKUP(logos[[#This Row],[Cell_ID]],'registe maintenance'!A:C,3,FALSE)," non répertoriées")</f>
        <v>-0.47411900000000001</v>
      </c>
      <c r="G852">
        <f>IFERROR(VLOOKUP(logos[[#This Row],[Cell_ID]],'registe maintenance'!A:D,4,FALSE)," non répertoriées")</f>
        <v>27.184329000000002</v>
      </c>
      <c r="H852" t="str">
        <f>IFERROR(VLOOKUP(logos[[#This Row],[Cell_ID]],'registe maintenance'!A:E,5,FALSE)," non répertoriées")</f>
        <v>5G</v>
      </c>
      <c r="I852" t="str">
        <f>IFERROR(VLOOKUP(logos[[#This Row],[Cell_ID]],'registe maintenance'!A:F,6,FALSE)," non répertoriées")</f>
        <v>ZTE</v>
      </c>
      <c r="J852">
        <f>IFERROR(VLOOKUP(B852,'logos transformer '!A:B,2,FALSE),"na")</f>
        <v>2</v>
      </c>
      <c r="K852">
        <f>IFERROR(VLOOKUP(B852,'logos transformer '!A:C,3,FALSE),"na")</f>
        <v>89</v>
      </c>
      <c r="L852" s="1">
        <f>IFERROR(VLOOKUP(B852,'logos transformer '!A:D,4,FALSE),"na")</f>
        <v>45227.77847222222</v>
      </c>
    </row>
    <row r="853" spans="1:12" x14ac:dyDescent="0.3">
      <c r="A853" s="1">
        <v>45224.884722222218</v>
      </c>
      <c r="B853" t="s">
        <v>575</v>
      </c>
      <c r="C853">
        <v>119</v>
      </c>
      <c r="D853" t="s">
        <v>8</v>
      </c>
      <c r="E853" t="str">
        <f>IFERROR(VLOOKUP(logos[[#This Row],[Cell_ID]],'registe maintenance'!A:B,2,FALSE)," non répertoriées")</f>
        <v xml:space="preserve"> non répertoriées</v>
      </c>
      <c r="F853" t="str">
        <f>IFERROR(VLOOKUP(logos[[#This Row],[Cell_ID]],'registe maintenance'!A:C,3,FALSE)," non répertoriées")</f>
        <v xml:space="preserve"> non répertoriées</v>
      </c>
      <c r="G853" t="str">
        <f>IFERROR(VLOOKUP(logos[[#This Row],[Cell_ID]],'registe maintenance'!A:D,4,FALSE)," non répertoriées")</f>
        <v xml:space="preserve"> non répertoriées</v>
      </c>
      <c r="H853" t="str">
        <f>IFERROR(VLOOKUP(logos[[#This Row],[Cell_ID]],'registe maintenance'!A:E,5,FALSE)," non répertoriées")</f>
        <v xml:space="preserve"> non répertoriées</v>
      </c>
      <c r="I853" t="str">
        <f>IFERROR(VLOOKUP(logos[[#This Row],[Cell_ID]],'registe maintenance'!A:F,6,FALSE)," non répertoriées")</f>
        <v xml:space="preserve"> non répertoriées</v>
      </c>
      <c r="J853">
        <f>IFERROR(VLOOKUP(B853,'logos transformer '!A:B,2,FALSE),"na")</f>
        <v>1</v>
      </c>
      <c r="K853">
        <f>IFERROR(VLOOKUP(B853,'logos transformer '!A:C,3,FALSE),"na")</f>
        <v>119</v>
      </c>
      <c r="L853" s="1">
        <f>IFERROR(VLOOKUP(B853,'logos transformer '!A:D,4,FALSE),"na")</f>
        <v>45224.884722222225</v>
      </c>
    </row>
    <row r="854" spans="1:12" x14ac:dyDescent="0.3">
      <c r="A854" s="1">
        <v>45205.586111111108</v>
      </c>
      <c r="B854" t="s">
        <v>576</v>
      </c>
      <c r="C854">
        <v>89</v>
      </c>
      <c r="D854" t="s">
        <v>10</v>
      </c>
      <c r="E854" t="str">
        <f>IFERROR(VLOOKUP(logos[[#This Row],[Cell_ID]],'registe maintenance'!A:B,2,FALSE)," non répertoriées")</f>
        <v xml:space="preserve"> non répertoriées</v>
      </c>
      <c r="F854" t="str">
        <f>IFERROR(VLOOKUP(logos[[#This Row],[Cell_ID]],'registe maintenance'!A:C,3,FALSE)," non répertoriées")</f>
        <v xml:space="preserve"> non répertoriées</v>
      </c>
      <c r="G854" t="str">
        <f>IFERROR(VLOOKUP(logos[[#This Row],[Cell_ID]],'registe maintenance'!A:D,4,FALSE)," non répertoriées")</f>
        <v xml:space="preserve"> non répertoriées</v>
      </c>
      <c r="H854" t="str">
        <f>IFERROR(VLOOKUP(logos[[#This Row],[Cell_ID]],'registe maintenance'!A:E,5,FALSE)," non répertoriées")</f>
        <v xml:space="preserve"> non répertoriées</v>
      </c>
      <c r="I854" t="str">
        <f>IFERROR(VLOOKUP(logos[[#This Row],[Cell_ID]],'registe maintenance'!A:F,6,FALSE)," non répertoriées")</f>
        <v xml:space="preserve"> non répertoriées</v>
      </c>
      <c r="J854">
        <f>IFERROR(VLOOKUP(B854,'logos transformer '!A:B,2,FALSE),"na")</f>
        <v>1</v>
      </c>
      <c r="K854">
        <f>IFERROR(VLOOKUP(B854,'logos transformer '!A:C,3,FALSE),"na")</f>
        <v>89</v>
      </c>
      <c r="L854" s="1">
        <f>IFERROR(VLOOKUP(B854,'logos transformer '!A:D,4,FALSE),"na")</f>
        <v>45205.586111111108</v>
      </c>
    </row>
    <row r="855" spans="1:12" x14ac:dyDescent="0.3">
      <c r="A855" s="1">
        <v>45225.054166666669</v>
      </c>
      <c r="B855" t="s">
        <v>577</v>
      </c>
      <c r="C855">
        <v>38</v>
      </c>
      <c r="D855" t="s">
        <v>10</v>
      </c>
      <c r="E855" t="str">
        <f>IFERROR(VLOOKUP(logos[[#This Row],[Cell_ID]],'registe maintenance'!A:B,2,FALSE)," non répertoriées")</f>
        <v>Lualaba</v>
      </c>
      <c r="F855">
        <f>IFERROR(VLOOKUP(logos[[#This Row],[Cell_ID]],'registe maintenance'!A:C,3,FALSE)," non répertoriées")</f>
        <v>-4.2184999999999997</v>
      </c>
      <c r="G855">
        <f>IFERROR(VLOOKUP(logos[[#This Row],[Cell_ID]],'registe maintenance'!A:D,4,FALSE)," non répertoriées")</f>
        <v>23.077093999999999</v>
      </c>
      <c r="H855" t="str">
        <f>IFERROR(VLOOKUP(logos[[#This Row],[Cell_ID]],'registe maintenance'!A:E,5,FALSE)," non répertoriées")</f>
        <v>4G</v>
      </c>
      <c r="I855" t="str">
        <f>IFERROR(VLOOKUP(logos[[#This Row],[Cell_ID]],'registe maintenance'!A:F,6,FALSE)," non répertoriées")</f>
        <v>Ericsson</v>
      </c>
      <c r="J855">
        <f>IFERROR(VLOOKUP(B855,'logos transformer '!A:B,2,FALSE),"na")</f>
        <v>1</v>
      </c>
      <c r="K855">
        <f>IFERROR(VLOOKUP(B855,'logos transformer '!A:C,3,FALSE),"na")</f>
        <v>38</v>
      </c>
      <c r="L855" s="1">
        <f>IFERROR(VLOOKUP(B855,'logos transformer '!A:D,4,FALSE),"na")</f>
        <v>45225.054166666669</v>
      </c>
    </row>
    <row r="856" spans="1:12" x14ac:dyDescent="0.3">
      <c r="A856" s="1">
        <v>45200.427777777782</v>
      </c>
      <c r="B856" t="s">
        <v>115</v>
      </c>
      <c r="C856">
        <v>16</v>
      </c>
      <c r="D856" t="s">
        <v>8</v>
      </c>
      <c r="E856" t="str">
        <f>IFERROR(VLOOKUP(logos[[#This Row],[Cell_ID]],'registe maintenance'!A:B,2,FALSE)," non répertoriées")</f>
        <v xml:space="preserve"> non répertoriées</v>
      </c>
      <c r="F856" t="str">
        <f>IFERROR(VLOOKUP(logos[[#This Row],[Cell_ID]],'registe maintenance'!A:C,3,FALSE)," non répertoriées")</f>
        <v xml:space="preserve"> non répertoriées</v>
      </c>
      <c r="G856" t="str">
        <f>IFERROR(VLOOKUP(logos[[#This Row],[Cell_ID]],'registe maintenance'!A:D,4,FALSE)," non répertoriées")</f>
        <v xml:space="preserve"> non répertoriées</v>
      </c>
      <c r="H856" t="str">
        <f>IFERROR(VLOOKUP(logos[[#This Row],[Cell_ID]],'registe maintenance'!A:E,5,FALSE)," non répertoriées")</f>
        <v xml:space="preserve"> non répertoriées</v>
      </c>
      <c r="I856" t="str">
        <f>IFERROR(VLOOKUP(logos[[#This Row],[Cell_ID]],'registe maintenance'!A:F,6,FALSE)," non répertoriées")</f>
        <v xml:space="preserve"> non répertoriées</v>
      </c>
      <c r="J856">
        <f>IFERROR(VLOOKUP(B856,'logos transformer '!A:B,2,FALSE),"na")</f>
        <v>2</v>
      </c>
      <c r="K856">
        <f>IFERROR(VLOOKUP(B856,'logos transformer '!A:C,3,FALSE),"na")</f>
        <v>120</v>
      </c>
      <c r="L856" s="1">
        <f>IFERROR(VLOOKUP(B856,'logos transformer '!A:D,4,FALSE),"na")</f>
        <v>45213.89166666667</v>
      </c>
    </row>
    <row r="857" spans="1:12" x14ac:dyDescent="0.3">
      <c r="A857" s="1">
        <v>45230.12777777778</v>
      </c>
      <c r="B857" t="s">
        <v>487</v>
      </c>
      <c r="C857">
        <v>87</v>
      </c>
      <c r="D857" t="s">
        <v>10</v>
      </c>
      <c r="E857" t="str">
        <f>IFERROR(VLOOKUP(logos[[#This Row],[Cell_ID]],'registe maintenance'!A:B,2,FALSE)," non répertoriées")</f>
        <v>Haut-Katanga</v>
      </c>
      <c r="F857">
        <f>IFERROR(VLOOKUP(logos[[#This Row],[Cell_ID]],'registe maintenance'!A:C,3,FALSE)," non répertoriées")</f>
        <v>-10.945031</v>
      </c>
      <c r="G857">
        <f>IFERROR(VLOOKUP(logos[[#This Row],[Cell_ID]],'registe maintenance'!A:D,4,FALSE)," non répertoriées")</f>
        <v>27.922274000000002</v>
      </c>
      <c r="H857" t="str">
        <f>IFERROR(VLOOKUP(logos[[#This Row],[Cell_ID]],'registe maintenance'!A:E,5,FALSE)," non répertoriées")</f>
        <v>4G</v>
      </c>
      <c r="I857" t="str">
        <f>IFERROR(VLOOKUP(logos[[#This Row],[Cell_ID]],'registe maintenance'!A:F,6,FALSE)," non répertoriées")</f>
        <v>Ericsson</v>
      </c>
      <c r="J857">
        <f>IFERROR(VLOOKUP(B857,'logos transformer '!A:B,2,FALSE),"na")</f>
        <v>3</v>
      </c>
      <c r="K857">
        <f>IFERROR(VLOOKUP(B857,'logos transformer '!A:C,3,FALSE),"na")</f>
        <v>298</v>
      </c>
      <c r="L857" s="1">
        <f>IFERROR(VLOOKUP(B857,'logos transformer '!A:D,4,FALSE),"na")</f>
        <v>45230.12777777778</v>
      </c>
    </row>
    <row r="858" spans="1:12" x14ac:dyDescent="0.3">
      <c r="A858" s="1">
        <v>45210.24722222222</v>
      </c>
      <c r="B858" t="s">
        <v>557</v>
      </c>
      <c r="C858">
        <v>74</v>
      </c>
      <c r="D858" t="s">
        <v>5</v>
      </c>
      <c r="E858" t="str">
        <f>IFERROR(VLOOKUP(logos[[#This Row],[Cell_ID]],'registe maintenance'!A:B,2,FALSE)," non répertoriées")</f>
        <v xml:space="preserve"> non répertoriées</v>
      </c>
      <c r="F858" t="str">
        <f>IFERROR(VLOOKUP(logos[[#This Row],[Cell_ID]],'registe maintenance'!A:C,3,FALSE)," non répertoriées")</f>
        <v xml:space="preserve"> non répertoriées</v>
      </c>
      <c r="G858" t="str">
        <f>IFERROR(VLOOKUP(logos[[#This Row],[Cell_ID]],'registe maintenance'!A:D,4,FALSE)," non répertoriées")</f>
        <v xml:space="preserve"> non répertoriées</v>
      </c>
      <c r="H858" t="str">
        <f>IFERROR(VLOOKUP(logos[[#This Row],[Cell_ID]],'registe maintenance'!A:E,5,FALSE)," non répertoriées")</f>
        <v xml:space="preserve"> non répertoriées</v>
      </c>
      <c r="I858" t="str">
        <f>IFERROR(VLOOKUP(logos[[#This Row],[Cell_ID]],'registe maintenance'!A:F,6,FALSE)," non répertoriées")</f>
        <v xml:space="preserve"> non répertoriées</v>
      </c>
      <c r="J858">
        <f>IFERROR(VLOOKUP(B858,'logos transformer '!A:B,2,FALSE),"na")</f>
        <v>2</v>
      </c>
      <c r="K858">
        <f>IFERROR(VLOOKUP(B858,'logos transformer '!A:C,3,FALSE),"na")</f>
        <v>147</v>
      </c>
      <c r="L858" s="1">
        <f>IFERROR(VLOOKUP(B858,'logos transformer '!A:D,4,FALSE),"na")</f>
        <v>45211.290277777778</v>
      </c>
    </row>
    <row r="859" spans="1:12" x14ac:dyDescent="0.3">
      <c r="A859" s="1">
        <v>45212.240277777782</v>
      </c>
      <c r="B859" t="s">
        <v>349</v>
      </c>
      <c r="C859">
        <v>54</v>
      </c>
      <c r="D859" t="s">
        <v>8</v>
      </c>
      <c r="E859" t="str">
        <f>IFERROR(VLOOKUP(logos[[#This Row],[Cell_ID]],'registe maintenance'!A:B,2,FALSE)," non répertoriées")</f>
        <v xml:space="preserve"> non répertoriées</v>
      </c>
      <c r="F859" t="str">
        <f>IFERROR(VLOOKUP(logos[[#This Row],[Cell_ID]],'registe maintenance'!A:C,3,FALSE)," non répertoriées")</f>
        <v xml:space="preserve"> non répertoriées</v>
      </c>
      <c r="G859" t="str">
        <f>IFERROR(VLOOKUP(logos[[#This Row],[Cell_ID]],'registe maintenance'!A:D,4,FALSE)," non répertoriées")</f>
        <v xml:space="preserve"> non répertoriées</v>
      </c>
      <c r="H859" t="str">
        <f>IFERROR(VLOOKUP(logos[[#This Row],[Cell_ID]],'registe maintenance'!A:E,5,FALSE)," non répertoriées")</f>
        <v xml:space="preserve"> non répertoriées</v>
      </c>
      <c r="I859" t="str">
        <f>IFERROR(VLOOKUP(logos[[#This Row],[Cell_ID]],'registe maintenance'!A:F,6,FALSE)," non répertoriées")</f>
        <v xml:space="preserve"> non répertoriées</v>
      </c>
      <c r="J859">
        <f>IFERROR(VLOOKUP(B859,'logos transformer '!A:B,2,FALSE),"na")</f>
        <v>2</v>
      </c>
      <c r="K859">
        <f>IFERROR(VLOOKUP(B859,'logos transformer '!A:C,3,FALSE),"na")</f>
        <v>113</v>
      </c>
      <c r="L859" s="1">
        <f>IFERROR(VLOOKUP(B859,'logos transformer '!A:D,4,FALSE),"na")</f>
        <v>45212.240277777775</v>
      </c>
    </row>
    <row r="860" spans="1:12" x14ac:dyDescent="0.3">
      <c r="A860" s="1">
        <v>45202.747916666667</v>
      </c>
      <c r="B860" t="s">
        <v>148</v>
      </c>
      <c r="C860">
        <v>28</v>
      </c>
      <c r="D860" t="s">
        <v>8</v>
      </c>
      <c r="E860" t="str">
        <f>IFERROR(VLOOKUP(logos[[#This Row],[Cell_ID]],'registe maintenance'!A:B,2,FALSE)," non répertoriées")</f>
        <v>Kasai-Central</v>
      </c>
      <c r="F860">
        <f>IFERROR(VLOOKUP(logos[[#This Row],[Cell_ID]],'registe maintenance'!A:C,3,FALSE)," non répertoriées")</f>
        <v>-3.111418</v>
      </c>
      <c r="G860">
        <f>IFERROR(VLOOKUP(logos[[#This Row],[Cell_ID]],'registe maintenance'!A:D,4,FALSE)," non répertoriées")</f>
        <v>14.144854</v>
      </c>
      <c r="H860" t="str">
        <f>IFERROR(VLOOKUP(logos[[#This Row],[Cell_ID]],'registe maintenance'!A:E,5,FALSE)," non répertoriées")</f>
        <v>4G</v>
      </c>
      <c r="I860" t="str">
        <f>IFERROR(VLOOKUP(logos[[#This Row],[Cell_ID]],'registe maintenance'!A:F,6,FALSE)," non répertoriées")</f>
        <v>ZTE</v>
      </c>
      <c r="J860">
        <f>IFERROR(VLOOKUP(B860,'logos transformer '!A:B,2,FALSE),"na")</f>
        <v>3</v>
      </c>
      <c r="K860">
        <f>IFERROR(VLOOKUP(B860,'logos transformer '!A:C,3,FALSE),"na")</f>
        <v>152</v>
      </c>
      <c r="L860" s="1">
        <f>IFERROR(VLOOKUP(B860,'logos transformer '!A:D,4,FALSE),"na")</f>
        <v>45206.027083333334</v>
      </c>
    </row>
    <row r="861" spans="1:12" x14ac:dyDescent="0.3">
      <c r="A861" s="1">
        <v>45202.443055555559</v>
      </c>
      <c r="B861" t="s">
        <v>578</v>
      </c>
      <c r="C861">
        <v>52</v>
      </c>
      <c r="D861" t="s">
        <v>8</v>
      </c>
      <c r="E861" t="str">
        <f>IFERROR(VLOOKUP(logos[[#This Row],[Cell_ID]],'registe maintenance'!A:B,2,FALSE)," non répertoriées")</f>
        <v xml:space="preserve"> non répertoriées</v>
      </c>
      <c r="F861" t="str">
        <f>IFERROR(VLOOKUP(logos[[#This Row],[Cell_ID]],'registe maintenance'!A:C,3,FALSE)," non répertoriées")</f>
        <v xml:space="preserve"> non répertoriées</v>
      </c>
      <c r="G861" t="str">
        <f>IFERROR(VLOOKUP(logos[[#This Row],[Cell_ID]],'registe maintenance'!A:D,4,FALSE)," non répertoriées")</f>
        <v xml:space="preserve"> non répertoriées</v>
      </c>
      <c r="H861" t="str">
        <f>IFERROR(VLOOKUP(logos[[#This Row],[Cell_ID]],'registe maintenance'!A:E,5,FALSE)," non répertoriées")</f>
        <v xml:space="preserve"> non répertoriées</v>
      </c>
      <c r="I861" t="str">
        <f>IFERROR(VLOOKUP(logos[[#This Row],[Cell_ID]],'registe maintenance'!A:F,6,FALSE)," non répertoriées")</f>
        <v xml:space="preserve"> non répertoriées</v>
      </c>
      <c r="J861">
        <f>IFERROR(VLOOKUP(B861,'logos transformer '!A:B,2,FALSE),"na")</f>
        <v>1</v>
      </c>
      <c r="K861">
        <f>IFERROR(VLOOKUP(B861,'logos transformer '!A:C,3,FALSE),"na")</f>
        <v>52</v>
      </c>
      <c r="L861" s="1">
        <f>IFERROR(VLOOKUP(B861,'logos transformer '!A:D,4,FALSE),"na")</f>
        <v>45202.443055555559</v>
      </c>
    </row>
    <row r="862" spans="1:12" x14ac:dyDescent="0.3">
      <c r="A862" s="1">
        <v>45219.65625</v>
      </c>
      <c r="B862" t="s">
        <v>283</v>
      </c>
      <c r="C862">
        <v>118</v>
      </c>
      <c r="D862" t="s">
        <v>8</v>
      </c>
      <c r="E862" t="str">
        <f>IFERROR(VLOOKUP(logos[[#This Row],[Cell_ID]],'registe maintenance'!A:B,2,FALSE)," non répertoriées")</f>
        <v>Tshuapa</v>
      </c>
      <c r="F862">
        <f>IFERROR(VLOOKUP(logos[[#This Row],[Cell_ID]],'registe maintenance'!A:C,3,FALSE)," non répertoriées")</f>
        <v>-10.577049000000001</v>
      </c>
      <c r="G862">
        <f>IFERROR(VLOOKUP(logos[[#This Row],[Cell_ID]],'registe maintenance'!A:D,4,FALSE)," non répertoriées")</f>
        <v>23.721854</v>
      </c>
      <c r="H862" t="str">
        <f>IFERROR(VLOOKUP(logos[[#This Row],[Cell_ID]],'registe maintenance'!A:E,5,FALSE)," non répertoriées")</f>
        <v>4G</v>
      </c>
      <c r="I862" t="str">
        <f>IFERROR(VLOOKUP(logos[[#This Row],[Cell_ID]],'registe maintenance'!A:F,6,FALSE)," non répertoriées")</f>
        <v>ZTE</v>
      </c>
      <c r="J862">
        <f>IFERROR(VLOOKUP(B862,'logos transformer '!A:B,2,FALSE),"na")</f>
        <v>3</v>
      </c>
      <c r="K862">
        <f>IFERROR(VLOOKUP(B862,'logos transformer '!A:C,3,FALSE),"na")</f>
        <v>239</v>
      </c>
      <c r="L862" s="1">
        <f>IFERROR(VLOOKUP(B862,'logos transformer '!A:D,4,FALSE),"na")</f>
        <v>45225.979166666664</v>
      </c>
    </row>
    <row r="863" spans="1:12" x14ac:dyDescent="0.3">
      <c r="A863" s="1">
        <v>45200.570138888892</v>
      </c>
      <c r="B863" t="s">
        <v>579</v>
      </c>
      <c r="C863">
        <v>53</v>
      </c>
      <c r="D863" t="s">
        <v>10</v>
      </c>
      <c r="E863" t="str">
        <f>IFERROR(VLOOKUP(logos[[#This Row],[Cell_ID]],'registe maintenance'!A:B,2,FALSE)," non répertoriées")</f>
        <v>Kongo-Central</v>
      </c>
      <c r="F863">
        <f>IFERROR(VLOOKUP(logos[[#This Row],[Cell_ID]],'registe maintenance'!A:C,3,FALSE)," non répertoriées")</f>
        <v>2.8552499999999998</v>
      </c>
      <c r="G863">
        <f>IFERROR(VLOOKUP(logos[[#This Row],[Cell_ID]],'registe maintenance'!A:D,4,FALSE)," non répertoriées")</f>
        <v>14.077933</v>
      </c>
      <c r="H863" t="str">
        <f>IFERROR(VLOOKUP(logos[[#This Row],[Cell_ID]],'registe maintenance'!A:E,5,FALSE)," non répertoriées")</f>
        <v>4G</v>
      </c>
      <c r="I863" t="str">
        <f>IFERROR(VLOOKUP(logos[[#This Row],[Cell_ID]],'registe maintenance'!A:F,6,FALSE)," non répertoriées")</f>
        <v>ZTE</v>
      </c>
      <c r="J863">
        <f>IFERROR(VLOOKUP(B863,'logos transformer '!A:B,2,FALSE),"na")</f>
        <v>1</v>
      </c>
      <c r="K863">
        <f>IFERROR(VLOOKUP(B863,'logos transformer '!A:C,3,FALSE),"na")</f>
        <v>53</v>
      </c>
      <c r="L863" s="1">
        <f>IFERROR(VLOOKUP(B863,'logos transformer '!A:D,4,FALSE),"na")</f>
        <v>45200.570138888892</v>
      </c>
    </row>
    <row r="864" spans="1:12" x14ac:dyDescent="0.3">
      <c r="A864" s="1">
        <v>45205.830555555563</v>
      </c>
      <c r="B864" t="s">
        <v>580</v>
      </c>
      <c r="C864">
        <v>52</v>
      </c>
      <c r="D864" t="s">
        <v>5</v>
      </c>
      <c r="E864" t="str">
        <f>IFERROR(VLOOKUP(logos[[#This Row],[Cell_ID]],'registe maintenance'!A:B,2,FALSE)," non répertoriées")</f>
        <v>Haut-Uele</v>
      </c>
      <c r="F864">
        <f>IFERROR(VLOOKUP(logos[[#This Row],[Cell_ID]],'registe maintenance'!A:C,3,FALSE)," non répertoriées")</f>
        <v>-2.2199559999999998</v>
      </c>
      <c r="G864">
        <f>IFERROR(VLOOKUP(logos[[#This Row],[Cell_ID]],'registe maintenance'!A:D,4,FALSE)," non répertoriées")</f>
        <v>22.614449</v>
      </c>
      <c r="H864" t="str">
        <f>IFERROR(VLOOKUP(logos[[#This Row],[Cell_ID]],'registe maintenance'!A:E,5,FALSE)," non répertoriées")</f>
        <v>3G</v>
      </c>
      <c r="I864" t="str">
        <f>IFERROR(VLOOKUP(logos[[#This Row],[Cell_ID]],'registe maintenance'!A:F,6,FALSE)," non répertoriées")</f>
        <v>Nokia</v>
      </c>
      <c r="J864">
        <f>IFERROR(VLOOKUP(B864,'logos transformer '!A:B,2,FALSE),"na")</f>
        <v>1</v>
      </c>
      <c r="K864">
        <f>IFERROR(VLOOKUP(B864,'logos transformer '!A:C,3,FALSE),"na")</f>
        <v>52</v>
      </c>
      <c r="L864" s="1">
        <f>IFERROR(VLOOKUP(B864,'logos transformer '!A:D,4,FALSE),"na")</f>
        <v>45205.830555555556</v>
      </c>
    </row>
    <row r="865" spans="1:12" x14ac:dyDescent="0.3">
      <c r="A865" s="1">
        <v>45213.210416666669</v>
      </c>
      <c r="B865" t="s">
        <v>581</v>
      </c>
      <c r="C865">
        <v>28</v>
      </c>
      <c r="D865" t="s">
        <v>10</v>
      </c>
      <c r="E865" t="str">
        <f>IFERROR(VLOOKUP(logos[[#This Row],[Cell_ID]],'registe maintenance'!A:B,2,FALSE)," non répertoriées")</f>
        <v>Haut-Lomami</v>
      </c>
      <c r="F865">
        <f>IFERROR(VLOOKUP(logos[[#This Row],[Cell_ID]],'registe maintenance'!A:C,3,FALSE)," non répertoriées")</f>
        <v>-3.1608390000000002</v>
      </c>
      <c r="G865">
        <f>IFERROR(VLOOKUP(logos[[#This Row],[Cell_ID]],'registe maintenance'!A:D,4,FALSE)," non répertoriées")</f>
        <v>13.244503999999999</v>
      </c>
      <c r="H865" t="str">
        <f>IFERROR(VLOOKUP(logos[[#This Row],[Cell_ID]],'registe maintenance'!A:E,5,FALSE)," non répertoriées")</f>
        <v>3G</v>
      </c>
      <c r="I865" t="str">
        <f>IFERROR(VLOOKUP(logos[[#This Row],[Cell_ID]],'registe maintenance'!A:F,6,FALSE)," non répertoriées")</f>
        <v>Huawei</v>
      </c>
      <c r="J865">
        <f>IFERROR(VLOOKUP(B865,'logos transformer '!A:B,2,FALSE),"na")</f>
        <v>1</v>
      </c>
      <c r="K865">
        <f>IFERROR(VLOOKUP(B865,'logos transformer '!A:C,3,FALSE),"na")</f>
        <v>28</v>
      </c>
      <c r="L865" s="1">
        <f>IFERROR(VLOOKUP(B865,'logos transformer '!A:D,4,FALSE),"na")</f>
        <v>45213.210416666669</v>
      </c>
    </row>
    <row r="866" spans="1:12" x14ac:dyDescent="0.3">
      <c r="A866" s="1">
        <v>45203.425694444442</v>
      </c>
      <c r="B866" t="s">
        <v>582</v>
      </c>
      <c r="C866">
        <v>62</v>
      </c>
      <c r="D866" t="s">
        <v>5</v>
      </c>
      <c r="E866" t="str">
        <f>IFERROR(VLOOKUP(logos[[#This Row],[Cell_ID]],'registe maintenance'!A:B,2,FALSE)," non répertoriées")</f>
        <v xml:space="preserve"> non répertoriées</v>
      </c>
      <c r="F866" t="str">
        <f>IFERROR(VLOOKUP(logos[[#This Row],[Cell_ID]],'registe maintenance'!A:C,3,FALSE)," non répertoriées")</f>
        <v xml:space="preserve"> non répertoriées</v>
      </c>
      <c r="G866" t="str">
        <f>IFERROR(VLOOKUP(logos[[#This Row],[Cell_ID]],'registe maintenance'!A:D,4,FALSE)," non répertoriées")</f>
        <v xml:space="preserve"> non répertoriées</v>
      </c>
      <c r="H866" t="str">
        <f>IFERROR(VLOOKUP(logos[[#This Row],[Cell_ID]],'registe maintenance'!A:E,5,FALSE)," non répertoriées")</f>
        <v xml:space="preserve"> non répertoriées</v>
      </c>
      <c r="I866" t="str">
        <f>IFERROR(VLOOKUP(logos[[#This Row],[Cell_ID]],'registe maintenance'!A:F,6,FALSE)," non répertoriées")</f>
        <v xml:space="preserve"> non répertoriées</v>
      </c>
      <c r="J866">
        <f>IFERROR(VLOOKUP(B866,'logos transformer '!A:B,2,FALSE),"na")</f>
        <v>1</v>
      </c>
      <c r="K866">
        <f>IFERROR(VLOOKUP(B866,'logos transformer '!A:C,3,FALSE),"na")</f>
        <v>62</v>
      </c>
      <c r="L866" s="1">
        <f>IFERROR(VLOOKUP(B866,'logos transformer '!A:D,4,FALSE),"na")</f>
        <v>45203.425694444442</v>
      </c>
    </row>
    <row r="867" spans="1:12" x14ac:dyDescent="0.3">
      <c r="A867" s="1">
        <v>45206.572222222218</v>
      </c>
      <c r="B867" t="s">
        <v>347</v>
      </c>
      <c r="C867">
        <v>10</v>
      </c>
      <c r="D867" t="s">
        <v>5</v>
      </c>
      <c r="E867" t="str">
        <f>IFERROR(VLOOKUP(logos[[#This Row],[Cell_ID]],'registe maintenance'!A:B,2,FALSE)," non répertoriées")</f>
        <v xml:space="preserve"> non répertoriées</v>
      </c>
      <c r="F867" t="str">
        <f>IFERROR(VLOOKUP(logos[[#This Row],[Cell_ID]],'registe maintenance'!A:C,3,FALSE)," non répertoriées")</f>
        <v xml:space="preserve"> non répertoriées</v>
      </c>
      <c r="G867" t="str">
        <f>IFERROR(VLOOKUP(logos[[#This Row],[Cell_ID]],'registe maintenance'!A:D,4,FALSE)," non répertoriées")</f>
        <v xml:space="preserve"> non répertoriées</v>
      </c>
      <c r="H867" t="str">
        <f>IFERROR(VLOOKUP(logos[[#This Row],[Cell_ID]],'registe maintenance'!A:E,5,FALSE)," non répertoriées")</f>
        <v xml:space="preserve"> non répertoriées</v>
      </c>
      <c r="I867" t="str">
        <f>IFERROR(VLOOKUP(logos[[#This Row],[Cell_ID]],'registe maintenance'!A:F,6,FALSE)," non répertoriées")</f>
        <v xml:space="preserve"> non répertoriées</v>
      </c>
      <c r="J867">
        <f>IFERROR(VLOOKUP(B867,'logos transformer '!A:B,2,FALSE),"na")</f>
        <v>2</v>
      </c>
      <c r="K867">
        <f>IFERROR(VLOOKUP(B867,'logos transformer '!A:C,3,FALSE),"na")</f>
        <v>72</v>
      </c>
      <c r="L867" s="1">
        <f>IFERROR(VLOOKUP(B867,'logos transformer '!A:D,4,FALSE),"na")</f>
        <v>45226.729166666664</v>
      </c>
    </row>
    <row r="868" spans="1:12" x14ac:dyDescent="0.3">
      <c r="A868" s="1">
        <v>45217.999305555553</v>
      </c>
      <c r="B868" t="s">
        <v>303</v>
      </c>
      <c r="C868">
        <v>38</v>
      </c>
      <c r="D868" t="s">
        <v>8</v>
      </c>
      <c r="E868" t="str">
        <f>IFERROR(VLOOKUP(logos[[#This Row],[Cell_ID]],'registe maintenance'!A:B,2,FALSE)," non répertoriées")</f>
        <v>Lualaba</v>
      </c>
      <c r="F868">
        <f>IFERROR(VLOOKUP(logos[[#This Row],[Cell_ID]],'registe maintenance'!A:C,3,FALSE)," non répertoriées")</f>
        <v>-10.967288</v>
      </c>
      <c r="G868">
        <f>IFERROR(VLOOKUP(logos[[#This Row],[Cell_ID]],'registe maintenance'!A:D,4,FALSE)," non répertoriées")</f>
        <v>17.617781000000001</v>
      </c>
      <c r="H868" t="str">
        <f>IFERROR(VLOOKUP(logos[[#This Row],[Cell_ID]],'registe maintenance'!A:E,5,FALSE)," non répertoriées")</f>
        <v>4G</v>
      </c>
      <c r="I868" t="str">
        <f>IFERROR(VLOOKUP(logos[[#This Row],[Cell_ID]],'registe maintenance'!A:F,6,FALSE)," non répertoriées")</f>
        <v>Ericsson</v>
      </c>
      <c r="J868">
        <f>IFERROR(VLOOKUP(B868,'logos transformer '!A:B,2,FALSE),"na")</f>
        <v>3</v>
      </c>
      <c r="K868">
        <f>IFERROR(VLOOKUP(B868,'logos transformer '!A:C,3,FALSE),"na")</f>
        <v>133</v>
      </c>
      <c r="L868" s="1">
        <f>IFERROR(VLOOKUP(B868,'logos transformer '!A:D,4,FALSE),"na")</f>
        <v>45229.39166666667</v>
      </c>
    </row>
    <row r="869" spans="1:12" x14ac:dyDescent="0.3">
      <c r="A869" s="1">
        <v>45223.719444444447</v>
      </c>
      <c r="B869" t="s">
        <v>298</v>
      </c>
      <c r="C869">
        <v>61</v>
      </c>
      <c r="D869" t="s">
        <v>8</v>
      </c>
      <c r="E869" t="str">
        <f>IFERROR(VLOOKUP(logos[[#This Row],[Cell_ID]],'registe maintenance'!A:B,2,FALSE)," non répertoriées")</f>
        <v xml:space="preserve"> non répertoriées</v>
      </c>
      <c r="F869" t="str">
        <f>IFERROR(VLOOKUP(logos[[#This Row],[Cell_ID]],'registe maintenance'!A:C,3,FALSE)," non répertoriées")</f>
        <v xml:space="preserve"> non répertoriées</v>
      </c>
      <c r="G869" t="str">
        <f>IFERROR(VLOOKUP(logos[[#This Row],[Cell_ID]],'registe maintenance'!A:D,4,FALSE)," non répertoriées")</f>
        <v xml:space="preserve"> non répertoriées</v>
      </c>
      <c r="H869" t="str">
        <f>IFERROR(VLOOKUP(logos[[#This Row],[Cell_ID]],'registe maintenance'!A:E,5,FALSE)," non répertoriées")</f>
        <v xml:space="preserve"> non répertoriées</v>
      </c>
      <c r="I869" t="str">
        <f>IFERROR(VLOOKUP(logos[[#This Row],[Cell_ID]],'registe maintenance'!A:F,6,FALSE)," non répertoriées")</f>
        <v xml:space="preserve"> non répertoriées</v>
      </c>
      <c r="J869">
        <f>IFERROR(VLOOKUP(B869,'logos transformer '!A:B,2,FALSE),"na")</f>
        <v>2</v>
      </c>
      <c r="K869">
        <f>IFERROR(VLOOKUP(B869,'logos transformer '!A:C,3,FALSE),"na")</f>
        <v>164</v>
      </c>
      <c r="L869" s="1">
        <f>IFERROR(VLOOKUP(B869,'logos transformer '!A:D,4,FALSE),"na")</f>
        <v>45230.061111111114</v>
      </c>
    </row>
    <row r="870" spans="1:12" x14ac:dyDescent="0.3">
      <c r="A870" s="1">
        <v>45221.388194444437</v>
      </c>
      <c r="B870" t="s">
        <v>583</v>
      </c>
      <c r="C870">
        <v>64</v>
      </c>
      <c r="D870" t="s">
        <v>8</v>
      </c>
      <c r="E870" t="str">
        <f>IFERROR(VLOOKUP(logos[[#This Row],[Cell_ID]],'registe maintenance'!A:B,2,FALSE)," non répertoriées")</f>
        <v>Tshopo</v>
      </c>
      <c r="F870">
        <f>IFERROR(VLOOKUP(logos[[#This Row],[Cell_ID]],'registe maintenance'!A:C,3,FALSE)," non répertoriées")</f>
        <v>-12.070842000000001</v>
      </c>
      <c r="G870">
        <f>IFERROR(VLOOKUP(logos[[#This Row],[Cell_ID]],'registe maintenance'!A:D,4,FALSE)," non répertoriées")</f>
        <v>14.757847</v>
      </c>
      <c r="H870" t="str">
        <f>IFERROR(VLOOKUP(logos[[#This Row],[Cell_ID]],'registe maintenance'!A:E,5,FALSE)," non répertoriées")</f>
        <v>4G</v>
      </c>
      <c r="I870" t="str">
        <f>IFERROR(VLOOKUP(logos[[#This Row],[Cell_ID]],'registe maintenance'!A:F,6,FALSE)," non répertoriées")</f>
        <v>ZTE</v>
      </c>
      <c r="J870">
        <f>IFERROR(VLOOKUP(B870,'logos transformer '!A:B,2,FALSE),"na")</f>
        <v>1</v>
      </c>
      <c r="K870">
        <f>IFERROR(VLOOKUP(B870,'logos transformer '!A:C,3,FALSE),"na")</f>
        <v>64</v>
      </c>
      <c r="L870" s="1">
        <f>IFERROR(VLOOKUP(B870,'logos transformer '!A:D,4,FALSE),"na")</f>
        <v>45221.388194444444</v>
      </c>
    </row>
    <row r="871" spans="1:12" x14ac:dyDescent="0.3">
      <c r="A871" s="1">
        <v>45207.127083333333</v>
      </c>
      <c r="B871" t="s">
        <v>139</v>
      </c>
      <c r="C871">
        <v>38</v>
      </c>
      <c r="D871" t="s">
        <v>5</v>
      </c>
      <c r="E871" t="str">
        <f>IFERROR(VLOOKUP(logos[[#This Row],[Cell_ID]],'registe maintenance'!A:B,2,FALSE)," non répertoriées")</f>
        <v>Kwilu</v>
      </c>
      <c r="F871">
        <f>IFERROR(VLOOKUP(logos[[#This Row],[Cell_ID]],'registe maintenance'!A:C,3,FALSE)," non répertoriées")</f>
        <v>-8.5675749999999997</v>
      </c>
      <c r="G871">
        <f>IFERROR(VLOOKUP(logos[[#This Row],[Cell_ID]],'registe maintenance'!A:D,4,FALSE)," non répertoriées")</f>
        <v>26.994581</v>
      </c>
      <c r="H871" t="str">
        <f>IFERROR(VLOOKUP(logos[[#This Row],[Cell_ID]],'registe maintenance'!A:E,5,FALSE)," non répertoriées")</f>
        <v>3G</v>
      </c>
      <c r="I871" t="str">
        <f>IFERROR(VLOOKUP(logos[[#This Row],[Cell_ID]],'registe maintenance'!A:F,6,FALSE)," non répertoriées")</f>
        <v>Nokia</v>
      </c>
      <c r="J871">
        <f>IFERROR(VLOOKUP(B871,'logos transformer '!A:B,2,FALSE),"na")</f>
        <v>3</v>
      </c>
      <c r="K871">
        <f>IFERROR(VLOOKUP(B871,'logos transformer '!A:C,3,FALSE),"na")</f>
        <v>183</v>
      </c>
      <c r="L871" s="1">
        <f>IFERROR(VLOOKUP(B871,'logos transformer '!A:D,4,FALSE),"na")</f>
        <v>45217.473611111112</v>
      </c>
    </row>
    <row r="872" spans="1:12" x14ac:dyDescent="0.3">
      <c r="A872" s="1">
        <v>45212.774305555547</v>
      </c>
      <c r="B872" t="s">
        <v>584</v>
      </c>
      <c r="C872">
        <v>33</v>
      </c>
      <c r="D872" t="s">
        <v>5</v>
      </c>
      <c r="E872" t="str">
        <f>IFERROR(VLOOKUP(logos[[#This Row],[Cell_ID]],'registe maintenance'!A:B,2,FALSE)," non répertoriées")</f>
        <v xml:space="preserve"> non répertoriées</v>
      </c>
      <c r="F872" t="str">
        <f>IFERROR(VLOOKUP(logos[[#This Row],[Cell_ID]],'registe maintenance'!A:C,3,FALSE)," non répertoriées")</f>
        <v xml:space="preserve"> non répertoriées</v>
      </c>
      <c r="G872" t="str">
        <f>IFERROR(VLOOKUP(logos[[#This Row],[Cell_ID]],'registe maintenance'!A:D,4,FALSE)," non répertoriées")</f>
        <v xml:space="preserve"> non répertoriées</v>
      </c>
      <c r="H872" t="str">
        <f>IFERROR(VLOOKUP(logos[[#This Row],[Cell_ID]],'registe maintenance'!A:E,5,FALSE)," non répertoriées")</f>
        <v xml:space="preserve"> non répertoriées</v>
      </c>
      <c r="I872" t="str">
        <f>IFERROR(VLOOKUP(logos[[#This Row],[Cell_ID]],'registe maintenance'!A:F,6,FALSE)," non répertoriées")</f>
        <v xml:space="preserve"> non répertoriées</v>
      </c>
      <c r="J872">
        <f>IFERROR(VLOOKUP(B872,'logos transformer '!A:B,2,FALSE),"na")</f>
        <v>1</v>
      </c>
      <c r="K872">
        <f>IFERROR(VLOOKUP(B872,'logos transformer '!A:C,3,FALSE),"na")</f>
        <v>33</v>
      </c>
      <c r="L872" s="1">
        <f>IFERROR(VLOOKUP(B872,'logos transformer '!A:D,4,FALSE),"na")</f>
        <v>45212.774305555555</v>
      </c>
    </row>
    <row r="873" spans="1:12" x14ac:dyDescent="0.3">
      <c r="A873" s="1">
        <v>45226.631249999999</v>
      </c>
      <c r="B873" t="s">
        <v>585</v>
      </c>
      <c r="C873">
        <v>112</v>
      </c>
      <c r="D873" t="s">
        <v>8</v>
      </c>
      <c r="E873" t="str">
        <f>IFERROR(VLOOKUP(logos[[#This Row],[Cell_ID]],'registe maintenance'!A:B,2,FALSE)," non répertoriées")</f>
        <v xml:space="preserve"> non répertoriées</v>
      </c>
      <c r="F873" t="str">
        <f>IFERROR(VLOOKUP(logos[[#This Row],[Cell_ID]],'registe maintenance'!A:C,3,FALSE)," non répertoriées")</f>
        <v xml:space="preserve"> non répertoriées</v>
      </c>
      <c r="G873" t="str">
        <f>IFERROR(VLOOKUP(logos[[#This Row],[Cell_ID]],'registe maintenance'!A:D,4,FALSE)," non répertoriées")</f>
        <v xml:space="preserve"> non répertoriées</v>
      </c>
      <c r="H873" t="str">
        <f>IFERROR(VLOOKUP(logos[[#This Row],[Cell_ID]],'registe maintenance'!A:E,5,FALSE)," non répertoriées")</f>
        <v xml:space="preserve"> non répertoriées</v>
      </c>
      <c r="I873" t="str">
        <f>IFERROR(VLOOKUP(logos[[#This Row],[Cell_ID]],'registe maintenance'!A:F,6,FALSE)," non répertoriées")</f>
        <v xml:space="preserve"> non répertoriées</v>
      </c>
      <c r="J873">
        <f>IFERROR(VLOOKUP(B873,'logos transformer '!A:B,2,FALSE),"na")</f>
        <v>1</v>
      </c>
      <c r="K873">
        <f>IFERROR(VLOOKUP(B873,'logos transformer '!A:C,3,FALSE),"na")</f>
        <v>112</v>
      </c>
      <c r="L873" s="1">
        <f>IFERROR(VLOOKUP(B873,'logos transformer '!A:D,4,FALSE),"na")</f>
        <v>45226.631249999999</v>
      </c>
    </row>
    <row r="874" spans="1:12" x14ac:dyDescent="0.3">
      <c r="A874" s="1">
        <v>45208.52847222222</v>
      </c>
      <c r="B874" t="s">
        <v>179</v>
      </c>
      <c r="C874">
        <v>33</v>
      </c>
      <c r="D874" t="s">
        <v>8</v>
      </c>
      <c r="E874" t="str">
        <f>IFERROR(VLOOKUP(logos[[#This Row],[Cell_ID]],'registe maintenance'!A:B,2,FALSE)," non répertoriées")</f>
        <v>Lualaba</v>
      </c>
      <c r="F874">
        <f>IFERROR(VLOOKUP(logos[[#This Row],[Cell_ID]],'registe maintenance'!A:C,3,FALSE)," non répertoriées")</f>
        <v>-10.872631999999999</v>
      </c>
      <c r="G874">
        <f>IFERROR(VLOOKUP(logos[[#This Row],[Cell_ID]],'registe maintenance'!A:D,4,FALSE)," non répertoriées")</f>
        <v>12.773279</v>
      </c>
      <c r="H874" t="str">
        <f>IFERROR(VLOOKUP(logos[[#This Row],[Cell_ID]],'registe maintenance'!A:E,5,FALSE)," non répertoriées")</f>
        <v>3G</v>
      </c>
      <c r="I874" t="str">
        <f>IFERROR(VLOOKUP(logos[[#This Row],[Cell_ID]],'registe maintenance'!A:F,6,FALSE)," non répertoriées")</f>
        <v>ZTE</v>
      </c>
      <c r="J874">
        <f>IFERROR(VLOOKUP(B874,'logos transformer '!A:B,2,FALSE),"na")</f>
        <v>3</v>
      </c>
      <c r="K874">
        <f>IFERROR(VLOOKUP(B874,'logos transformer '!A:C,3,FALSE),"na")</f>
        <v>163</v>
      </c>
      <c r="L874" s="1">
        <f>IFERROR(VLOOKUP(B874,'logos transformer '!A:D,4,FALSE),"na")</f>
        <v>45209.898611111108</v>
      </c>
    </row>
    <row r="875" spans="1:12" x14ac:dyDescent="0.3">
      <c r="A875" s="1">
        <v>45215.776388888888</v>
      </c>
      <c r="B875" t="s">
        <v>586</v>
      </c>
      <c r="C875">
        <v>87</v>
      </c>
      <c r="D875" t="s">
        <v>10</v>
      </c>
      <c r="E875" t="str">
        <f>IFERROR(VLOOKUP(logos[[#This Row],[Cell_ID]],'registe maintenance'!A:B,2,FALSE)," non répertoriées")</f>
        <v>Kasai</v>
      </c>
      <c r="F875">
        <f>IFERROR(VLOOKUP(logos[[#This Row],[Cell_ID]],'registe maintenance'!A:C,3,FALSE)," non répertoriées")</f>
        <v>2.5665840000000002</v>
      </c>
      <c r="G875">
        <f>IFERROR(VLOOKUP(logos[[#This Row],[Cell_ID]],'registe maintenance'!A:D,4,FALSE)," non répertoriées")</f>
        <v>15.764796</v>
      </c>
      <c r="H875" t="str">
        <f>IFERROR(VLOOKUP(logos[[#This Row],[Cell_ID]],'registe maintenance'!A:E,5,FALSE)," non répertoriées")</f>
        <v>3G</v>
      </c>
      <c r="I875" t="str">
        <f>IFERROR(VLOOKUP(logos[[#This Row],[Cell_ID]],'registe maintenance'!A:F,6,FALSE)," non répertoriées")</f>
        <v>ZTE</v>
      </c>
      <c r="J875">
        <f>IFERROR(VLOOKUP(B875,'logos transformer '!A:B,2,FALSE),"na")</f>
        <v>1</v>
      </c>
      <c r="K875">
        <f>IFERROR(VLOOKUP(B875,'logos transformer '!A:C,3,FALSE),"na")</f>
        <v>87</v>
      </c>
      <c r="L875" s="1">
        <f>IFERROR(VLOOKUP(B875,'logos transformer '!A:D,4,FALSE),"na")</f>
        <v>45215.776388888888</v>
      </c>
    </row>
    <row r="876" spans="1:12" x14ac:dyDescent="0.3">
      <c r="A876" s="1">
        <v>45215.049305555563</v>
      </c>
      <c r="B876" t="s">
        <v>446</v>
      </c>
      <c r="C876">
        <v>33</v>
      </c>
      <c r="D876" t="s">
        <v>8</v>
      </c>
      <c r="E876" t="str">
        <f>IFERROR(VLOOKUP(logos[[#This Row],[Cell_ID]],'registe maintenance'!A:B,2,FALSE)," non répertoriées")</f>
        <v>Maniema</v>
      </c>
      <c r="F876">
        <f>IFERROR(VLOOKUP(logos[[#This Row],[Cell_ID]],'registe maintenance'!A:C,3,FALSE)," non répertoriées")</f>
        <v>2.5458379999999998</v>
      </c>
      <c r="G876">
        <f>IFERROR(VLOOKUP(logos[[#This Row],[Cell_ID]],'registe maintenance'!A:D,4,FALSE)," non répertoriées")</f>
        <v>13.308655</v>
      </c>
      <c r="H876" t="str">
        <f>IFERROR(VLOOKUP(logos[[#This Row],[Cell_ID]],'registe maintenance'!A:E,5,FALSE)," non répertoriées")</f>
        <v>5G</v>
      </c>
      <c r="I876" t="str">
        <f>IFERROR(VLOOKUP(logos[[#This Row],[Cell_ID]],'registe maintenance'!A:F,6,FALSE)," non répertoriées")</f>
        <v>ZTE</v>
      </c>
      <c r="J876">
        <f>IFERROR(VLOOKUP(B876,'logos transformer '!A:B,2,FALSE),"na")</f>
        <v>2</v>
      </c>
      <c r="K876">
        <f>IFERROR(VLOOKUP(B876,'logos transformer '!A:C,3,FALSE),"na")</f>
        <v>57</v>
      </c>
      <c r="L876" s="1">
        <f>IFERROR(VLOOKUP(B876,'logos transformer '!A:D,4,FALSE),"na")</f>
        <v>45215.587500000001</v>
      </c>
    </row>
    <row r="877" spans="1:12" x14ac:dyDescent="0.3">
      <c r="A877" s="1">
        <v>45208.506249999999</v>
      </c>
      <c r="B877" t="s">
        <v>587</v>
      </c>
      <c r="C877">
        <v>91</v>
      </c>
      <c r="D877" t="s">
        <v>10</v>
      </c>
      <c r="E877" t="str">
        <f>IFERROR(VLOOKUP(logos[[#This Row],[Cell_ID]],'registe maintenance'!A:B,2,FALSE)," non répertoriées")</f>
        <v xml:space="preserve"> non répertoriées</v>
      </c>
      <c r="F877" t="str">
        <f>IFERROR(VLOOKUP(logos[[#This Row],[Cell_ID]],'registe maintenance'!A:C,3,FALSE)," non répertoriées")</f>
        <v xml:space="preserve"> non répertoriées</v>
      </c>
      <c r="G877" t="str">
        <f>IFERROR(VLOOKUP(logos[[#This Row],[Cell_ID]],'registe maintenance'!A:D,4,FALSE)," non répertoriées")</f>
        <v xml:space="preserve"> non répertoriées</v>
      </c>
      <c r="H877" t="str">
        <f>IFERROR(VLOOKUP(logos[[#This Row],[Cell_ID]],'registe maintenance'!A:E,5,FALSE)," non répertoriées")</f>
        <v xml:space="preserve"> non répertoriées</v>
      </c>
      <c r="I877" t="str">
        <f>IFERROR(VLOOKUP(logos[[#This Row],[Cell_ID]],'registe maintenance'!A:F,6,FALSE)," non répertoriées")</f>
        <v xml:space="preserve"> non répertoriées</v>
      </c>
      <c r="J877">
        <f>IFERROR(VLOOKUP(B877,'logos transformer '!A:B,2,FALSE),"na")</f>
        <v>2</v>
      </c>
      <c r="K877">
        <f>IFERROR(VLOOKUP(B877,'logos transformer '!A:C,3,FALSE),"na")</f>
        <v>183</v>
      </c>
      <c r="L877" s="1">
        <f>IFERROR(VLOOKUP(B877,'logos transformer '!A:D,4,FALSE),"na")</f>
        <v>45228.518055555556</v>
      </c>
    </row>
    <row r="878" spans="1:12" x14ac:dyDescent="0.3">
      <c r="A878" s="1">
        <v>45219.821527777778</v>
      </c>
      <c r="B878" t="s">
        <v>495</v>
      </c>
      <c r="C878">
        <v>31</v>
      </c>
      <c r="D878" t="s">
        <v>8</v>
      </c>
      <c r="E878" t="str">
        <f>IFERROR(VLOOKUP(logos[[#This Row],[Cell_ID]],'registe maintenance'!A:B,2,FALSE)," non répertoriées")</f>
        <v xml:space="preserve"> non répertoriées</v>
      </c>
      <c r="F878" t="str">
        <f>IFERROR(VLOOKUP(logos[[#This Row],[Cell_ID]],'registe maintenance'!A:C,3,FALSE)," non répertoriées")</f>
        <v xml:space="preserve"> non répertoriées</v>
      </c>
      <c r="G878" t="str">
        <f>IFERROR(VLOOKUP(logos[[#This Row],[Cell_ID]],'registe maintenance'!A:D,4,FALSE)," non répertoriées")</f>
        <v xml:space="preserve"> non répertoriées</v>
      </c>
      <c r="H878" t="str">
        <f>IFERROR(VLOOKUP(logos[[#This Row],[Cell_ID]],'registe maintenance'!A:E,5,FALSE)," non répertoriées")</f>
        <v xml:space="preserve"> non répertoriées</v>
      </c>
      <c r="I878" t="str">
        <f>IFERROR(VLOOKUP(logos[[#This Row],[Cell_ID]],'registe maintenance'!A:F,6,FALSE)," non répertoriées")</f>
        <v xml:space="preserve"> non répertoriées</v>
      </c>
      <c r="J878">
        <f>IFERROR(VLOOKUP(B878,'logos transformer '!A:B,2,FALSE),"na")</f>
        <v>2</v>
      </c>
      <c r="K878">
        <f>IFERROR(VLOOKUP(B878,'logos transformer '!A:C,3,FALSE),"na")</f>
        <v>123</v>
      </c>
      <c r="L878" s="1">
        <f>IFERROR(VLOOKUP(B878,'logos transformer '!A:D,4,FALSE),"na")</f>
        <v>45219.821527777778</v>
      </c>
    </row>
    <row r="879" spans="1:12" x14ac:dyDescent="0.3">
      <c r="A879" s="1">
        <v>45222.501388888893</v>
      </c>
      <c r="B879" t="s">
        <v>588</v>
      </c>
      <c r="C879">
        <v>39</v>
      </c>
      <c r="D879" t="s">
        <v>5</v>
      </c>
      <c r="E879" t="str">
        <f>IFERROR(VLOOKUP(logos[[#This Row],[Cell_ID]],'registe maintenance'!A:B,2,FALSE)," non répertoriées")</f>
        <v>Haut-Lomami</v>
      </c>
      <c r="F879">
        <f>IFERROR(VLOOKUP(logos[[#This Row],[Cell_ID]],'registe maintenance'!A:C,3,FALSE)," non répertoriées")</f>
        <v>-11.89448</v>
      </c>
      <c r="G879">
        <f>IFERROR(VLOOKUP(logos[[#This Row],[Cell_ID]],'registe maintenance'!A:D,4,FALSE)," non répertoriées")</f>
        <v>19.216214999999998</v>
      </c>
      <c r="H879" t="str">
        <f>IFERROR(VLOOKUP(logos[[#This Row],[Cell_ID]],'registe maintenance'!A:E,5,FALSE)," non répertoriées")</f>
        <v>3G</v>
      </c>
      <c r="I879" t="str">
        <f>IFERROR(VLOOKUP(logos[[#This Row],[Cell_ID]],'registe maintenance'!A:F,6,FALSE)," non répertoriées")</f>
        <v>ZTE</v>
      </c>
      <c r="J879">
        <f>IFERROR(VLOOKUP(B879,'logos transformer '!A:B,2,FALSE),"na")</f>
        <v>1</v>
      </c>
      <c r="K879">
        <f>IFERROR(VLOOKUP(B879,'logos transformer '!A:C,3,FALSE),"na")</f>
        <v>39</v>
      </c>
      <c r="L879" s="1">
        <f>IFERROR(VLOOKUP(B879,'logos transformer '!A:D,4,FALSE),"na")</f>
        <v>45222.501388888886</v>
      </c>
    </row>
    <row r="880" spans="1:12" x14ac:dyDescent="0.3">
      <c r="A880" s="1">
        <v>45212.447222222218</v>
      </c>
      <c r="B880" t="s">
        <v>486</v>
      </c>
      <c r="C880">
        <v>88</v>
      </c>
      <c r="D880" t="s">
        <v>8</v>
      </c>
      <c r="E880" t="str">
        <f>IFERROR(VLOOKUP(logos[[#This Row],[Cell_ID]],'registe maintenance'!A:B,2,FALSE)," non répertoriées")</f>
        <v>Kwilu</v>
      </c>
      <c r="F880">
        <f>IFERROR(VLOOKUP(logos[[#This Row],[Cell_ID]],'registe maintenance'!A:C,3,FALSE)," non répertoriées")</f>
        <v>-7.402336</v>
      </c>
      <c r="G880">
        <f>IFERROR(VLOOKUP(logos[[#This Row],[Cell_ID]],'registe maintenance'!A:D,4,FALSE)," non répertoriées")</f>
        <v>27.376697</v>
      </c>
      <c r="H880" t="str">
        <f>IFERROR(VLOOKUP(logos[[#This Row],[Cell_ID]],'registe maintenance'!A:E,5,FALSE)," non répertoriées")</f>
        <v>4G</v>
      </c>
      <c r="I880" t="str">
        <f>IFERROR(VLOOKUP(logos[[#This Row],[Cell_ID]],'registe maintenance'!A:F,6,FALSE)," non répertoriées")</f>
        <v>Huawei</v>
      </c>
      <c r="J880">
        <f>IFERROR(VLOOKUP(B880,'logos transformer '!A:B,2,FALSE),"na")</f>
        <v>3</v>
      </c>
      <c r="K880">
        <f>IFERROR(VLOOKUP(B880,'logos transformer '!A:C,3,FALSE),"na")</f>
        <v>127</v>
      </c>
      <c r="L880" s="1">
        <f>IFERROR(VLOOKUP(B880,'logos transformer '!A:D,4,FALSE),"na")</f>
        <v>45212.447222222225</v>
      </c>
    </row>
    <row r="881" spans="1:12" x14ac:dyDescent="0.3">
      <c r="A881" s="1">
        <v>45207.074305555558</v>
      </c>
      <c r="B881" t="s">
        <v>543</v>
      </c>
      <c r="C881">
        <v>57</v>
      </c>
      <c r="D881" t="s">
        <v>5</v>
      </c>
      <c r="E881" t="str">
        <f>IFERROR(VLOOKUP(logos[[#This Row],[Cell_ID]],'registe maintenance'!A:B,2,FALSE)," non répertoriées")</f>
        <v>Kongo-Central</v>
      </c>
      <c r="F881">
        <f>IFERROR(VLOOKUP(logos[[#This Row],[Cell_ID]],'registe maintenance'!A:C,3,FALSE)," non répertoriées")</f>
        <v>-7.1587569999999996</v>
      </c>
      <c r="G881">
        <f>IFERROR(VLOOKUP(logos[[#This Row],[Cell_ID]],'registe maintenance'!A:D,4,FALSE)," non répertoriées")</f>
        <v>18.975141000000001</v>
      </c>
      <c r="H881" t="str">
        <f>IFERROR(VLOOKUP(logos[[#This Row],[Cell_ID]],'registe maintenance'!A:E,5,FALSE)," non répertoriées")</f>
        <v>5G</v>
      </c>
      <c r="I881" t="str">
        <f>IFERROR(VLOOKUP(logos[[#This Row],[Cell_ID]],'registe maintenance'!A:F,6,FALSE)," non répertoriées")</f>
        <v>Ericsson</v>
      </c>
      <c r="J881">
        <f>IFERROR(VLOOKUP(B881,'logos transformer '!A:B,2,FALSE),"na")</f>
        <v>3</v>
      </c>
      <c r="K881">
        <f>IFERROR(VLOOKUP(B881,'logos transformer '!A:C,3,FALSE),"na")</f>
        <v>266</v>
      </c>
      <c r="L881" s="1">
        <f>IFERROR(VLOOKUP(B881,'logos transformer '!A:D,4,FALSE),"na")</f>
        <v>45219.569444444445</v>
      </c>
    </row>
    <row r="882" spans="1:12" x14ac:dyDescent="0.3">
      <c r="A882" s="1">
        <v>45215.372916666667</v>
      </c>
      <c r="B882" t="s">
        <v>269</v>
      </c>
      <c r="C882">
        <v>70</v>
      </c>
      <c r="D882" t="s">
        <v>8</v>
      </c>
      <c r="E882" t="str">
        <f>IFERROR(VLOOKUP(logos[[#This Row],[Cell_ID]],'registe maintenance'!A:B,2,FALSE)," non répertoriées")</f>
        <v>Kongo-Central</v>
      </c>
      <c r="F882">
        <f>IFERROR(VLOOKUP(logos[[#This Row],[Cell_ID]],'registe maintenance'!A:C,3,FALSE)," non répertoriées")</f>
        <v>-12.112399999999999</v>
      </c>
      <c r="G882">
        <f>IFERROR(VLOOKUP(logos[[#This Row],[Cell_ID]],'registe maintenance'!A:D,4,FALSE)," non répertoriées")</f>
        <v>15.872226</v>
      </c>
      <c r="H882" t="str">
        <f>IFERROR(VLOOKUP(logos[[#This Row],[Cell_ID]],'registe maintenance'!A:E,5,FALSE)," non répertoriées")</f>
        <v>4G</v>
      </c>
      <c r="I882" t="str">
        <f>IFERROR(VLOOKUP(logos[[#This Row],[Cell_ID]],'registe maintenance'!A:F,6,FALSE)," non répertoriées")</f>
        <v>Nokia</v>
      </c>
      <c r="J882">
        <f>IFERROR(VLOOKUP(B882,'logos transformer '!A:B,2,FALSE),"na")</f>
        <v>4</v>
      </c>
      <c r="K882">
        <f>IFERROR(VLOOKUP(B882,'logos transformer '!A:C,3,FALSE),"na")</f>
        <v>237</v>
      </c>
      <c r="L882" s="1">
        <f>IFERROR(VLOOKUP(B882,'logos transformer '!A:D,4,FALSE),"na")</f>
        <v>45220.847916666666</v>
      </c>
    </row>
    <row r="883" spans="1:12" x14ac:dyDescent="0.3">
      <c r="A883" s="1">
        <v>45211.01458333333</v>
      </c>
      <c r="B883" t="s">
        <v>589</v>
      </c>
      <c r="C883">
        <v>7</v>
      </c>
      <c r="D883" t="s">
        <v>10</v>
      </c>
      <c r="E883" t="str">
        <f>IFERROR(VLOOKUP(logos[[#This Row],[Cell_ID]],'registe maintenance'!A:B,2,FALSE)," non répertoriées")</f>
        <v xml:space="preserve"> non répertoriées</v>
      </c>
      <c r="F883" t="str">
        <f>IFERROR(VLOOKUP(logos[[#This Row],[Cell_ID]],'registe maintenance'!A:C,3,FALSE)," non répertoriées")</f>
        <v xml:space="preserve"> non répertoriées</v>
      </c>
      <c r="G883" t="str">
        <f>IFERROR(VLOOKUP(logos[[#This Row],[Cell_ID]],'registe maintenance'!A:D,4,FALSE)," non répertoriées")</f>
        <v xml:space="preserve"> non répertoriées</v>
      </c>
      <c r="H883" t="str">
        <f>IFERROR(VLOOKUP(logos[[#This Row],[Cell_ID]],'registe maintenance'!A:E,5,FALSE)," non répertoriées")</f>
        <v xml:space="preserve"> non répertoriées</v>
      </c>
      <c r="I883" t="str">
        <f>IFERROR(VLOOKUP(logos[[#This Row],[Cell_ID]],'registe maintenance'!A:F,6,FALSE)," non répertoriées")</f>
        <v xml:space="preserve"> non répertoriées</v>
      </c>
      <c r="J883">
        <f>IFERROR(VLOOKUP(B883,'logos transformer '!A:B,2,FALSE),"na")</f>
        <v>2</v>
      </c>
      <c r="K883">
        <f>IFERROR(VLOOKUP(B883,'logos transformer '!A:C,3,FALSE),"na")</f>
        <v>94</v>
      </c>
      <c r="L883" s="1">
        <f>IFERROR(VLOOKUP(B883,'logos transformer '!A:D,4,FALSE),"na")</f>
        <v>45230.90625</v>
      </c>
    </row>
    <row r="884" spans="1:12" x14ac:dyDescent="0.3">
      <c r="A884" s="1">
        <v>45226.388194444437</v>
      </c>
      <c r="B884" t="s">
        <v>590</v>
      </c>
      <c r="C884">
        <v>115</v>
      </c>
      <c r="D884" t="s">
        <v>10</v>
      </c>
      <c r="E884" t="str">
        <f>IFERROR(VLOOKUP(logos[[#This Row],[Cell_ID]],'registe maintenance'!A:B,2,FALSE)," non répertoriées")</f>
        <v xml:space="preserve"> non répertoriées</v>
      </c>
      <c r="F884" t="str">
        <f>IFERROR(VLOOKUP(logos[[#This Row],[Cell_ID]],'registe maintenance'!A:C,3,FALSE)," non répertoriées")</f>
        <v xml:space="preserve"> non répertoriées</v>
      </c>
      <c r="G884" t="str">
        <f>IFERROR(VLOOKUP(logos[[#This Row],[Cell_ID]],'registe maintenance'!A:D,4,FALSE)," non répertoriées")</f>
        <v xml:space="preserve"> non répertoriées</v>
      </c>
      <c r="H884" t="str">
        <f>IFERROR(VLOOKUP(logos[[#This Row],[Cell_ID]],'registe maintenance'!A:E,5,FALSE)," non répertoriées")</f>
        <v xml:space="preserve"> non répertoriées</v>
      </c>
      <c r="I884" t="str">
        <f>IFERROR(VLOOKUP(logos[[#This Row],[Cell_ID]],'registe maintenance'!A:F,6,FALSE)," non répertoriées")</f>
        <v xml:space="preserve"> non répertoriées</v>
      </c>
      <c r="J884">
        <f>IFERROR(VLOOKUP(B884,'logos transformer '!A:B,2,FALSE),"na")</f>
        <v>1</v>
      </c>
      <c r="K884">
        <f>IFERROR(VLOOKUP(B884,'logos transformer '!A:C,3,FALSE),"na")</f>
        <v>115</v>
      </c>
      <c r="L884" s="1">
        <f>IFERROR(VLOOKUP(B884,'logos transformer '!A:D,4,FALSE),"na")</f>
        <v>45226.388194444444</v>
      </c>
    </row>
    <row r="885" spans="1:12" x14ac:dyDescent="0.3">
      <c r="A885" s="1">
        <v>45208.662499999999</v>
      </c>
      <c r="B885" t="s">
        <v>591</v>
      </c>
      <c r="C885">
        <v>104</v>
      </c>
      <c r="D885" t="s">
        <v>10</v>
      </c>
      <c r="E885" t="str">
        <f>IFERROR(VLOOKUP(logos[[#This Row],[Cell_ID]],'registe maintenance'!A:B,2,FALSE)," non répertoriées")</f>
        <v xml:space="preserve"> non répertoriées</v>
      </c>
      <c r="F885" t="str">
        <f>IFERROR(VLOOKUP(logos[[#This Row],[Cell_ID]],'registe maintenance'!A:C,3,FALSE)," non répertoriées")</f>
        <v xml:space="preserve"> non répertoriées</v>
      </c>
      <c r="G885" t="str">
        <f>IFERROR(VLOOKUP(logos[[#This Row],[Cell_ID]],'registe maintenance'!A:D,4,FALSE)," non répertoriées")</f>
        <v xml:space="preserve"> non répertoriées</v>
      </c>
      <c r="H885" t="str">
        <f>IFERROR(VLOOKUP(logos[[#This Row],[Cell_ID]],'registe maintenance'!A:E,5,FALSE)," non répertoriées")</f>
        <v xml:space="preserve"> non répertoriées</v>
      </c>
      <c r="I885" t="str">
        <f>IFERROR(VLOOKUP(logos[[#This Row],[Cell_ID]],'registe maintenance'!A:F,6,FALSE)," non répertoriées")</f>
        <v xml:space="preserve"> non répertoriées</v>
      </c>
      <c r="J885">
        <f>IFERROR(VLOOKUP(B885,'logos transformer '!A:B,2,FALSE),"na")</f>
        <v>1</v>
      </c>
      <c r="K885">
        <f>IFERROR(VLOOKUP(B885,'logos transformer '!A:C,3,FALSE),"na")</f>
        <v>104</v>
      </c>
      <c r="L885" s="1">
        <f>IFERROR(VLOOKUP(B885,'logos transformer '!A:D,4,FALSE),"na")</f>
        <v>45208.662499999999</v>
      </c>
    </row>
    <row r="886" spans="1:12" x14ac:dyDescent="0.3">
      <c r="A886" s="1">
        <v>45222.879166666673</v>
      </c>
      <c r="B886" t="s">
        <v>76</v>
      </c>
      <c r="C886">
        <v>103</v>
      </c>
      <c r="D886" t="s">
        <v>10</v>
      </c>
      <c r="E886" t="str">
        <f>IFERROR(VLOOKUP(logos[[#This Row],[Cell_ID]],'registe maintenance'!A:B,2,FALSE)," non répertoriées")</f>
        <v xml:space="preserve"> non répertoriées</v>
      </c>
      <c r="F886" t="str">
        <f>IFERROR(VLOOKUP(logos[[#This Row],[Cell_ID]],'registe maintenance'!A:C,3,FALSE)," non répertoriées")</f>
        <v xml:space="preserve"> non répertoriées</v>
      </c>
      <c r="G886" t="str">
        <f>IFERROR(VLOOKUP(logos[[#This Row],[Cell_ID]],'registe maintenance'!A:D,4,FALSE)," non répertoriées")</f>
        <v xml:space="preserve"> non répertoriées</v>
      </c>
      <c r="H886" t="str">
        <f>IFERROR(VLOOKUP(logos[[#This Row],[Cell_ID]],'registe maintenance'!A:E,5,FALSE)," non répertoriées")</f>
        <v xml:space="preserve"> non répertoriées</v>
      </c>
      <c r="I886" t="str">
        <f>IFERROR(VLOOKUP(logos[[#This Row],[Cell_ID]],'registe maintenance'!A:F,6,FALSE)," non répertoriées")</f>
        <v xml:space="preserve"> non répertoriées</v>
      </c>
      <c r="J886">
        <f>IFERROR(VLOOKUP(B886,'logos transformer '!A:B,2,FALSE),"na")</f>
        <v>2</v>
      </c>
      <c r="K886">
        <f>IFERROR(VLOOKUP(B886,'logos transformer '!A:C,3,FALSE),"na")</f>
        <v>146</v>
      </c>
      <c r="L886" s="1">
        <f>IFERROR(VLOOKUP(B886,'logos transformer '!A:D,4,FALSE),"na")</f>
        <v>45223.710416666669</v>
      </c>
    </row>
    <row r="887" spans="1:12" x14ac:dyDescent="0.3">
      <c r="A887" s="1">
        <v>45227.297222222223</v>
      </c>
      <c r="B887" t="s">
        <v>592</v>
      </c>
      <c r="C887">
        <v>92</v>
      </c>
      <c r="D887" t="s">
        <v>10</v>
      </c>
      <c r="E887" t="str">
        <f>IFERROR(VLOOKUP(logos[[#This Row],[Cell_ID]],'registe maintenance'!A:B,2,FALSE)," non répertoriées")</f>
        <v>Haut-Lomami</v>
      </c>
      <c r="F887">
        <f>IFERROR(VLOOKUP(logos[[#This Row],[Cell_ID]],'registe maintenance'!A:C,3,FALSE)," non répertoriées")</f>
        <v>-5.5559329999999996</v>
      </c>
      <c r="G887">
        <f>IFERROR(VLOOKUP(logos[[#This Row],[Cell_ID]],'registe maintenance'!A:D,4,FALSE)," non répertoriées")</f>
        <v>13.508692999999999</v>
      </c>
      <c r="H887" t="str">
        <f>IFERROR(VLOOKUP(logos[[#This Row],[Cell_ID]],'registe maintenance'!A:E,5,FALSE)," non répertoriées")</f>
        <v>3G</v>
      </c>
      <c r="I887" t="str">
        <f>IFERROR(VLOOKUP(logos[[#This Row],[Cell_ID]],'registe maintenance'!A:F,6,FALSE)," non répertoriées")</f>
        <v>Nokia</v>
      </c>
      <c r="J887">
        <f>IFERROR(VLOOKUP(B887,'logos transformer '!A:B,2,FALSE),"na")</f>
        <v>1</v>
      </c>
      <c r="K887">
        <f>IFERROR(VLOOKUP(B887,'logos transformer '!A:C,3,FALSE),"na")</f>
        <v>92</v>
      </c>
      <c r="L887" s="1">
        <f>IFERROR(VLOOKUP(B887,'logos transformer '!A:D,4,FALSE),"na")</f>
        <v>45227.297222222223</v>
      </c>
    </row>
    <row r="888" spans="1:12" x14ac:dyDescent="0.3">
      <c r="A888" s="1">
        <v>45209.977777777778</v>
      </c>
      <c r="B888" t="s">
        <v>514</v>
      </c>
      <c r="C888">
        <v>6</v>
      </c>
      <c r="D888" t="s">
        <v>10</v>
      </c>
      <c r="E888" t="str">
        <f>IFERROR(VLOOKUP(logos[[#This Row],[Cell_ID]],'registe maintenance'!A:B,2,FALSE)," non répertoriées")</f>
        <v xml:space="preserve"> non répertoriées</v>
      </c>
      <c r="F888" t="str">
        <f>IFERROR(VLOOKUP(logos[[#This Row],[Cell_ID]],'registe maintenance'!A:C,3,FALSE)," non répertoriées")</f>
        <v xml:space="preserve"> non répertoriées</v>
      </c>
      <c r="G888" t="str">
        <f>IFERROR(VLOOKUP(logos[[#This Row],[Cell_ID]],'registe maintenance'!A:D,4,FALSE)," non répertoriées")</f>
        <v xml:space="preserve"> non répertoriées</v>
      </c>
      <c r="H888" t="str">
        <f>IFERROR(VLOOKUP(logos[[#This Row],[Cell_ID]],'registe maintenance'!A:E,5,FALSE)," non répertoriées")</f>
        <v xml:space="preserve"> non répertoriées</v>
      </c>
      <c r="I888" t="str">
        <f>IFERROR(VLOOKUP(logos[[#This Row],[Cell_ID]],'registe maintenance'!A:F,6,FALSE)," non répertoriées")</f>
        <v xml:space="preserve"> non répertoriées</v>
      </c>
      <c r="J888">
        <f>IFERROR(VLOOKUP(B888,'logos transformer '!A:B,2,FALSE),"na")</f>
        <v>2</v>
      </c>
      <c r="K888">
        <f>IFERROR(VLOOKUP(B888,'logos transformer '!A:C,3,FALSE),"na")</f>
        <v>51</v>
      </c>
      <c r="L888" s="1">
        <f>IFERROR(VLOOKUP(B888,'logos transformer '!A:D,4,FALSE),"na")</f>
        <v>45218.314583333333</v>
      </c>
    </row>
    <row r="889" spans="1:12" x14ac:dyDescent="0.3">
      <c r="A889" s="1">
        <v>45224.428472222222</v>
      </c>
      <c r="B889" t="s">
        <v>26</v>
      </c>
      <c r="C889">
        <v>65</v>
      </c>
      <c r="D889" t="s">
        <v>8</v>
      </c>
      <c r="E889" t="str">
        <f>IFERROR(VLOOKUP(logos[[#This Row],[Cell_ID]],'registe maintenance'!A:B,2,FALSE)," non répertoriées")</f>
        <v>Haut-Katanga</v>
      </c>
      <c r="F889">
        <f>IFERROR(VLOOKUP(logos[[#This Row],[Cell_ID]],'registe maintenance'!A:C,3,FALSE)," non répertoriées")</f>
        <v>0.172153</v>
      </c>
      <c r="G889">
        <f>IFERROR(VLOOKUP(logos[[#This Row],[Cell_ID]],'registe maintenance'!A:D,4,FALSE)," non répertoriées")</f>
        <v>21.091376</v>
      </c>
      <c r="H889" t="str">
        <f>IFERROR(VLOOKUP(logos[[#This Row],[Cell_ID]],'registe maintenance'!A:E,5,FALSE)," non répertoriées")</f>
        <v>3G</v>
      </c>
      <c r="I889" t="str">
        <f>IFERROR(VLOOKUP(logos[[#This Row],[Cell_ID]],'registe maintenance'!A:F,6,FALSE)," non répertoriées")</f>
        <v>Ericsson</v>
      </c>
      <c r="J889">
        <f>IFERROR(VLOOKUP(B889,'logos transformer '!A:B,2,FALSE),"na")</f>
        <v>3</v>
      </c>
      <c r="K889">
        <f>IFERROR(VLOOKUP(B889,'logos transformer '!A:C,3,FALSE),"na")</f>
        <v>165</v>
      </c>
      <c r="L889" s="1">
        <f>IFERROR(VLOOKUP(B889,'logos transformer '!A:D,4,FALSE),"na")</f>
        <v>45224.428472222222</v>
      </c>
    </row>
    <row r="890" spans="1:12" x14ac:dyDescent="0.3">
      <c r="A890" s="1">
        <v>45223.568055555559</v>
      </c>
      <c r="B890" t="s">
        <v>593</v>
      </c>
      <c r="C890">
        <v>21</v>
      </c>
      <c r="D890" t="s">
        <v>5</v>
      </c>
      <c r="E890" t="str">
        <f>IFERROR(VLOOKUP(logos[[#This Row],[Cell_ID]],'registe maintenance'!A:B,2,FALSE)," non répertoriées")</f>
        <v xml:space="preserve"> non répertoriées</v>
      </c>
      <c r="F890" t="str">
        <f>IFERROR(VLOOKUP(logos[[#This Row],[Cell_ID]],'registe maintenance'!A:C,3,FALSE)," non répertoriées")</f>
        <v xml:space="preserve"> non répertoriées</v>
      </c>
      <c r="G890" t="str">
        <f>IFERROR(VLOOKUP(logos[[#This Row],[Cell_ID]],'registe maintenance'!A:D,4,FALSE)," non répertoriées")</f>
        <v xml:space="preserve"> non répertoriées</v>
      </c>
      <c r="H890" t="str">
        <f>IFERROR(VLOOKUP(logos[[#This Row],[Cell_ID]],'registe maintenance'!A:E,5,FALSE)," non répertoriées")</f>
        <v xml:space="preserve"> non répertoriées</v>
      </c>
      <c r="I890" t="str">
        <f>IFERROR(VLOOKUP(logos[[#This Row],[Cell_ID]],'registe maintenance'!A:F,6,FALSE)," non répertoriées")</f>
        <v xml:space="preserve"> non répertoriées</v>
      </c>
      <c r="J890">
        <f>IFERROR(VLOOKUP(B890,'logos transformer '!A:B,2,FALSE),"na")</f>
        <v>2</v>
      </c>
      <c r="K890">
        <f>IFERROR(VLOOKUP(B890,'logos transformer '!A:C,3,FALSE),"na")</f>
        <v>39</v>
      </c>
      <c r="L890" s="1">
        <f>IFERROR(VLOOKUP(B890,'logos transformer '!A:D,4,FALSE),"na")</f>
        <v>45223.693055555559</v>
      </c>
    </row>
    <row r="891" spans="1:12" x14ac:dyDescent="0.3">
      <c r="A891" s="1">
        <v>45220.091666666667</v>
      </c>
      <c r="B891" t="s">
        <v>23</v>
      </c>
      <c r="C891">
        <v>87</v>
      </c>
      <c r="D891" t="s">
        <v>8</v>
      </c>
      <c r="E891" t="str">
        <f>IFERROR(VLOOKUP(logos[[#This Row],[Cell_ID]],'registe maintenance'!A:B,2,FALSE)," non répertoriées")</f>
        <v xml:space="preserve"> non répertoriées</v>
      </c>
      <c r="F891" t="str">
        <f>IFERROR(VLOOKUP(logos[[#This Row],[Cell_ID]],'registe maintenance'!A:C,3,FALSE)," non répertoriées")</f>
        <v xml:space="preserve"> non répertoriées</v>
      </c>
      <c r="G891" t="str">
        <f>IFERROR(VLOOKUP(logos[[#This Row],[Cell_ID]],'registe maintenance'!A:D,4,FALSE)," non répertoriées")</f>
        <v xml:space="preserve"> non répertoriées</v>
      </c>
      <c r="H891" t="str">
        <f>IFERROR(VLOOKUP(logos[[#This Row],[Cell_ID]],'registe maintenance'!A:E,5,FALSE)," non répertoriées")</f>
        <v xml:space="preserve"> non répertoriées</v>
      </c>
      <c r="I891" t="str">
        <f>IFERROR(VLOOKUP(logos[[#This Row],[Cell_ID]],'registe maintenance'!A:F,6,FALSE)," non répertoriées")</f>
        <v xml:space="preserve"> non répertoriées</v>
      </c>
      <c r="J891">
        <f>IFERROR(VLOOKUP(B891,'logos transformer '!A:B,2,FALSE),"na")</f>
        <v>4</v>
      </c>
      <c r="K891">
        <f>IFERROR(VLOOKUP(B891,'logos transformer '!A:C,3,FALSE),"na")</f>
        <v>381</v>
      </c>
      <c r="L891" s="1">
        <f>IFERROR(VLOOKUP(B891,'logos transformer '!A:D,4,FALSE),"na")</f>
        <v>45220.091666666667</v>
      </c>
    </row>
    <row r="892" spans="1:12" x14ac:dyDescent="0.3">
      <c r="A892" s="1">
        <v>45214.290277777778</v>
      </c>
      <c r="B892" t="s">
        <v>452</v>
      </c>
      <c r="C892">
        <v>27</v>
      </c>
      <c r="D892" t="s">
        <v>8</v>
      </c>
      <c r="E892" t="str">
        <f>IFERROR(VLOOKUP(logos[[#This Row],[Cell_ID]],'registe maintenance'!A:B,2,FALSE)," non répertoriées")</f>
        <v>Equateur</v>
      </c>
      <c r="F892">
        <f>IFERROR(VLOOKUP(logos[[#This Row],[Cell_ID]],'registe maintenance'!A:C,3,FALSE)," non répertoriées")</f>
        <v>-12.839263000000001</v>
      </c>
      <c r="G892">
        <f>IFERROR(VLOOKUP(logos[[#This Row],[Cell_ID]],'registe maintenance'!A:D,4,FALSE)," non répertoriées")</f>
        <v>12.355677</v>
      </c>
      <c r="H892" t="str">
        <f>IFERROR(VLOOKUP(logos[[#This Row],[Cell_ID]],'registe maintenance'!A:E,5,FALSE)," non répertoriées")</f>
        <v>3G</v>
      </c>
      <c r="I892" t="str">
        <f>IFERROR(VLOOKUP(logos[[#This Row],[Cell_ID]],'registe maintenance'!A:F,6,FALSE)," non répertoriées")</f>
        <v>Huawei</v>
      </c>
      <c r="J892">
        <f>IFERROR(VLOOKUP(B892,'logos transformer '!A:B,2,FALSE),"na")</f>
        <v>2</v>
      </c>
      <c r="K892">
        <f>IFERROR(VLOOKUP(B892,'logos transformer '!A:C,3,FALSE),"na")</f>
        <v>93</v>
      </c>
      <c r="L892" s="1">
        <f>IFERROR(VLOOKUP(B892,'logos transformer '!A:D,4,FALSE),"na")</f>
        <v>45226.313194444447</v>
      </c>
    </row>
    <row r="893" spans="1:12" x14ac:dyDescent="0.3">
      <c r="A893" s="1">
        <v>45226.574305555558</v>
      </c>
      <c r="B893" t="s">
        <v>246</v>
      </c>
      <c r="C893">
        <v>81</v>
      </c>
      <c r="D893" t="s">
        <v>8</v>
      </c>
      <c r="E893" t="str">
        <f>IFERROR(VLOOKUP(logos[[#This Row],[Cell_ID]],'registe maintenance'!A:B,2,FALSE)," non répertoriées")</f>
        <v xml:space="preserve"> non répertoriées</v>
      </c>
      <c r="F893" t="str">
        <f>IFERROR(VLOOKUP(logos[[#This Row],[Cell_ID]],'registe maintenance'!A:C,3,FALSE)," non répertoriées")</f>
        <v xml:space="preserve"> non répertoriées</v>
      </c>
      <c r="G893" t="str">
        <f>IFERROR(VLOOKUP(logos[[#This Row],[Cell_ID]],'registe maintenance'!A:D,4,FALSE)," non répertoriées")</f>
        <v xml:space="preserve"> non répertoriées</v>
      </c>
      <c r="H893" t="str">
        <f>IFERROR(VLOOKUP(logos[[#This Row],[Cell_ID]],'registe maintenance'!A:E,5,FALSE)," non répertoriées")</f>
        <v xml:space="preserve"> non répertoriées</v>
      </c>
      <c r="I893" t="str">
        <f>IFERROR(VLOOKUP(logos[[#This Row],[Cell_ID]],'registe maintenance'!A:F,6,FALSE)," non répertoriées")</f>
        <v xml:space="preserve"> non répertoriées</v>
      </c>
      <c r="J893">
        <f>IFERROR(VLOOKUP(B893,'logos transformer '!A:B,2,FALSE),"na")</f>
        <v>2</v>
      </c>
      <c r="K893">
        <f>IFERROR(VLOOKUP(B893,'logos transformer '!A:C,3,FALSE),"na")</f>
        <v>180</v>
      </c>
      <c r="L893" s="1">
        <f>IFERROR(VLOOKUP(B893,'logos transformer '!A:D,4,FALSE),"na")</f>
        <v>45226.574305555558</v>
      </c>
    </row>
    <row r="894" spans="1:12" x14ac:dyDescent="0.3">
      <c r="A894" s="1">
        <v>45215.704861111109</v>
      </c>
      <c r="B894" t="s">
        <v>243</v>
      </c>
      <c r="C894">
        <v>107</v>
      </c>
      <c r="D894" t="s">
        <v>5</v>
      </c>
      <c r="E894" t="str">
        <f>IFERROR(VLOOKUP(logos[[#This Row],[Cell_ID]],'registe maintenance'!A:B,2,FALSE)," non répertoriées")</f>
        <v>Kongo-Central</v>
      </c>
      <c r="F894">
        <f>IFERROR(VLOOKUP(logos[[#This Row],[Cell_ID]],'registe maintenance'!A:C,3,FALSE)," non répertoriées")</f>
        <v>-12.564277000000001</v>
      </c>
      <c r="G894">
        <f>IFERROR(VLOOKUP(logos[[#This Row],[Cell_ID]],'registe maintenance'!A:D,4,FALSE)," non répertoriées")</f>
        <v>28.480798</v>
      </c>
      <c r="H894" t="str">
        <f>IFERROR(VLOOKUP(logos[[#This Row],[Cell_ID]],'registe maintenance'!A:E,5,FALSE)," non répertoriées")</f>
        <v>5G</v>
      </c>
      <c r="I894" t="str">
        <f>IFERROR(VLOOKUP(logos[[#This Row],[Cell_ID]],'registe maintenance'!A:F,6,FALSE)," non répertoriées")</f>
        <v>ZTE</v>
      </c>
      <c r="J894">
        <f>IFERROR(VLOOKUP(B894,'logos transformer '!A:B,2,FALSE),"na")</f>
        <v>2</v>
      </c>
      <c r="K894">
        <f>IFERROR(VLOOKUP(B894,'logos transformer '!A:C,3,FALSE),"na")</f>
        <v>144</v>
      </c>
      <c r="L894" s="1">
        <f>IFERROR(VLOOKUP(B894,'logos transformer '!A:D,4,FALSE),"na")</f>
        <v>45230.484027777777</v>
      </c>
    </row>
    <row r="895" spans="1:12" x14ac:dyDescent="0.3">
      <c r="A895" s="1">
        <v>45211.063888888893</v>
      </c>
      <c r="B895" t="s">
        <v>594</v>
      </c>
      <c r="C895">
        <v>6</v>
      </c>
      <c r="D895" t="s">
        <v>10</v>
      </c>
      <c r="E895" t="str">
        <f>IFERROR(VLOOKUP(logos[[#This Row],[Cell_ID]],'registe maintenance'!A:B,2,FALSE)," non répertoriées")</f>
        <v>Kasai-Oriental</v>
      </c>
      <c r="F895">
        <f>IFERROR(VLOOKUP(logos[[#This Row],[Cell_ID]],'registe maintenance'!A:C,3,FALSE)," non répertoriées")</f>
        <v>1.7832440000000001</v>
      </c>
      <c r="G895">
        <f>IFERROR(VLOOKUP(logos[[#This Row],[Cell_ID]],'registe maintenance'!A:D,4,FALSE)," non répertoriées")</f>
        <v>25.477405999999998</v>
      </c>
      <c r="H895" t="str">
        <f>IFERROR(VLOOKUP(logos[[#This Row],[Cell_ID]],'registe maintenance'!A:E,5,FALSE)," non répertoriées")</f>
        <v>5G</v>
      </c>
      <c r="I895" t="str">
        <f>IFERROR(VLOOKUP(logos[[#This Row],[Cell_ID]],'registe maintenance'!A:F,6,FALSE)," non répertoriées")</f>
        <v>Huawei</v>
      </c>
      <c r="J895">
        <f>IFERROR(VLOOKUP(B895,'logos transformer '!A:B,2,FALSE),"na")</f>
        <v>1</v>
      </c>
      <c r="K895">
        <f>IFERROR(VLOOKUP(B895,'logos transformer '!A:C,3,FALSE),"na")</f>
        <v>6</v>
      </c>
      <c r="L895" s="1">
        <f>IFERROR(VLOOKUP(B895,'logos transformer '!A:D,4,FALSE),"na")</f>
        <v>45211.063888888886</v>
      </c>
    </row>
    <row r="896" spans="1:12" x14ac:dyDescent="0.3">
      <c r="A896" s="1">
        <v>45225.211111111108</v>
      </c>
      <c r="B896" t="s">
        <v>595</v>
      </c>
      <c r="C896">
        <v>33</v>
      </c>
      <c r="D896" t="s">
        <v>8</v>
      </c>
      <c r="E896" t="str">
        <f>IFERROR(VLOOKUP(logos[[#This Row],[Cell_ID]],'registe maintenance'!A:B,2,FALSE)," non répertoriées")</f>
        <v xml:space="preserve"> non répertoriées</v>
      </c>
      <c r="F896" t="str">
        <f>IFERROR(VLOOKUP(logos[[#This Row],[Cell_ID]],'registe maintenance'!A:C,3,FALSE)," non répertoriées")</f>
        <v xml:space="preserve"> non répertoriées</v>
      </c>
      <c r="G896" t="str">
        <f>IFERROR(VLOOKUP(logos[[#This Row],[Cell_ID]],'registe maintenance'!A:D,4,FALSE)," non répertoriées")</f>
        <v xml:space="preserve"> non répertoriées</v>
      </c>
      <c r="H896" t="str">
        <f>IFERROR(VLOOKUP(logos[[#This Row],[Cell_ID]],'registe maintenance'!A:E,5,FALSE)," non répertoriées")</f>
        <v xml:space="preserve"> non répertoriées</v>
      </c>
      <c r="I896" t="str">
        <f>IFERROR(VLOOKUP(logos[[#This Row],[Cell_ID]],'registe maintenance'!A:F,6,FALSE)," non répertoriées")</f>
        <v xml:space="preserve"> non répertoriées</v>
      </c>
      <c r="J896">
        <f>IFERROR(VLOOKUP(B896,'logos transformer '!A:B,2,FALSE),"na")</f>
        <v>1</v>
      </c>
      <c r="K896">
        <f>IFERROR(VLOOKUP(B896,'logos transformer '!A:C,3,FALSE),"na")</f>
        <v>33</v>
      </c>
      <c r="L896" s="1">
        <f>IFERROR(VLOOKUP(B896,'logos transformer '!A:D,4,FALSE),"na")</f>
        <v>45225.211111111108</v>
      </c>
    </row>
    <row r="897" spans="1:12" x14ac:dyDescent="0.3">
      <c r="A897" s="1">
        <v>45209.938888888893</v>
      </c>
      <c r="B897" t="s">
        <v>64</v>
      </c>
      <c r="C897">
        <v>37</v>
      </c>
      <c r="D897" t="s">
        <v>8</v>
      </c>
      <c r="E897" t="str">
        <f>IFERROR(VLOOKUP(logos[[#This Row],[Cell_ID]],'registe maintenance'!A:B,2,FALSE)," non répertoriées")</f>
        <v>Haut-Katanga</v>
      </c>
      <c r="F897">
        <f>IFERROR(VLOOKUP(logos[[#This Row],[Cell_ID]],'registe maintenance'!A:C,3,FALSE)," non répertoriées")</f>
        <v>-5.5445120000000001</v>
      </c>
      <c r="G897">
        <f>IFERROR(VLOOKUP(logos[[#This Row],[Cell_ID]],'registe maintenance'!A:D,4,FALSE)," non répertoriées")</f>
        <v>27.547335</v>
      </c>
      <c r="H897" t="str">
        <f>IFERROR(VLOOKUP(logos[[#This Row],[Cell_ID]],'registe maintenance'!A:E,5,FALSE)," non répertoriées")</f>
        <v>4G</v>
      </c>
      <c r="I897" t="str">
        <f>IFERROR(VLOOKUP(logos[[#This Row],[Cell_ID]],'registe maintenance'!A:F,6,FALSE)," non répertoriées")</f>
        <v>Ericsson</v>
      </c>
      <c r="J897">
        <f>IFERROR(VLOOKUP(B897,'logos transformer '!A:B,2,FALSE),"na")</f>
        <v>4</v>
      </c>
      <c r="K897">
        <f>IFERROR(VLOOKUP(B897,'logos transformer '!A:C,3,FALSE),"na")</f>
        <v>222</v>
      </c>
      <c r="L897" s="1">
        <f>IFERROR(VLOOKUP(B897,'logos transformer '!A:D,4,FALSE),"na")</f>
        <v>45225.712500000001</v>
      </c>
    </row>
    <row r="898" spans="1:12" x14ac:dyDescent="0.3">
      <c r="A898" s="1">
        <v>45212.200694444437</v>
      </c>
      <c r="B898" t="s">
        <v>266</v>
      </c>
      <c r="C898">
        <v>82</v>
      </c>
      <c r="D898" t="s">
        <v>5</v>
      </c>
      <c r="E898" t="str">
        <f>IFERROR(VLOOKUP(logos[[#This Row],[Cell_ID]],'registe maintenance'!A:B,2,FALSE)," non répertoriées")</f>
        <v xml:space="preserve"> non répertoriées</v>
      </c>
      <c r="F898" t="str">
        <f>IFERROR(VLOOKUP(logos[[#This Row],[Cell_ID]],'registe maintenance'!A:C,3,FALSE)," non répertoriées")</f>
        <v xml:space="preserve"> non répertoriées</v>
      </c>
      <c r="G898" t="str">
        <f>IFERROR(VLOOKUP(logos[[#This Row],[Cell_ID]],'registe maintenance'!A:D,4,FALSE)," non répertoriées")</f>
        <v xml:space="preserve"> non répertoriées</v>
      </c>
      <c r="H898" t="str">
        <f>IFERROR(VLOOKUP(logos[[#This Row],[Cell_ID]],'registe maintenance'!A:E,5,FALSE)," non répertoriées")</f>
        <v xml:space="preserve"> non répertoriées</v>
      </c>
      <c r="I898" t="str">
        <f>IFERROR(VLOOKUP(logos[[#This Row],[Cell_ID]],'registe maintenance'!A:F,6,FALSE)," non répertoriées")</f>
        <v xml:space="preserve"> non répertoriées</v>
      </c>
      <c r="J898">
        <f>IFERROR(VLOOKUP(B898,'logos transformer '!A:B,2,FALSE),"na")</f>
        <v>2</v>
      </c>
      <c r="K898">
        <f>IFERROR(VLOOKUP(B898,'logos transformer '!A:C,3,FALSE),"na")</f>
        <v>114</v>
      </c>
      <c r="L898" s="1">
        <f>IFERROR(VLOOKUP(B898,'logos transformer '!A:D,4,FALSE),"na")</f>
        <v>45212.200694444444</v>
      </c>
    </row>
    <row r="899" spans="1:12" x14ac:dyDescent="0.3">
      <c r="A899" s="1">
        <v>45227.705555555563</v>
      </c>
      <c r="B899" t="s">
        <v>259</v>
      </c>
      <c r="C899">
        <v>108</v>
      </c>
      <c r="D899" t="s">
        <v>8</v>
      </c>
      <c r="E899" t="str">
        <f>IFERROR(VLOOKUP(logos[[#This Row],[Cell_ID]],'registe maintenance'!A:B,2,FALSE)," non répertoriées")</f>
        <v xml:space="preserve"> non répertoriées</v>
      </c>
      <c r="F899" t="str">
        <f>IFERROR(VLOOKUP(logos[[#This Row],[Cell_ID]],'registe maintenance'!A:C,3,FALSE)," non répertoriées")</f>
        <v xml:space="preserve"> non répertoriées</v>
      </c>
      <c r="G899" t="str">
        <f>IFERROR(VLOOKUP(logos[[#This Row],[Cell_ID]],'registe maintenance'!A:D,4,FALSE)," non répertoriées")</f>
        <v xml:space="preserve"> non répertoriées</v>
      </c>
      <c r="H899" t="str">
        <f>IFERROR(VLOOKUP(logos[[#This Row],[Cell_ID]],'registe maintenance'!A:E,5,FALSE)," non répertoriées")</f>
        <v xml:space="preserve"> non répertoriées</v>
      </c>
      <c r="I899" t="str">
        <f>IFERROR(VLOOKUP(logos[[#This Row],[Cell_ID]],'registe maintenance'!A:F,6,FALSE)," non répertoriées")</f>
        <v xml:space="preserve"> non répertoriées</v>
      </c>
      <c r="J899">
        <f>IFERROR(VLOOKUP(B899,'logos transformer '!A:B,2,FALSE),"na")</f>
        <v>3</v>
      </c>
      <c r="K899">
        <f>IFERROR(VLOOKUP(B899,'logos transformer '!A:C,3,FALSE),"na")</f>
        <v>233</v>
      </c>
      <c r="L899" s="1">
        <f>IFERROR(VLOOKUP(B899,'logos transformer '!A:D,4,FALSE),"na")</f>
        <v>45227.724305555559</v>
      </c>
    </row>
    <row r="900" spans="1:12" x14ac:dyDescent="0.3">
      <c r="A900" s="1">
        <v>45218.007638888892</v>
      </c>
      <c r="B900" t="s">
        <v>114</v>
      </c>
      <c r="C900">
        <v>44</v>
      </c>
      <c r="D900" t="s">
        <v>8</v>
      </c>
      <c r="E900" t="str">
        <f>IFERROR(VLOOKUP(logos[[#This Row],[Cell_ID]],'registe maintenance'!A:B,2,FALSE)," non répertoriées")</f>
        <v>Sud-Kivu</v>
      </c>
      <c r="F900">
        <f>IFERROR(VLOOKUP(logos[[#This Row],[Cell_ID]],'registe maintenance'!A:C,3,FALSE)," non répertoriées")</f>
        <v>-9.4702129999999993</v>
      </c>
      <c r="G900">
        <f>IFERROR(VLOOKUP(logos[[#This Row],[Cell_ID]],'registe maintenance'!A:D,4,FALSE)," non répertoriées")</f>
        <v>12.826158</v>
      </c>
      <c r="H900" t="str">
        <f>IFERROR(VLOOKUP(logos[[#This Row],[Cell_ID]],'registe maintenance'!A:E,5,FALSE)," non répertoriées")</f>
        <v>3G</v>
      </c>
      <c r="I900" t="str">
        <f>IFERROR(VLOOKUP(logos[[#This Row],[Cell_ID]],'registe maintenance'!A:F,6,FALSE)," non répertoriées")</f>
        <v>Ericsson</v>
      </c>
      <c r="J900">
        <f>IFERROR(VLOOKUP(B900,'logos transformer '!A:B,2,FALSE),"na")</f>
        <v>3</v>
      </c>
      <c r="K900">
        <f>IFERROR(VLOOKUP(B900,'logos transformer '!A:C,3,FALSE),"na")</f>
        <v>164</v>
      </c>
      <c r="L900" s="1">
        <f>IFERROR(VLOOKUP(B900,'logos transformer '!A:D,4,FALSE),"na")</f>
        <v>45218.007638888892</v>
      </c>
    </row>
    <row r="901" spans="1:12" x14ac:dyDescent="0.3">
      <c r="A901" s="1">
        <v>45206.286805555559</v>
      </c>
      <c r="B901" t="s">
        <v>64</v>
      </c>
      <c r="C901">
        <v>96</v>
      </c>
      <c r="D901" t="s">
        <v>8</v>
      </c>
      <c r="E901" t="str">
        <f>IFERROR(VLOOKUP(logos[[#This Row],[Cell_ID]],'registe maintenance'!A:B,2,FALSE)," non répertoriées")</f>
        <v>Haut-Katanga</v>
      </c>
      <c r="F901">
        <f>IFERROR(VLOOKUP(logos[[#This Row],[Cell_ID]],'registe maintenance'!A:C,3,FALSE)," non répertoriées")</f>
        <v>-5.5445120000000001</v>
      </c>
      <c r="G901">
        <f>IFERROR(VLOOKUP(logos[[#This Row],[Cell_ID]],'registe maintenance'!A:D,4,FALSE)," non répertoriées")</f>
        <v>27.547335</v>
      </c>
      <c r="H901" t="str">
        <f>IFERROR(VLOOKUP(logos[[#This Row],[Cell_ID]],'registe maintenance'!A:E,5,FALSE)," non répertoriées")</f>
        <v>4G</v>
      </c>
      <c r="I901" t="str">
        <f>IFERROR(VLOOKUP(logos[[#This Row],[Cell_ID]],'registe maintenance'!A:F,6,FALSE)," non répertoriées")</f>
        <v>Ericsson</v>
      </c>
      <c r="J901">
        <f>IFERROR(VLOOKUP(B901,'logos transformer '!A:B,2,FALSE),"na")</f>
        <v>4</v>
      </c>
      <c r="K901">
        <f>IFERROR(VLOOKUP(B901,'logos transformer '!A:C,3,FALSE),"na")</f>
        <v>222</v>
      </c>
      <c r="L901" s="1">
        <f>IFERROR(VLOOKUP(B901,'logos transformer '!A:D,4,FALSE),"na")</f>
        <v>45225.712500000001</v>
      </c>
    </row>
    <row r="902" spans="1:12" x14ac:dyDescent="0.3">
      <c r="A902" s="1">
        <v>45201.293055555558</v>
      </c>
      <c r="B902" t="s">
        <v>545</v>
      </c>
      <c r="C902">
        <v>95</v>
      </c>
      <c r="D902" t="s">
        <v>10</v>
      </c>
      <c r="E902" t="str">
        <f>IFERROR(VLOOKUP(logos[[#This Row],[Cell_ID]],'registe maintenance'!A:B,2,FALSE)," non répertoriées")</f>
        <v>Lomami</v>
      </c>
      <c r="F902">
        <f>IFERROR(VLOOKUP(logos[[#This Row],[Cell_ID]],'registe maintenance'!A:C,3,FALSE)," non répertoriées")</f>
        <v>-9.5619429999999994</v>
      </c>
      <c r="G902">
        <f>IFERROR(VLOOKUP(logos[[#This Row],[Cell_ID]],'registe maintenance'!A:D,4,FALSE)," non répertoriées")</f>
        <v>21.445726000000001</v>
      </c>
      <c r="H902" t="str">
        <f>IFERROR(VLOOKUP(logos[[#This Row],[Cell_ID]],'registe maintenance'!A:E,5,FALSE)," non répertoriées")</f>
        <v>4G</v>
      </c>
      <c r="I902" t="str">
        <f>IFERROR(VLOOKUP(logos[[#This Row],[Cell_ID]],'registe maintenance'!A:F,6,FALSE)," non répertoriées")</f>
        <v>Nokia</v>
      </c>
      <c r="J902">
        <f>IFERROR(VLOOKUP(B902,'logos transformer '!A:B,2,FALSE),"na")</f>
        <v>2</v>
      </c>
      <c r="K902">
        <f>IFERROR(VLOOKUP(B902,'logos transformer '!A:C,3,FALSE),"na")</f>
        <v>126</v>
      </c>
      <c r="L902" s="1">
        <f>IFERROR(VLOOKUP(B902,'logos transformer '!A:D,4,FALSE),"na")</f>
        <v>45201.293055555558</v>
      </c>
    </row>
    <row r="903" spans="1:12" x14ac:dyDescent="0.3">
      <c r="A903" s="1">
        <v>45214.081944444442</v>
      </c>
      <c r="B903" t="s">
        <v>596</v>
      </c>
      <c r="C903">
        <v>87</v>
      </c>
      <c r="D903" t="s">
        <v>8</v>
      </c>
      <c r="E903" t="str">
        <f>IFERROR(VLOOKUP(logos[[#This Row],[Cell_ID]],'registe maintenance'!A:B,2,FALSE)," non répertoriées")</f>
        <v xml:space="preserve"> non répertoriées</v>
      </c>
      <c r="F903" t="str">
        <f>IFERROR(VLOOKUP(logos[[#This Row],[Cell_ID]],'registe maintenance'!A:C,3,FALSE)," non répertoriées")</f>
        <v xml:space="preserve"> non répertoriées</v>
      </c>
      <c r="G903" t="str">
        <f>IFERROR(VLOOKUP(logos[[#This Row],[Cell_ID]],'registe maintenance'!A:D,4,FALSE)," non répertoriées")</f>
        <v xml:space="preserve"> non répertoriées</v>
      </c>
      <c r="H903" t="str">
        <f>IFERROR(VLOOKUP(logos[[#This Row],[Cell_ID]],'registe maintenance'!A:E,5,FALSE)," non répertoriées")</f>
        <v xml:space="preserve"> non répertoriées</v>
      </c>
      <c r="I903" t="str">
        <f>IFERROR(VLOOKUP(logos[[#This Row],[Cell_ID]],'registe maintenance'!A:F,6,FALSE)," non répertoriées")</f>
        <v xml:space="preserve"> non répertoriées</v>
      </c>
      <c r="J903">
        <f>IFERROR(VLOOKUP(B903,'logos transformer '!A:B,2,FALSE),"na")</f>
        <v>2</v>
      </c>
      <c r="K903">
        <f>IFERROR(VLOOKUP(B903,'logos transformer '!A:C,3,FALSE),"na")</f>
        <v>115</v>
      </c>
      <c r="L903" s="1">
        <f>IFERROR(VLOOKUP(B903,'logos transformer '!A:D,4,FALSE),"na")</f>
        <v>45214.081944444442</v>
      </c>
    </row>
    <row r="904" spans="1:12" x14ac:dyDescent="0.3">
      <c r="A904" s="1">
        <v>45211.925000000003</v>
      </c>
      <c r="B904" t="s">
        <v>150</v>
      </c>
      <c r="C904">
        <v>40</v>
      </c>
      <c r="D904" t="s">
        <v>10</v>
      </c>
      <c r="E904" t="str">
        <f>IFERROR(VLOOKUP(logos[[#This Row],[Cell_ID]],'registe maintenance'!A:B,2,FALSE)," non répertoriées")</f>
        <v xml:space="preserve"> non répertoriées</v>
      </c>
      <c r="F904" t="str">
        <f>IFERROR(VLOOKUP(logos[[#This Row],[Cell_ID]],'registe maintenance'!A:C,3,FALSE)," non répertoriées")</f>
        <v xml:space="preserve"> non répertoriées</v>
      </c>
      <c r="G904" t="str">
        <f>IFERROR(VLOOKUP(logos[[#This Row],[Cell_ID]],'registe maintenance'!A:D,4,FALSE)," non répertoriées")</f>
        <v xml:space="preserve"> non répertoriées</v>
      </c>
      <c r="H904" t="str">
        <f>IFERROR(VLOOKUP(logos[[#This Row],[Cell_ID]],'registe maintenance'!A:E,5,FALSE)," non répertoriées")</f>
        <v xml:space="preserve"> non répertoriées</v>
      </c>
      <c r="I904" t="str">
        <f>IFERROR(VLOOKUP(logos[[#This Row],[Cell_ID]],'registe maintenance'!A:F,6,FALSE)," non répertoriées")</f>
        <v xml:space="preserve"> non répertoriées</v>
      </c>
      <c r="J904">
        <f>IFERROR(VLOOKUP(B904,'logos transformer '!A:B,2,FALSE),"na")</f>
        <v>4</v>
      </c>
      <c r="K904">
        <f>IFERROR(VLOOKUP(B904,'logos transformer '!A:C,3,FALSE),"na")</f>
        <v>208</v>
      </c>
      <c r="L904" s="1">
        <f>IFERROR(VLOOKUP(B904,'logos transformer '!A:D,4,FALSE),"na")</f>
        <v>45216.459027777775</v>
      </c>
    </row>
    <row r="905" spans="1:12" x14ac:dyDescent="0.3">
      <c r="A905" s="1">
        <v>45208.494444444441</v>
      </c>
      <c r="B905" t="s">
        <v>342</v>
      </c>
      <c r="C905">
        <v>59</v>
      </c>
      <c r="D905" t="s">
        <v>8</v>
      </c>
      <c r="E905" t="str">
        <f>IFERROR(VLOOKUP(logos[[#This Row],[Cell_ID]],'registe maintenance'!A:B,2,FALSE)," non répertoriées")</f>
        <v xml:space="preserve"> non répertoriées</v>
      </c>
      <c r="F905" t="str">
        <f>IFERROR(VLOOKUP(logos[[#This Row],[Cell_ID]],'registe maintenance'!A:C,3,FALSE)," non répertoriées")</f>
        <v xml:space="preserve"> non répertoriées</v>
      </c>
      <c r="G905" t="str">
        <f>IFERROR(VLOOKUP(logos[[#This Row],[Cell_ID]],'registe maintenance'!A:D,4,FALSE)," non répertoriées")</f>
        <v xml:space="preserve"> non répertoriées</v>
      </c>
      <c r="H905" t="str">
        <f>IFERROR(VLOOKUP(logos[[#This Row],[Cell_ID]],'registe maintenance'!A:E,5,FALSE)," non répertoriées")</f>
        <v xml:space="preserve"> non répertoriées</v>
      </c>
      <c r="I905" t="str">
        <f>IFERROR(VLOOKUP(logos[[#This Row],[Cell_ID]],'registe maintenance'!A:F,6,FALSE)," non répertoriées")</f>
        <v xml:space="preserve"> non répertoriées</v>
      </c>
      <c r="J905">
        <f>IFERROR(VLOOKUP(B905,'logos transformer '!A:B,2,FALSE),"na")</f>
        <v>3</v>
      </c>
      <c r="K905">
        <f>IFERROR(VLOOKUP(B905,'logos transformer '!A:C,3,FALSE),"na")</f>
        <v>210</v>
      </c>
      <c r="L905" s="1">
        <f>IFERROR(VLOOKUP(B905,'logos transformer '!A:D,4,FALSE),"na")</f>
        <v>45226.895138888889</v>
      </c>
    </row>
    <row r="906" spans="1:12" x14ac:dyDescent="0.3">
      <c r="A906" s="1">
        <v>45214.684027777781</v>
      </c>
      <c r="B906" t="s">
        <v>104</v>
      </c>
      <c r="C906">
        <v>119</v>
      </c>
      <c r="D906" t="s">
        <v>10</v>
      </c>
      <c r="E906" t="str">
        <f>IFERROR(VLOOKUP(logos[[#This Row],[Cell_ID]],'registe maintenance'!A:B,2,FALSE)," non répertoriées")</f>
        <v>Lomami</v>
      </c>
      <c r="F906">
        <f>IFERROR(VLOOKUP(logos[[#This Row],[Cell_ID]],'registe maintenance'!A:C,3,FALSE)," non répertoriées")</f>
        <v>-11.218453999999999</v>
      </c>
      <c r="G906">
        <f>IFERROR(VLOOKUP(logos[[#This Row],[Cell_ID]],'registe maintenance'!A:D,4,FALSE)," non répertoriées")</f>
        <v>28.230025000000001</v>
      </c>
      <c r="H906" t="str">
        <f>IFERROR(VLOOKUP(logos[[#This Row],[Cell_ID]],'registe maintenance'!A:E,5,FALSE)," non répertoriées")</f>
        <v>5G</v>
      </c>
      <c r="I906" t="str">
        <f>IFERROR(VLOOKUP(logos[[#This Row],[Cell_ID]],'registe maintenance'!A:F,6,FALSE)," non répertoriées")</f>
        <v>ZTE</v>
      </c>
      <c r="J906">
        <f>IFERROR(VLOOKUP(B906,'logos transformer '!A:B,2,FALSE),"na")</f>
        <v>2</v>
      </c>
      <c r="K906">
        <f>IFERROR(VLOOKUP(B906,'logos transformer '!A:C,3,FALSE),"na")</f>
        <v>155</v>
      </c>
      <c r="L906" s="1">
        <f>IFERROR(VLOOKUP(B906,'logos transformer '!A:D,4,FALSE),"na")</f>
        <v>45229.738194444442</v>
      </c>
    </row>
    <row r="907" spans="1:12" x14ac:dyDescent="0.3">
      <c r="A907" s="1">
        <v>45220.154861111107</v>
      </c>
      <c r="B907" t="s">
        <v>397</v>
      </c>
      <c r="C907">
        <v>53</v>
      </c>
      <c r="D907" t="s">
        <v>5</v>
      </c>
      <c r="E907" t="str">
        <f>IFERROR(VLOOKUP(logos[[#This Row],[Cell_ID]],'registe maintenance'!A:B,2,FALSE)," non répertoriées")</f>
        <v>Kongo-Central</v>
      </c>
      <c r="F907">
        <f>IFERROR(VLOOKUP(logos[[#This Row],[Cell_ID]],'registe maintenance'!A:C,3,FALSE)," non répertoriées")</f>
        <v>-9.8208710000000004</v>
      </c>
      <c r="G907">
        <f>IFERROR(VLOOKUP(logos[[#This Row],[Cell_ID]],'registe maintenance'!A:D,4,FALSE)," non répertoriées")</f>
        <v>23.229807000000001</v>
      </c>
      <c r="H907" t="str">
        <f>IFERROR(VLOOKUP(logos[[#This Row],[Cell_ID]],'registe maintenance'!A:E,5,FALSE)," non répertoriées")</f>
        <v>5G</v>
      </c>
      <c r="I907" t="str">
        <f>IFERROR(VLOOKUP(logos[[#This Row],[Cell_ID]],'registe maintenance'!A:F,6,FALSE)," non répertoriées")</f>
        <v>Nokia</v>
      </c>
      <c r="J907">
        <f>IFERROR(VLOOKUP(B907,'logos transformer '!A:B,2,FALSE),"na")</f>
        <v>2</v>
      </c>
      <c r="K907">
        <f>IFERROR(VLOOKUP(B907,'logos transformer '!A:C,3,FALSE),"na")</f>
        <v>136</v>
      </c>
      <c r="L907" s="1">
        <f>IFERROR(VLOOKUP(B907,'logos transformer '!A:D,4,FALSE),"na")</f>
        <v>45230.303472222222</v>
      </c>
    </row>
    <row r="908" spans="1:12" x14ac:dyDescent="0.3">
      <c r="A908" s="1">
        <v>45200.307638888888</v>
      </c>
      <c r="B908" t="s">
        <v>23</v>
      </c>
      <c r="C908">
        <v>114</v>
      </c>
      <c r="D908" t="s">
        <v>8</v>
      </c>
      <c r="E908" t="str">
        <f>IFERROR(VLOOKUP(logos[[#This Row],[Cell_ID]],'registe maintenance'!A:B,2,FALSE)," non répertoriées")</f>
        <v xml:space="preserve"> non répertoriées</v>
      </c>
      <c r="F908" t="str">
        <f>IFERROR(VLOOKUP(logos[[#This Row],[Cell_ID]],'registe maintenance'!A:C,3,FALSE)," non répertoriées")</f>
        <v xml:space="preserve"> non répertoriées</v>
      </c>
      <c r="G908" t="str">
        <f>IFERROR(VLOOKUP(logos[[#This Row],[Cell_ID]],'registe maintenance'!A:D,4,FALSE)," non répertoriées")</f>
        <v xml:space="preserve"> non répertoriées</v>
      </c>
      <c r="H908" t="str">
        <f>IFERROR(VLOOKUP(logos[[#This Row],[Cell_ID]],'registe maintenance'!A:E,5,FALSE)," non répertoriées")</f>
        <v xml:space="preserve"> non répertoriées</v>
      </c>
      <c r="I908" t="str">
        <f>IFERROR(VLOOKUP(logos[[#This Row],[Cell_ID]],'registe maintenance'!A:F,6,FALSE)," non répertoriées")</f>
        <v xml:space="preserve"> non répertoriées</v>
      </c>
      <c r="J908">
        <f>IFERROR(VLOOKUP(B908,'logos transformer '!A:B,2,FALSE),"na")</f>
        <v>4</v>
      </c>
      <c r="K908">
        <f>IFERROR(VLOOKUP(B908,'logos transformer '!A:C,3,FALSE),"na")</f>
        <v>381</v>
      </c>
      <c r="L908" s="1">
        <f>IFERROR(VLOOKUP(B908,'logos transformer '!A:D,4,FALSE),"na")</f>
        <v>45220.091666666667</v>
      </c>
    </row>
    <row r="909" spans="1:12" x14ac:dyDescent="0.3">
      <c r="A909" s="1">
        <v>45215.811111111107</v>
      </c>
      <c r="B909" t="s">
        <v>187</v>
      </c>
      <c r="C909">
        <v>49</v>
      </c>
      <c r="D909" t="s">
        <v>8</v>
      </c>
      <c r="E909" t="str">
        <f>IFERROR(VLOOKUP(logos[[#This Row],[Cell_ID]],'registe maintenance'!A:B,2,FALSE)," non répertoriées")</f>
        <v xml:space="preserve"> non répertoriées</v>
      </c>
      <c r="F909" t="str">
        <f>IFERROR(VLOOKUP(logos[[#This Row],[Cell_ID]],'registe maintenance'!A:C,3,FALSE)," non répertoriées")</f>
        <v xml:space="preserve"> non répertoriées</v>
      </c>
      <c r="G909" t="str">
        <f>IFERROR(VLOOKUP(logos[[#This Row],[Cell_ID]],'registe maintenance'!A:D,4,FALSE)," non répertoriées")</f>
        <v xml:space="preserve"> non répertoriées</v>
      </c>
      <c r="H909" t="str">
        <f>IFERROR(VLOOKUP(logos[[#This Row],[Cell_ID]],'registe maintenance'!A:E,5,FALSE)," non répertoriées")</f>
        <v xml:space="preserve"> non répertoriées</v>
      </c>
      <c r="I909" t="str">
        <f>IFERROR(VLOOKUP(logos[[#This Row],[Cell_ID]],'registe maintenance'!A:F,6,FALSE)," non répertoriées")</f>
        <v xml:space="preserve"> non répertoriées</v>
      </c>
      <c r="J909">
        <f>IFERROR(VLOOKUP(B909,'logos transformer '!A:B,2,FALSE),"na")</f>
        <v>3</v>
      </c>
      <c r="K909">
        <f>IFERROR(VLOOKUP(B909,'logos transformer '!A:C,3,FALSE),"na")</f>
        <v>217</v>
      </c>
      <c r="L909" s="1">
        <f>IFERROR(VLOOKUP(B909,'logos transformer '!A:D,4,FALSE),"na")</f>
        <v>45226.975694444445</v>
      </c>
    </row>
    <row r="910" spans="1:12" x14ac:dyDescent="0.3">
      <c r="A910" s="1">
        <v>45205.650694444441</v>
      </c>
      <c r="B910" t="s">
        <v>597</v>
      </c>
      <c r="C910">
        <v>63</v>
      </c>
      <c r="D910" t="s">
        <v>5</v>
      </c>
      <c r="E910" t="str">
        <f>IFERROR(VLOOKUP(logos[[#This Row],[Cell_ID]],'registe maintenance'!A:B,2,FALSE)," non répertoriées")</f>
        <v>Kongo-Central</v>
      </c>
      <c r="F910">
        <f>IFERROR(VLOOKUP(logos[[#This Row],[Cell_ID]],'registe maintenance'!A:C,3,FALSE)," non répertoriées")</f>
        <v>-10.977309</v>
      </c>
      <c r="G910">
        <f>IFERROR(VLOOKUP(logos[[#This Row],[Cell_ID]],'registe maintenance'!A:D,4,FALSE)," non répertoriées")</f>
        <v>12.408281000000001</v>
      </c>
      <c r="H910" t="str">
        <f>IFERROR(VLOOKUP(logos[[#This Row],[Cell_ID]],'registe maintenance'!A:E,5,FALSE)," non répertoriées")</f>
        <v>5G</v>
      </c>
      <c r="I910" t="str">
        <f>IFERROR(VLOOKUP(logos[[#This Row],[Cell_ID]],'registe maintenance'!A:F,6,FALSE)," non répertoriées")</f>
        <v>ZTE</v>
      </c>
      <c r="J910">
        <f>IFERROR(VLOOKUP(B910,'logos transformer '!A:B,2,FALSE),"na")</f>
        <v>1</v>
      </c>
      <c r="K910">
        <f>IFERROR(VLOOKUP(B910,'logos transformer '!A:C,3,FALSE),"na")</f>
        <v>63</v>
      </c>
      <c r="L910" s="1">
        <f>IFERROR(VLOOKUP(B910,'logos transformer '!A:D,4,FALSE),"na")</f>
        <v>45205.650694444441</v>
      </c>
    </row>
    <row r="911" spans="1:12" x14ac:dyDescent="0.3">
      <c r="A911" s="1">
        <v>45217.473611111112</v>
      </c>
      <c r="B911" t="s">
        <v>139</v>
      </c>
      <c r="C911">
        <v>37</v>
      </c>
      <c r="D911" t="s">
        <v>10</v>
      </c>
      <c r="E911" t="str">
        <f>IFERROR(VLOOKUP(logos[[#This Row],[Cell_ID]],'registe maintenance'!A:B,2,FALSE)," non répertoriées")</f>
        <v>Kwilu</v>
      </c>
      <c r="F911">
        <f>IFERROR(VLOOKUP(logos[[#This Row],[Cell_ID]],'registe maintenance'!A:C,3,FALSE)," non répertoriées")</f>
        <v>-8.5675749999999997</v>
      </c>
      <c r="G911">
        <f>IFERROR(VLOOKUP(logos[[#This Row],[Cell_ID]],'registe maintenance'!A:D,4,FALSE)," non répertoriées")</f>
        <v>26.994581</v>
      </c>
      <c r="H911" t="str">
        <f>IFERROR(VLOOKUP(logos[[#This Row],[Cell_ID]],'registe maintenance'!A:E,5,FALSE)," non répertoriées")</f>
        <v>3G</v>
      </c>
      <c r="I911" t="str">
        <f>IFERROR(VLOOKUP(logos[[#This Row],[Cell_ID]],'registe maintenance'!A:F,6,FALSE)," non répertoriées")</f>
        <v>Nokia</v>
      </c>
      <c r="J911">
        <f>IFERROR(VLOOKUP(B911,'logos transformer '!A:B,2,FALSE),"na")</f>
        <v>3</v>
      </c>
      <c r="K911">
        <f>IFERROR(VLOOKUP(B911,'logos transformer '!A:C,3,FALSE),"na")</f>
        <v>183</v>
      </c>
      <c r="L911" s="1">
        <f>IFERROR(VLOOKUP(B911,'logos transformer '!A:D,4,FALSE),"na")</f>
        <v>45217.473611111112</v>
      </c>
    </row>
    <row r="912" spans="1:12" x14ac:dyDescent="0.3">
      <c r="A912" s="1">
        <v>45205.365972222222</v>
      </c>
      <c r="B912" t="s">
        <v>423</v>
      </c>
      <c r="C912">
        <v>32</v>
      </c>
      <c r="D912" t="s">
        <v>5</v>
      </c>
      <c r="E912" t="str">
        <f>IFERROR(VLOOKUP(logos[[#This Row],[Cell_ID]],'registe maintenance'!A:B,2,FALSE)," non répertoriées")</f>
        <v xml:space="preserve"> non répertoriées</v>
      </c>
      <c r="F912" t="str">
        <f>IFERROR(VLOOKUP(logos[[#This Row],[Cell_ID]],'registe maintenance'!A:C,3,FALSE)," non répertoriées")</f>
        <v xml:space="preserve"> non répertoriées</v>
      </c>
      <c r="G912" t="str">
        <f>IFERROR(VLOOKUP(logos[[#This Row],[Cell_ID]],'registe maintenance'!A:D,4,FALSE)," non répertoriées")</f>
        <v xml:space="preserve"> non répertoriées</v>
      </c>
      <c r="H912" t="str">
        <f>IFERROR(VLOOKUP(logos[[#This Row],[Cell_ID]],'registe maintenance'!A:E,5,FALSE)," non répertoriées")</f>
        <v xml:space="preserve"> non répertoriées</v>
      </c>
      <c r="I912" t="str">
        <f>IFERROR(VLOOKUP(logos[[#This Row],[Cell_ID]],'registe maintenance'!A:F,6,FALSE)," non répertoriées")</f>
        <v xml:space="preserve"> non répertoriées</v>
      </c>
      <c r="J912">
        <f>IFERROR(VLOOKUP(B912,'logos transformer '!A:B,2,FALSE),"na")</f>
        <v>2</v>
      </c>
      <c r="K912">
        <f>IFERROR(VLOOKUP(B912,'logos transformer '!A:C,3,FALSE),"na")</f>
        <v>47</v>
      </c>
      <c r="L912" s="1">
        <f>IFERROR(VLOOKUP(B912,'logos transformer '!A:D,4,FALSE),"na")</f>
        <v>45225.061805555553</v>
      </c>
    </row>
    <row r="913" spans="1:12" x14ac:dyDescent="0.3">
      <c r="A913" s="1">
        <v>45226.920138888891</v>
      </c>
      <c r="B913" t="s">
        <v>49</v>
      </c>
      <c r="C913">
        <v>64</v>
      </c>
      <c r="D913" t="s">
        <v>10</v>
      </c>
      <c r="E913" t="str">
        <f>IFERROR(VLOOKUP(logos[[#This Row],[Cell_ID]],'registe maintenance'!A:B,2,FALSE)," non répertoriées")</f>
        <v xml:space="preserve"> non répertoriées</v>
      </c>
      <c r="F913" t="str">
        <f>IFERROR(VLOOKUP(logos[[#This Row],[Cell_ID]],'registe maintenance'!A:C,3,FALSE)," non répertoriées")</f>
        <v xml:space="preserve"> non répertoriées</v>
      </c>
      <c r="G913" t="str">
        <f>IFERROR(VLOOKUP(logos[[#This Row],[Cell_ID]],'registe maintenance'!A:D,4,FALSE)," non répertoriées")</f>
        <v xml:space="preserve"> non répertoriées</v>
      </c>
      <c r="H913" t="str">
        <f>IFERROR(VLOOKUP(logos[[#This Row],[Cell_ID]],'registe maintenance'!A:E,5,FALSE)," non répertoriées")</f>
        <v xml:space="preserve"> non répertoriées</v>
      </c>
      <c r="I913" t="str">
        <f>IFERROR(VLOOKUP(logos[[#This Row],[Cell_ID]],'registe maintenance'!A:F,6,FALSE)," non répertoriées")</f>
        <v xml:space="preserve"> non répertoriées</v>
      </c>
      <c r="J913">
        <f>IFERROR(VLOOKUP(B913,'logos transformer '!A:B,2,FALSE),"na")</f>
        <v>6</v>
      </c>
      <c r="K913">
        <f>IFERROR(VLOOKUP(B913,'logos transformer '!A:C,3,FALSE),"na")</f>
        <v>330</v>
      </c>
      <c r="L913" s="1">
        <f>IFERROR(VLOOKUP(B913,'logos transformer '!A:D,4,FALSE),"na")</f>
        <v>45230.834722222222</v>
      </c>
    </row>
    <row r="914" spans="1:12" x14ac:dyDescent="0.3">
      <c r="A914" s="1">
        <v>45209.01666666667</v>
      </c>
      <c r="B914" t="s">
        <v>598</v>
      </c>
      <c r="C914">
        <v>43</v>
      </c>
      <c r="D914" t="s">
        <v>5</v>
      </c>
      <c r="E914" t="str">
        <f>IFERROR(VLOOKUP(logos[[#This Row],[Cell_ID]],'registe maintenance'!A:B,2,FALSE)," non répertoriées")</f>
        <v xml:space="preserve"> non répertoriées</v>
      </c>
      <c r="F914" t="str">
        <f>IFERROR(VLOOKUP(logos[[#This Row],[Cell_ID]],'registe maintenance'!A:C,3,FALSE)," non répertoriées")</f>
        <v xml:space="preserve"> non répertoriées</v>
      </c>
      <c r="G914" t="str">
        <f>IFERROR(VLOOKUP(logos[[#This Row],[Cell_ID]],'registe maintenance'!A:D,4,FALSE)," non répertoriées")</f>
        <v xml:space="preserve"> non répertoriées</v>
      </c>
      <c r="H914" t="str">
        <f>IFERROR(VLOOKUP(logos[[#This Row],[Cell_ID]],'registe maintenance'!A:E,5,FALSE)," non répertoriées")</f>
        <v xml:space="preserve"> non répertoriées</v>
      </c>
      <c r="I914" t="str">
        <f>IFERROR(VLOOKUP(logos[[#This Row],[Cell_ID]],'registe maintenance'!A:F,6,FALSE)," non répertoriées")</f>
        <v xml:space="preserve"> non répertoriées</v>
      </c>
      <c r="J914">
        <f>IFERROR(VLOOKUP(B914,'logos transformer '!A:B,2,FALSE),"na")</f>
        <v>1</v>
      </c>
      <c r="K914">
        <f>IFERROR(VLOOKUP(B914,'logos transformer '!A:C,3,FALSE),"na")</f>
        <v>43</v>
      </c>
      <c r="L914" s="1">
        <f>IFERROR(VLOOKUP(B914,'logos transformer '!A:D,4,FALSE),"na")</f>
        <v>45209.01666666667</v>
      </c>
    </row>
    <row r="915" spans="1:12" x14ac:dyDescent="0.3">
      <c r="A915" s="1">
        <v>45201.245833333327</v>
      </c>
      <c r="B915" t="s">
        <v>333</v>
      </c>
      <c r="C915">
        <v>91</v>
      </c>
      <c r="D915" t="s">
        <v>8</v>
      </c>
      <c r="E915" t="str">
        <f>IFERROR(VLOOKUP(logos[[#This Row],[Cell_ID]],'registe maintenance'!A:B,2,FALSE)," non répertoriées")</f>
        <v>Ituri</v>
      </c>
      <c r="F915">
        <f>IFERROR(VLOOKUP(logos[[#This Row],[Cell_ID]],'registe maintenance'!A:C,3,FALSE)," non répertoriées")</f>
        <v>-0.34051900000000002</v>
      </c>
      <c r="G915">
        <f>IFERROR(VLOOKUP(logos[[#This Row],[Cell_ID]],'registe maintenance'!A:D,4,FALSE)," non répertoriées")</f>
        <v>17.079799000000001</v>
      </c>
      <c r="H915" t="str">
        <f>IFERROR(VLOOKUP(logos[[#This Row],[Cell_ID]],'registe maintenance'!A:E,5,FALSE)," non répertoriées")</f>
        <v>5G</v>
      </c>
      <c r="I915" t="str">
        <f>IFERROR(VLOOKUP(logos[[#This Row],[Cell_ID]],'registe maintenance'!A:F,6,FALSE)," non répertoriées")</f>
        <v>Ericsson</v>
      </c>
      <c r="J915">
        <f>IFERROR(VLOOKUP(B915,'logos transformer '!A:B,2,FALSE),"na")</f>
        <v>2</v>
      </c>
      <c r="K915">
        <f>IFERROR(VLOOKUP(B915,'logos transformer '!A:C,3,FALSE),"na")</f>
        <v>130</v>
      </c>
      <c r="L915" s="1">
        <f>IFERROR(VLOOKUP(B915,'logos transformer '!A:D,4,FALSE),"na")</f>
        <v>45216.709027777775</v>
      </c>
    </row>
    <row r="916" spans="1:12" x14ac:dyDescent="0.3">
      <c r="A916" s="1">
        <v>45218.287499999999</v>
      </c>
      <c r="B916" t="s">
        <v>599</v>
      </c>
      <c r="C916">
        <v>71</v>
      </c>
      <c r="D916" t="s">
        <v>10</v>
      </c>
      <c r="E916" t="str">
        <f>IFERROR(VLOOKUP(logos[[#This Row],[Cell_ID]],'registe maintenance'!A:B,2,FALSE)," non répertoriées")</f>
        <v xml:space="preserve"> non répertoriées</v>
      </c>
      <c r="F916" t="str">
        <f>IFERROR(VLOOKUP(logos[[#This Row],[Cell_ID]],'registe maintenance'!A:C,3,FALSE)," non répertoriées")</f>
        <v xml:space="preserve"> non répertoriées</v>
      </c>
      <c r="G916" t="str">
        <f>IFERROR(VLOOKUP(logos[[#This Row],[Cell_ID]],'registe maintenance'!A:D,4,FALSE)," non répertoriées")</f>
        <v xml:space="preserve"> non répertoriées</v>
      </c>
      <c r="H916" t="str">
        <f>IFERROR(VLOOKUP(logos[[#This Row],[Cell_ID]],'registe maintenance'!A:E,5,FALSE)," non répertoriées")</f>
        <v xml:space="preserve"> non répertoriées</v>
      </c>
      <c r="I916" t="str">
        <f>IFERROR(VLOOKUP(logos[[#This Row],[Cell_ID]],'registe maintenance'!A:F,6,FALSE)," non répertoriées")</f>
        <v xml:space="preserve"> non répertoriées</v>
      </c>
      <c r="J916">
        <f>IFERROR(VLOOKUP(B916,'logos transformer '!A:B,2,FALSE),"na")</f>
        <v>1</v>
      </c>
      <c r="K916">
        <f>IFERROR(VLOOKUP(B916,'logos transformer '!A:C,3,FALSE),"na")</f>
        <v>71</v>
      </c>
      <c r="L916" s="1">
        <f>IFERROR(VLOOKUP(B916,'logos transformer '!A:D,4,FALSE),"na")</f>
        <v>45218.287499999999</v>
      </c>
    </row>
    <row r="917" spans="1:12" x14ac:dyDescent="0.3">
      <c r="A917" s="1">
        <v>45220.093055555553</v>
      </c>
      <c r="B917" t="s">
        <v>563</v>
      </c>
      <c r="C917">
        <v>48</v>
      </c>
      <c r="D917" t="s">
        <v>5</v>
      </c>
      <c r="E917" t="str">
        <f>IFERROR(VLOOKUP(logos[[#This Row],[Cell_ID]],'registe maintenance'!A:B,2,FALSE)," non répertoriées")</f>
        <v xml:space="preserve"> non répertoriées</v>
      </c>
      <c r="F917" t="str">
        <f>IFERROR(VLOOKUP(logos[[#This Row],[Cell_ID]],'registe maintenance'!A:C,3,FALSE)," non répertoriées")</f>
        <v xml:space="preserve"> non répertoriées</v>
      </c>
      <c r="G917" t="str">
        <f>IFERROR(VLOOKUP(logos[[#This Row],[Cell_ID]],'registe maintenance'!A:D,4,FALSE)," non répertoriées")</f>
        <v xml:space="preserve"> non répertoriées</v>
      </c>
      <c r="H917" t="str">
        <f>IFERROR(VLOOKUP(logos[[#This Row],[Cell_ID]],'registe maintenance'!A:E,5,FALSE)," non répertoriées")</f>
        <v xml:space="preserve"> non répertoriées</v>
      </c>
      <c r="I917" t="str">
        <f>IFERROR(VLOOKUP(logos[[#This Row],[Cell_ID]],'registe maintenance'!A:F,6,FALSE)," non répertoriées")</f>
        <v xml:space="preserve"> non répertoriées</v>
      </c>
      <c r="J917">
        <f>IFERROR(VLOOKUP(B917,'logos transformer '!A:B,2,FALSE),"na")</f>
        <v>2</v>
      </c>
      <c r="K917">
        <f>IFERROR(VLOOKUP(B917,'logos transformer '!A:C,3,FALSE),"na")</f>
        <v>161</v>
      </c>
      <c r="L917" s="1">
        <f>IFERROR(VLOOKUP(B917,'logos transformer '!A:D,4,FALSE),"na")</f>
        <v>45220.093055555553</v>
      </c>
    </row>
    <row r="918" spans="1:12" x14ac:dyDescent="0.3">
      <c r="A918" s="1">
        <v>45211.324305555558</v>
      </c>
      <c r="B918" t="s">
        <v>600</v>
      </c>
      <c r="C918">
        <v>120</v>
      </c>
      <c r="D918" t="s">
        <v>10</v>
      </c>
      <c r="E918" t="str">
        <f>IFERROR(VLOOKUP(logos[[#This Row],[Cell_ID]],'registe maintenance'!A:B,2,FALSE)," non répertoriées")</f>
        <v xml:space="preserve"> non répertoriées</v>
      </c>
      <c r="F918" t="str">
        <f>IFERROR(VLOOKUP(logos[[#This Row],[Cell_ID]],'registe maintenance'!A:C,3,FALSE)," non répertoriées")</f>
        <v xml:space="preserve"> non répertoriées</v>
      </c>
      <c r="G918" t="str">
        <f>IFERROR(VLOOKUP(logos[[#This Row],[Cell_ID]],'registe maintenance'!A:D,4,FALSE)," non répertoriées")</f>
        <v xml:space="preserve"> non répertoriées</v>
      </c>
      <c r="H918" t="str">
        <f>IFERROR(VLOOKUP(logos[[#This Row],[Cell_ID]],'registe maintenance'!A:E,5,FALSE)," non répertoriées")</f>
        <v xml:space="preserve"> non répertoriées</v>
      </c>
      <c r="I918" t="str">
        <f>IFERROR(VLOOKUP(logos[[#This Row],[Cell_ID]],'registe maintenance'!A:F,6,FALSE)," non répertoriées")</f>
        <v xml:space="preserve"> non répertoriées</v>
      </c>
      <c r="J918">
        <f>IFERROR(VLOOKUP(B918,'logos transformer '!A:B,2,FALSE),"na")</f>
        <v>1</v>
      </c>
      <c r="K918">
        <f>IFERROR(VLOOKUP(B918,'logos transformer '!A:C,3,FALSE),"na")</f>
        <v>120</v>
      </c>
      <c r="L918" s="1">
        <f>IFERROR(VLOOKUP(B918,'logos transformer '!A:D,4,FALSE),"na")</f>
        <v>45211.324305555558</v>
      </c>
    </row>
    <row r="919" spans="1:12" x14ac:dyDescent="0.3">
      <c r="A919" s="1">
        <v>45227.393055555563</v>
      </c>
      <c r="B919" t="s">
        <v>274</v>
      </c>
      <c r="C919">
        <v>67</v>
      </c>
      <c r="D919" t="s">
        <v>5</v>
      </c>
      <c r="E919" t="str">
        <f>IFERROR(VLOOKUP(logos[[#This Row],[Cell_ID]],'registe maintenance'!A:B,2,FALSE)," non répertoriées")</f>
        <v xml:space="preserve"> non répertoriées</v>
      </c>
      <c r="F919" t="str">
        <f>IFERROR(VLOOKUP(logos[[#This Row],[Cell_ID]],'registe maintenance'!A:C,3,FALSE)," non répertoriées")</f>
        <v xml:space="preserve"> non répertoriées</v>
      </c>
      <c r="G919" t="str">
        <f>IFERROR(VLOOKUP(logos[[#This Row],[Cell_ID]],'registe maintenance'!A:D,4,FALSE)," non répertoriées")</f>
        <v xml:space="preserve"> non répertoriées</v>
      </c>
      <c r="H919" t="str">
        <f>IFERROR(VLOOKUP(logos[[#This Row],[Cell_ID]],'registe maintenance'!A:E,5,FALSE)," non répertoriées")</f>
        <v xml:space="preserve"> non répertoriées</v>
      </c>
      <c r="I919" t="str">
        <f>IFERROR(VLOOKUP(logos[[#This Row],[Cell_ID]],'registe maintenance'!A:F,6,FALSE)," non répertoriées")</f>
        <v xml:space="preserve"> non répertoriées</v>
      </c>
      <c r="J919">
        <f>IFERROR(VLOOKUP(B919,'logos transformer '!A:B,2,FALSE),"na")</f>
        <v>2</v>
      </c>
      <c r="K919">
        <f>IFERROR(VLOOKUP(B919,'logos transformer '!A:C,3,FALSE),"na")</f>
        <v>120</v>
      </c>
      <c r="L919" s="1">
        <f>IFERROR(VLOOKUP(B919,'logos transformer '!A:D,4,FALSE),"na")</f>
        <v>45227.393055555556</v>
      </c>
    </row>
    <row r="920" spans="1:12" x14ac:dyDescent="0.3">
      <c r="A920" s="1">
        <v>45225.432638888888</v>
      </c>
      <c r="B920" t="s">
        <v>173</v>
      </c>
      <c r="C920">
        <v>50</v>
      </c>
      <c r="D920" t="s">
        <v>8</v>
      </c>
      <c r="E920" t="str">
        <f>IFERROR(VLOOKUP(logos[[#This Row],[Cell_ID]],'registe maintenance'!A:B,2,FALSE)," non répertoriées")</f>
        <v xml:space="preserve"> non répertoriées</v>
      </c>
      <c r="F920" t="str">
        <f>IFERROR(VLOOKUP(logos[[#This Row],[Cell_ID]],'registe maintenance'!A:C,3,FALSE)," non répertoriées")</f>
        <v xml:space="preserve"> non répertoriées</v>
      </c>
      <c r="G920" t="str">
        <f>IFERROR(VLOOKUP(logos[[#This Row],[Cell_ID]],'registe maintenance'!A:D,4,FALSE)," non répertoriées")</f>
        <v xml:space="preserve"> non répertoriées</v>
      </c>
      <c r="H920" t="str">
        <f>IFERROR(VLOOKUP(logos[[#This Row],[Cell_ID]],'registe maintenance'!A:E,5,FALSE)," non répertoriées")</f>
        <v xml:space="preserve"> non répertoriées</v>
      </c>
      <c r="I920" t="str">
        <f>IFERROR(VLOOKUP(logos[[#This Row],[Cell_ID]],'registe maintenance'!A:F,6,FALSE)," non répertoriées")</f>
        <v xml:space="preserve"> non répertoriées</v>
      </c>
      <c r="J920">
        <f>IFERROR(VLOOKUP(B920,'logos transformer '!A:B,2,FALSE),"na")</f>
        <v>2</v>
      </c>
      <c r="K920">
        <f>IFERROR(VLOOKUP(B920,'logos transformer '!A:C,3,FALSE),"na")</f>
        <v>141</v>
      </c>
      <c r="L920" s="1">
        <f>IFERROR(VLOOKUP(B920,'logos transformer '!A:D,4,FALSE),"na")</f>
        <v>45230.629861111112</v>
      </c>
    </row>
    <row r="921" spans="1:12" x14ac:dyDescent="0.3">
      <c r="A921" s="1">
        <v>45208.762499999997</v>
      </c>
      <c r="B921" t="s">
        <v>601</v>
      </c>
      <c r="C921">
        <v>101</v>
      </c>
      <c r="D921" t="s">
        <v>5</v>
      </c>
      <c r="E921" t="str">
        <f>IFERROR(VLOOKUP(logos[[#This Row],[Cell_ID]],'registe maintenance'!A:B,2,FALSE)," non répertoriées")</f>
        <v xml:space="preserve"> non répertoriées</v>
      </c>
      <c r="F921" t="str">
        <f>IFERROR(VLOOKUP(logos[[#This Row],[Cell_ID]],'registe maintenance'!A:C,3,FALSE)," non répertoriées")</f>
        <v xml:space="preserve"> non répertoriées</v>
      </c>
      <c r="G921" t="str">
        <f>IFERROR(VLOOKUP(logos[[#This Row],[Cell_ID]],'registe maintenance'!A:D,4,FALSE)," non répertoriées")</f>
        <v xml:space="preserve"> non répertoriées</v>
      </c>
      <c r="H921" t="str">
        <f>IFERROR(VLOOKUP(logos[[#This Row],[Cell_ID]],'registe maintenance'!A:E,5,FALSE)," non répertoriées")</f>
        <v xml:space="preserve"> non répertoriées</v>
      </c>
      <c r="I921" t="str">
        <f>IFERROR(VLOOKUP(logos[[#This Row],[Cell_ID]],'registe maintenance'!A:F,6,FALSE)," non répertoriées")</f>
        <v xml:space="preserve"> non répertoriées</v>
      </c>
      <c r="J921">
        <f>IFERROR(VLOOKUP(B921,'logos transformer '!A:B,2,FALSE),"na")</f>
        <v>1</v>
      </c>
      <c r="K921">
        <f>IFERROR(VLOOKUP(B921,'logos transformer '!A:C,3,FALSE),"na")</f>
        <v>101</v>
      </c>
      <c r="L921" s="1">
        <f>IFERROR(VLOOKUP(B921,'logos transformer '!A:D,4,FALSE),"na")</f>
        <v>45208.762499999997</v>
      </c>
    </row>
    <row r="922" spans="1:12" x14ac:dyDescent="0.3">
      <c r="A922" s="1">
        <v>45214.145833333343</v>
      </c>
      <c r="B922" t="s">
        <v>248</v>
      </c>
      <c r="C922">
        <v>29</v>
      </c>
      <c r="D922" t="s">
        <v>10</v>
      </c>
      <c r="E922" t="str">
        <f>IFERROR(VLOOKUP(logos[[#This Row],[Cell_ID]],'registe maintenance'!A:B,2,FALSE)," non répertoriées")</f>
        <v xml:space="preserve"> non répertoriées</v>
      </c>
      <c r="F922" t="str">
        <f>IFERROR(VLOOKUP(logos[[#This Row],[Cell_ID]],'registe maintenance'!A:C,3,FALSE)," non répertoriées")</f>
        <v xml:space="preserve"> non répertoriées</v>
      </c>
      <c r="G922" t="str">
        <f>IFERROR(VLOOKUP(logos[[#This Row],[Cell_ID]],'registe maintenance'!A:D,4,FALSE)," non répertoriées")</f>
        <v xml:space="preserve"> non répertoriées</v>
      </c>
      <c r="H922" t="str">
        <f>IFERROR(VLOOKUP(logos[[#This Row],[Cell_ID]],'registe maintenance'!A:E,5,FALSE)," non répertoriées")</f>
        <v xml:space="preserve"> non répertoriées</v>
      </c>
      <c r="I922" t="str">
        <f>IFERROR(VLOOKUP(logos[[#This Row],[Cell_ID]],'registe maintenance'!A:F,6,FALSE)," non répertoriées")</f>
        <v xml:space="preserve"> non répertoriées</v>
      </c>
      <c r="J922">
        <f>IFERROR(VLOOKUP(B922,'logos transformer '!A:B,2,FALSE),"na")</f>
        <v>3</v>
      </c>
      <c r="K922">
        <f>IFERROR(VLOOKUP(B922,'logos transformer '!A:C,3,FALSE),"na")</f>
        <v>247</v>
      </c>
      <c r="L922" s="1">
        <f>IFERROR(VLOOKUP(B922,'logos transformer '!A:D,4,FALSE),"na")</f>
        <v>45218.990277777775</v>
      </c>
    </row>
    <row r="923" spans="1:12" x14ac:dyDescent="0.3">
      <c r="A923" s="1">
        <v>45201.859027777777</v>
      </c>
      <c r="B923" t="s">
        <v>602</v>
      </c>
      <c r="C923">
        <v>26</v>
      </c>
      <c r="D923" t="s">
        <v>8</v>
      </c>
      <c r="E923" t="str">
        <f>IFERROR(VLOOKUP(logos[[#This Row],[Cell_ID]],'registe maintenance'!A:B,2,FALSE)," non répertoriées")</f>
        <v xml:space="preserve"> non répertoriées</v>
      </c>
      <c r="F923" t="str">
        <f>IFERROR(VLOOKUP(logos[[#This Row],[Cell_ID]],'registe maintenance'!A:C,3,FALSE)," non répertoriées")</f>
        <v xml:space="preserve"> non répertoriées</v>
      </c>
      <c r="G923" t="str">
        <f>IFERROR(VLOOKUP(logos[[#This Row],[Cell_ID]],'registe maintenance'!A:D,4,FALSE)," non répertoriées")</f>
        <v xml:space="preserve"> non répertoriées</v>
      </c>
      <c r="H923" t="str">
        <f>IFERROR(VLOOKUP(logos[[#This Row],[Cell_ID]],'registe maintenance'!A:E,5,FALSE)," non répertoriées")</f>
        <v xml:space="preserve"> non répertoriées</v>
      </c>
      <c r="I923" t="str">
        <f>IFERROR(VLOOKUP(logos[[#This Row],[Cell_ID]],'registe maintenance'!A:F,6,FALSE)," non répertoriées")</f>
        <v xml:space="preserve"> non répertoriées</v>
      </c>
      <c r="J923">
        <f>IFERROR(VLOOKUP(B923,'logos transformer '!A:B,2,FALSE),"na")</f>
        <v>1</v>
      </c>
      <c r="K923">
        <f>IFERROR(VLOOKUP(B923,'logos transformer '!A:C,3,FALSE),"na")</f>
        <v>26</v>
      </c>
      <c r="L923" s="1">
        <f>IFERROR(VLOOKUP(B923,'logos transformer '!A:D,4,FALSE),"na")</f>
        <v>45201.859027777777</v>
      </c>
    </row>
    <row r="924" spans="1:12" x14ac:dyDescent="0.3">
      <c r="A924" s="1">
        <v>45218.794444444437</v>
      </c>
      <c r="B924" t="s">
        <v>603</v>
      </c>
      <c r="C924">
        <v>108</v>
      </c>
      <c r="D924" t="s">
        <v>5</v>
      </c>
      <c r="E924" t="str">
        <f>IFERROR(VLOOKUP(logos[[#This Row],[Cell_ID]],'registe maintenance'!A:B,2,FALSE)," non répertoriées")</f>
        <v xml:space="preserve"> non répertoriées</v>
      </c>
      <c r="F924" t="str">
        <f>IFERROR(VLOOKUP(logos[[#This Row],[Cell_ID]],'registe maintenance'!A:C,3,FALSE)," non répertoriées")</f>
        <v xml:space="preserve"> non répertoriées</v>
      </c>
      <c r="G924" t="str">
        <f>IFERROR(VLOOKUP(logos[[#This Row],[Cell_ID]],'registe maintenance'!A:D,4,FALSE)," non répertoriées")</f>
        <v xml:space="preserve"> non répertoriées</v>
      </c>
      <c r="H924" t="str">
        <f>IFERROR(VLOOKUP(logos[[#This Row],[Cell_ID]],'registe maintenance'!A:E,5,FALSE)," non répertoriées")</f>
        <v xml:space="preserve"> non répertoriées</v>
      </c>
      <c r="I924" t="str">
        <f>IFERROR(VLOOKUP(logos[[#This Row],[Cell_ID]],'registe maintenance'!A:F,6,FALSE)," non répertoriées")</f>
        <v xml:space="preserve"> non répertoriées</v>
      </c>
      <c r="J924">
        <f>IFERROR(VLOOKUP(B924,'logos transformer '!A:B,2,FALSE),"na")</f>
        <v>1</v>
      </c>
      <c r="K924">
        <f>IFERROR(VLOOKUP(B924,'logos transformer '!A:C,3,FALSE),"na")</f>
        <v>108</v>
      </c>
      <c r="L924" s="1">
        <f>IFERROR(VLOOKUP(B924,'logos transformer '!A:D,4,FALSE),"na")</f>
        <v>45218.794444444444</v>
      </c>
    </row>
    <row r="925" spans="1:12" x14ac:dyDescent="0.3">
      <c r="A925" s="1">
        <v>45215.272222222222</v>
      </c>
      <c r="B925" t="s">
        <v>604</v>
      </c>
      <c r="C925">
        <v>56</v>
      </c>
      <c r="D925" t="s">
        <v>10</v>
      </c>
      <c r="E925" t="str">
        <f>IFERROR(VLOOKUP(logos[[#This Row],[Cell_ID]],'registe maintenance'!A:B,2,FALSE)," non répertoriées")</f>
        <v xml:space="preserve"> non répertoriées</v>
      </c>
      <c r="F925" t="str">
        <f>IFERROR(VLOOKUP(logos[[#This Row],[Cell_ID]],'registe maintenance'!A:C,3,FALSE)," non répertoriées")</f>
        <v xml:space="preserve"> non répertoriées</v>
      </c>
      <c r="G925" t="str">
        <f>IFERROR(VLOOKUP(logos[[#This Row],[Cell_ID]],'registe maintenance'!A:D,4,FALSE)," non répertoriées")</f>
        <v xml:space="preserve"> non répertoriées</v>
      </c>
      <c r="H925" t="str">
        <f>IFERROR(VLOOKUP(logos[[#This Row],[Cell_ID]],'registe maintenance'!A:E,5,FALSE)," non répertoriées")</f>
        <v xml:space="preserve"> non répertoriées</v>
      </c>
      <c r="I925" t="str">
        <f>IFERROR(VLOOKUP(logos[[#This Row],[Cell_ID]],'registe maintenance'!A:F,6,FALSE)," non répertoriées")</f>
        <v xml:space="preserve"> non répertoriées</v>
      </c>
      <c r="J925">
        <f>IFERROR(VLOOKUP(B925,'logos transformer '!A:B,2,FALSE),"na")</f>
        <v>1</v>
      </c>
      <c r="K925">
        <f>IFERROR(VLOOKUP(B925,'logos transformer '!A:C,3,FALSE),"na")</f>
        <v>56</v>
      </c>
      <c r="L925" s="1">
        <f>IFERROR(VLOOKUP(B925,'logos transformer '!A:D,4,FALSE),"na")</f>
        <v>45215.272222222222</v>
      </c>
    </row>
    <row r="926" spans="1:12" x14ac:dyDescent="0.3">
      <c r="A926" s="1">
        <v>45203.89166666667</v>
      </c>
      <c r="B926" t="s">
        <v>172</v>
      </c>
      <c r="C926">
        <v>7</v>
      </c>
      <c r="D926" t="s">
        <v>8</v>
      </c>
      <c r="E926" t="str">
        <f>IFERROR(VLOOKUP(logos[[#This Row],[Cell_ID]],'registe maintenance'!A:B,2,FALSE)," non répertoriées")</f>
        <v xml:space="preserve"> non répertoriées</v>
      </c>
      <c r="F926" t="str">
        <f>IFERROR(VLOOKUP(logos[[#This Row],[Cell_ID]],'registe maintenance'!A:C,3,FALSE)," non répertoriées")</f>
        <v xml:space="preserve"> non répertoriées</v>
      </c>
      <c r="G926" t="str">
        <f>IFERROR(VLOOKUP(logos[[#This Row],[Cell_ID]],'registe maintenance'!A:D,4,FALSE)," non répertoriées")</f>
        <v xml:space="preserve"> non répertoriées</v>
      </c>
      <c r="H926" t="str">
        <f>IFERROR(VLOOKUP(logos[[#This Row],[Cell_ID]],'registe maintenance'!A:E,5,FALSE)," non répertoriées")</f>
        <v xml:space="preserve"> non répertoriées</v>
      </c>
      <c r="I926" t="str">
        <f>IFERROR(VLOOKUP(logos[[#This Row],[Cell_ID]],'registe maintenance'!A:F,6,FALSE)," non répertoriées")</f>
        <v xml:space="preserve"> non répertoriées</v>
      </c>
      <c r="J926">
        <f>IFERROR(VLOOKUP(B926,'logos transformer '!A:B,2,FALSE),"na")</f>
        <v>4</v>
      </c>
      <c r="K926">
        <f>IFERROR(VLOOKUP(B926,'logos transformer '!A:C,3,FALSE),"na")</f>
        <v>162</v>
      </c>
      <c r="L926" s="1">
        <f>IFERROR(VLOOKUP(B926,'logos transformer '!A:D,4,FALSE),"na")</f>
        <v>45220.651388888888</v>
      </c>
    </row>
    <row r="927" spans="1:12" x14ac:dyDescent="0.3">
      <c r="A927" s="1">
        <v>45216.393055555563</v>
      </c>
      <c r="B927" t="s">
        <v>605</v>
      </c>
      <c r="C927">
        <v>34</v>
      </c>
      <c r="D927" t="s">
        <v>10</v>
      </c>
      <c r="E927" t="str">
        <f>IFERROR(VLOOKUP(logos[[#This Row],[Cell_ID]],'registe maintenance'!A:B,2,FALSE)," non répertoriées")</f>
        <v xml:space="preserve"> non répertoriées</v>
      </c>
      <c r="F927" t="str">
        <f>IFERROR(VLOOKUP(logos[[#This Row],[Cell_ID]],'registe maintenance'!A:C,3,FALSE)," non répertoriées")</f>
        <v xml:space="preserve"> non répertoriées</v>
      </c>
      <c r="G927" t="str">
        <f>IFERROR(VLOOKUP(logos[[#This Row],[Cell_ID]],'registe maintenance'!A:D,4,FALSE)," non répertoriées")</f>
        <v xml:space="preserve"> non répertoriées</v>
      </c>
      <c r="H927" t="str">
        <f>IFERROR(VLOOKUP(logos[[#This Row],[Cell_ID]],'registe maintenance'!A:E,5,FALSE)," non répertoriées")</f>
        <v xml:space="preserve"> non répertoriées</v>
      </c>
      <c r="I927" t="str">
        <f>IFERROR(VLOOKUP(logos[[#This Row],[Cell_ID]],'registe maintenance'!A:F,6,FALSE)," non répertoriées")</f>
        <v xml:space="preserve"> non répertoriées</v>
      </c>
      <c r="J927">
        <f>IFERROR(VLOOKUP(B927,'logos transformer '!A:B,2,FALSE),"na")</f>
        <v>1</v>
      </c>
      <c r="K927">
        <f>IFERROR(VLOOKUP(B927,'logos transformer '!A:C,3,FALSE),"na")</f>
        <v>34</v>
      </c>
      <c r="L927" s="1">
        <f>IFERROR(VLOOKUP(B927,'logos transformer '!A:D,4,FALSE),"na")</f>
        <v>45216.393055555556</v>
      </c>
    </row>
    <row r="928" spans="1:12" x14ac:dyDescent="0.3">
      <c r="A928" s="1">
        <v>45201.172222222223</v>
      </c>
      <c r="B928" t="s">
        <v>606</v>
      </c>
      <c r="C928">
        <v>33</v>
      </c>
      <c r="D928" t="s">
        <v>10</v>
      </c>
      <c r="E928" t="str">
        <f>IFERROR(VLOOKUP(logos[[#This Row],[Cell_ID]],'registe maintenance'!A:B,2,FALSE)," non répertoriées")</f>
        <v>Nord-Ubangi</v>
      </c>
      <c r="F928">
        <f>IFERROR(VLOOKUP(logos[[#This Row],[Cell_ID]],'registe maintenance'!A:C,3,FALSE)," non répertoriées")</f>
        <v>-7.9987219999999999</v>
      </c>
      <c r="G928">
        <f>IFERROR(VLOOKUP(logos[[#This Row],[Cell_ID]],'registe maintenance'!A:D,4,FALSE)," non répertoriées")</f>
        <v>12.779335</v>
      </c>
      <c r="H928" t="str">
        <f>IFERROR(VLOOKUP(logos[[#This Row],[Cell_ID]],'registe maintenance'!A:E,5,FALSE)," non répertoriées")</f>
        <v>5G</v>
      </c>
      <c r="I928" t="str">
        <f>IFERROR(VLOOKUP(logos[[#This Row],[Cell_ID]],'registe maintenance'!A:F,6,FALSE)," non répertoriées")</f>
        <v>Nokia</v>
      </c>
      <c r="J928">
        <f>IFERROR(VLOOKUP(B928,'logos transformer '!A:B,2,FALSE),"na")</f>
        <v>2</v>
      </c>
      <c r="K928">
        <f>IFERROR(VLOOKUP(B928,'logos transformer '!A:C,3,FALSE),"na")</f>
        <v>154</v>
      </c>
      <c r="L928" s="1">
        <f>IFERROR(VLOOKUP(B928,'logos transformer '!A:D,4,FALSE),"na")</f>
        <v>45226.623611111114</v>
      </c>
    </row>
    <row r="929" spans="1:12" x14ac:dyDescent="0.3">
      <c r="A929" s="1">
        <v>45206.43472222222</v>
      </c>
      <c r="B929" t="s">
        <v>28</v>
      </c>
      <c r="C929">
        <v>98</v>
      </c>
      <c r="D929" t="s">
        <v>5</v>
      </c>
      <c r="E929" t="str">
        <f>IFERROR(VLOOKUP(logos[[#This Row],[Cell_ID]],'registe maintenance'!A:B,2,FALSE)," non répertoriées")</f>
        <v xml:space="preserve"> non répertoriées</v>
      </c>
      <c r="F929" t="str">
        <f>IFERROR(VLOOKUP(logos[[#This Row],[Cell_ID]],'registe maintenance'!A:C,3,FALSE)," non répertoriées")</f>
        <v xml:space="preserve"> non répertoriées</v>
      </c>
      <c r="G929" t="str">
        <f>IFERROR(VLOOKUP(logos[[#This Row],[Cell_ID]],'registe maintenance'!A:D,4,FALSE)," non répertoriées")</f>
        <v xml:space="preserve"> non répertoriées</v>
      </c>
      <c r="H929" t="str">
        <f>IFERROR(VLOOKUP(logos[[#This Row],[Cell_ID]],'registe maintenance'!A:E,5,FALSE)," non répertoriées")</f>
        <v xml:space="preserve"> non répertoriées</v>
      </c>
      <c r="I929" t="str">
        <f>IFERROR(VLOOKUP(logos[[#This Row],[Cell_ID]],'registe maintenance'!A:F,6,FALSE)," non répertoriées")</f>
        <v xml:space="preserve"> non répertoriées</v>
      </c>
      <c r="J929">
        <f>IFERROR(VLOOKUP(B929,'logos transformer '!A:B,2,FALSE),"na")</f>
        <v>2</v>
      </c>
      <c r="K929">
        <f>IFERROR(VLOOKUP(B929,'logos transformer '!A:C,3,FALSE),"na")</f>
        <v>190</v>
      </c>
      <c r="L929" s="1">
        <f>IFERROR(VLOOKUP(B929,'logos transformer '!A:D,4,FALSE),"na")</f>
        <v>45217.411805555559</v>
      </c>
    </row>
    <row r="930" spans="1:12" x14ac:dyDescent="0.3">
      <c r="A930" s="1">
        <v>45218.589583333327</v>
      </c>
      <c r="B930" t="s">
        <v>505</v>
      </c>
      <c r="C930">
        <v>21</v>
      </c>
      <c r="D930" t="s">
        <v>5</v>
      </c>
      <c r="E930" t="str">
        <f>IFERROR(VLOOKUP(logos[[#This Row],[Cell_ID]],'registe maintenance'!A:B,2,FALSE)," non répertoriées")</f>
        <v>Sud-Kivu</v>
      </c>
      <c r="F930">
        <f>IFERROR(VLOOKUP(logos[[#This Row],[Cell_ID]],'registe maintenance'!A:C,3,FALSE)," non répertoriées")</f>
        <v>-11.514817000000001</v>
      </c>
      <c r="G930">
        <f>IFERROR(VLOOKUP(logos[[#This Row],[Cell_ID]],'registe maintenance'!A:D,4,FALSE)," non répertoriées")</f>
        <v>24.891375</v>
      </c>
      <c r="H930" t="str">
        <f>IFERROR(VLOOKUP(logos[[#This Row],[Cell_ID]],'registe maintenance'!A:E,5,FALSE)," non répertoriées")</f>
        <v>3G</v>
      </c>
      <c r="I930" t="str">
        <f>IFERROR(VLOOKUP(logos[[#This Row],[Cell_ID]],'registe maintenance'!A:F,6,FALSE)," non répertoriées")</f>
        <v>Nokia</v>
      </c>
      <c r="J930">
        <f>IFERROR(VLOOKUP(B930,'logos transformer '!A:B,2,FALSE),"na")</f>
        <v>2</v>
      </c>
      <c r="K930">
        <f>IFERROR(VLOOKUP(B930,'logos transformer '!A:C,3,FALSE),"na")</f>
        <v>53</v>
      </c>
      <c r="L930" s="1">
        <f>IFERROR(VLOOKUP(B930,'logos transformer '!A:D,4,FALSE),"na")</f>
        <v>45218.589583333334</v>
      </c>
    </row>
    <row r="931" spans="1:12" x14ac:dyDescent="0.3">
      <c r="A931" s="1">
        <v>45210.924305555563</v>
      </c>
      <c r="B931" t="s">
        <v>607</v>
      </c>
      <c r="C931">
        <v>32</v>
      </c>
      <c r="D931" t="s">
        <v>8</v>
      </c>
      <c r="E931" t="str">
        <f>IFERROR(VLOOKUP(logos[[#This Row],[Cell_ID]],'registe maintenance'!A:B,2,FALSE)," non répertoriées")</f>
        <v xml:space="preserve"> non répertoriées</v>
      </c>
      <c r="F931" t="str">
        <f>IFERROR(VLOOKUP(logos[[#This Row],[Cell_ID]],'registe maintenance'!A:C,3,FALSE)," non répertoriées")</f>
        <v xml:space="preserve"> non répertoriées</v>
      </c>
      <c r="G931" t="str">
        <f>IFERROR(VLOOKUP(logos[[#This Row],[Cell_ID]],'registe maintenance'!A:D,4,FALSE)," non répertoriées")</f>
        <v xml:space="preserve"> non répertoriées</v>
      </c>
      <c r="H931" t="str">
        <f>IFERROR(VLOOKUP(logos[[#This Row],[Cell_ID]],'registe maintenance'!A:E,5,FALSE)," non répertoriées")</f>
        <v xml:space="preserve"> non répertoriées</v>
      </c>
      <c r="I931" t="str">
        <f>IFERROR(VLOOKUP(logos[[#This Row],[Cell_ID]],'registe maintenance'!A:F,6,FALSE)," non répertoriées")</f>
        <v xml:space="preserve"> non répertoriées</v>
      </c>
      <c r="J931">
        <f>IFERROR(VLOOKUP(B931,'logos transformer '!A:B,2,FALSE),"na")</f>
        <v>1</v>
      </c>
      <c r="K931">
        <f>IFERROR(VLOOKUP(B931,'logos transformer '!A:C,3,FALSE),"na")</f>
        <v>32</v>
      </c>
      <c r="L931" s="1">
        <f>IFERROR(VLOOKUP(B931,'logos transformer '!A:D,4,FALSE),"na")</f>
        <v>45210.924305555556</v>
      </c>
    </row>
    <row r="932" spans="1:12" x14ac:dyDescent="0.3">
      <c r="A932" s="1">
        <v>45224.104861111111</v>
      </c>
      <c r="B932" t="s">
        <v>608</v>
      </c>
      <c r="C932">
        <v>98</v>
      </c>
      <c r="D932" t="s">
        <v>10</v>
      </c>
      <c r="E932" t="str">
        <f>IFERROR(VLOOKUP(logos[[#This Row],[Cell_ID]],'registe maintenance'!A:B,2,FALSE)," non répertoriées")</f>
        <v>Tanganyika</v>
      </c>
      <c r="F932">
        <f>IFERROR(VLOOKUP(logos[[#This Row],[Cell_ID]],'registe maintenance'!A:C,3,FALSE)," non répertoriées")</f>
        <v>-7.0007840000000003</v>
      </c>
      <c r="G932">
        <f>IFERROR(VLOOKUP(logos[[#This Row],[Cell_ID]],'registe maintenance'!A:D,4,FALSE)," non répertoriées")</f>
        <v>22.787997000000001</v>
      </c>
      <c r="H932" t="str">
        <f>IFERROR(VLOOKUP(logos[[#This Row],[Cell_ID]],'registe maintenance'!A:E,5,FALSE)," non répertoriées")</f>
        <v>5G</v>
      </c>
      <c r="I932" t="str">
        <f>IFERROR(VLOOKUP(logos[[#This Row],[Cell_ID]],'registe maintenance'!A:F,6,FALSE)," non répertoriées")</f>
        <v>ZTE</v>
      </c>
      <c r="J932">
        <f>IFERROR(VLOOKUP(B932,'logos transformer '!A:B,2,FALSE),"na")</f>
        <v>1</v>
      </c>
      <c r="K932">
        <f>IFERROR(VLOOKUP(B932,'logos transformer '!A:C,3,FALSE),"na")</f>
        <v>98</v>
      </c>
      <c r="L932" s="1">
        <f>IFERROR(VLOOKUP(B932,'logos transformer '!A:D,4,FALSE),"na")</f>
        <v>45224.104861111111</v>
      </c>
    </row>
    <row r="933" spans="1:12" x14ac:dyDescent="0.3">
      <c r="A933" s="1">
        <v>45210.84097222222</v>
      </c>
      <c r="B933" t="s">
        <v>205</v>
      </c>
      <c r="C933">
        <v>7</v>
      </c>
      <c r="D933" t="s">
        <v>5</v>
      </c>
      <c r="E933" t="str">
        <f>IFERROR(VLOOKUP(logos[[#This Row],[Cell_ID]],'registe maintenance'!A:B,2,FALSE)," non répertoriées")</f>
        <v xml:space="preserve"> non répertoriées</v>
      </c>
      <c r="F933" t="str">
        <f>IFERROR(VLOOKUP(logos[[#This Row],[Cell_ID]],'registe maintenance'!A:C,3,FALSE)," non répertoriées")</f>
        <v xml:space="preserve"> non répertoriées</v>
      </c>
      <c r="G933" t="str">
        <f>IFERROR(VLOOKUP(logos[[#This Row],[Cell_ID]],'registe maintenance'!A:D,4,FALSE)," non répertoriées")</f>
        <v xml:space="preserve"> non répertoriées</v>
      </c>
      <c r="H933" t="str">
        <f>IFERROR(VLOOKUP(logos[[#This Row],[Cell_ID]],'registe maintenance'!A:E,5,FALSE)," non répertoriées")</f>
        <v xml:space="preserve"> non répertoriées</v>
      </c>
      <c r="I933" t="str">
        <f>IFERROR(VLOOKUP(logos[[#This Row],[Cell_ID]],'registe maintenance'!A:F,6,FALSE)," non répertoriées")</f>
        <v xml:space="preserve"> non répertoriées</v>
      </c>
      <c r="J933">
        <f>IFERROR(VLOOKUP(B933,'logos transformer '!A:B,2,FALSE),"na")</f>
        <v>2</v>
      </c>
      <c r="K933">
        <f>IFERROR(VLOOKUP(B933,'logos transformer '!A:C,3,FALSE),"na")</f>
        <v>109</v>
      </c>
      <c r="L933" s="1">
        <f>IFERROR(VLOOKUP(B933,'logos transformer '!A:D,4,FALSE),"na")</f>
        <v>45214.109722222223</v>
      </c>
    </row>
    <row r="934" spans="1:12" x14ac:dyDescent="0.3">
      <c r="A934" s="1">
        <v>45210.835416666669</v>
      </c>
      <c r="B934" t="s">
        <v>77</v>
      </c>
      <c r="C934">
        <v>80</v>
      </c>
      <c r="D934" t="s">
        <v>8</v>
      </c>
      <c r="E934" t="str">
        <f>IFERROR(VLOOKUP(logos[[#This Row],[Cell_ID]],'registe maintenance'!A:B,2,FALSE)," non répertoriées")</f>
        <v>Haut-Katanga</v>
      </c>
      <c r="F934">
        <f>IFERROR(VLOOKUP(logos[[#This Row],[Cell_ID]],'registe maintenance'!A:C,3,FALSE)," non répertoriées")</f>
        <v>4.4712560000000003</v>
      </c>
      <c r="G934">
        <f>IFERROR(VLOOKUP(logos[[#This Row],[Cell_ID]],'registe maintenance'!A:D,4,FALSE)," non répertoriées")</f>
        <v>27.107028</v>
      </c>
      <c r="H934" t="str">
        <f>IFERROR(VLOOKUP(logos[[#This Row],[Cell_ID]],'registe maintenance'!A:E,5,FALSE)," non répertoriées")</f>
        <v>3G</v>
      </c>
      <c r="I934" t="str">
        <f>IFERROR(VLOOKUP(logos[[#This Row],[Cell_ID]],'registe maintenance'!A:F,6,FALSE)," non répertoriées")</f>
        <v>Ericsson</v>
      </c>
      <c r="J934">
        <f>IFERROR(VLOOKUP(B934,'logos transformer '!A:B,2,FALSE),"na")</f>
        <v>2</v>
      </c>
      <c r="K934">
        <f>IFERROR(VLOOKUP(B934,'logos transformer '!A:C,3,FALSE),"na")</f>
        <v>169</v>
      </c>
      <c r="L934" s="1">
        <f>IFERROR(VLOOKUP(B934,'logos transformer '!A:D,4,FALSE),"na")</f>
        <v>45223.418749999997</v>
      </c>
    </row>
    <row r="935" spans="1:12" x14ac:dyDescent="0.3">
      <c r="A935" s="1">
        <v>45200.595138888893</v>
      </c>
      <c r="B935" t="s">
        <v>504</v>
      </c>
      <c r="C935">
        <v>69</v>
      </c>
      <c r="D935" t="s">
        <v>10</v>
      </c>
      <c r="E935" t="str">
        <f>IFERROR(VLOOKUP(logos[[#This Row],[Cell_ID]],'registe maintenance'!A:B,2,FALSE)," non répertoriées")</f>
        <v xml:space="preserve"> non répertoriées</v>
      </c>
      <c r="F935" t="str">
        <f>IFERROR(VLOOKUP(logos[[#This Row],[Cell_ID]],'registe maintenance'!A:C,3,FALSE)," non répertoriées")</f>
        <v xml:space="preserve"> non répertoriées</v>
      </c>
      <c r="G935" t="str">
        <f>IFERROR(VLOOKUP(logos[[#This Row],[Cell_ID]],'registe maintenance'!A:D,4,FALSE)," non répertoriées")</f>
        <v xml:space="preserve"> non répertoriées</v>
      </c>
      <c r="H935" t="str">
        <f>IFERROR(VLOOKUP(logos[[#This Row],[Cell_ID]],'registe maintenance'!A:E,5,FALSE)," non répertoriées")</f>
        <v xml:space="preserve"> non répertoriées</v>
      </c>
      <c r="I935" t="str">
        <f>IFERROR(VLOOKUP(logos[[#This Row],[Cell_ID]],'registe maintenance'!A:F,6,FALSE)," non répertoriées")</f>
        <v xml:space="preserve"> non répertoriées</v>
      </c>
      <c r="J935">
        <f>IFERROR(VLOOKUP(B935,'logos transformer '!A:B,2,FALSE),"na")</f>
        <v>2</v>
      </c>
      <c r="K935">
        <f>IFERROR(VLOOKUP(B935,'logos transformer '!A:C,3,FALSE),"na")</f>
        <v>166</v>
      </c>
      <c r="L935" s="1">
        <f>IFERROR(VLOOKUP(B935,'logos transformer '!A:D,4,FALSE),"na")</f>
        <v>45230.577777777777</v>
      </c>
    </row>
    <row r="936" spans="1:12" x14ac:dyDescent="0.3">
      <c r="A936" s="1">
        <v>45206.23333333333</v>
      </c>
      <c r="B936" t="s">
        <v>609</v>
      </c>
      <c r="C936">
        <v>26</v>
      </c>
      <c r="D936" t="s">
        <v>10</v>
      </c>
      <c r="E936" t="str">
        <f>IFERROR(VLOOKUP(logos[[#This Row],[Cell_ID]],'registe maintenance'!A:B,2,FALSE)," non répertoriées")</f>
        <v>Mai-Ndombe</v>
      </c>
      <c r="F936">
        <f>IFERROR(VLOOKUP(logos[[#This Row],[Cell_ID]],'registe maintenance'!A:C,3,FALSE)," non répertoriées")</f>
        <v>-4.6311460000000002</v>
      </c>
      <c r="G936">
        <f>IFERROR(VLOOKUP(logos[[#This Row],[Cell_ID]],'registe maintenance'!A:D,4,FALSE)," non répertoriées")</f>
        <v>25.314723000000001</v>
      </c>
      <c r="H936" t="str">
        <f>IFERROR(VLOOKUP(logos[[#This Row],[Cell_ID]],'registe maintenance'!A:E,5,FALSE)," non répertoriées")</f>
        <v>4G</v>
      </c>
      <c r="I936" t="str">
        <f>IFERROR(VLOOKUP(logos[[#This Row],[Cell_ID]],'registe maintenance'!A:F,6,FALSE)," non répertoriées")</f>
        <v>Huawei</v>
      </c>
      <c r="J936">
        <f>IFERROR(VLOOKUP(B936,'logos transformer '!A:B,2,FALSE),"na")</f>
        <v>1</v>
      </c>
      <c r="K936">
        <f>IFERROR(VLOOKUP(B936,'logos transformer '!A:C,3,FALSE),"na")</f>
        <v>26</v>
      </c>
      <c r="L936" s="1">
        <f>IFERROR(VLOOKUP(B936,'logos transformer '!A:D,4,FALSE),"na")</f>
        <v>45206.23333333333</v>
      </c>
    </row>
    <row r="937" spans="1:12" x14ac:dyDescent="0.3">
      <c r="A937" s="1">
        <v>45224.229861111111</v>
      </c>
      <c r="B937" t="s">
        <v>610</v>
      </c>
      <c r="C937">
        <v>20</v>
      </c>
      <c r="D937" t="s">
        <v>5</v>
      </c>
      <c r="E937" t="str">
        <f>IFERROR(VLOOKUP(logos[[#This Row],[Cell_ID]],'registe maintenance'!A:B,2,FALSE)," non répertoriées")</f>
        <v>Nord-Kivu</v>
      </c>
      <c r="F937">
        <f>IFERROR(VLOOKUP(logos[[#This Row],[Cell_ID]],'registe maintenance'!A:C,3,FALSE)," non répertoriées")</f>
        <v>-10.298385</v>
      </c>
      <c r="G937">
        <f>IFERROR(VLOOKUP(logos[[#This Row],[Cell_ID]],'registe maintenance'!A:D,4,FALSE)," non répertoriées")</f>
        <v>29.698117</v>
      </c>
      <c r="H937" t="str">
        <f>IFERROR(VLOOKUP(logos[[#This Row],[Cell_ID]],'registe maintenance'!A:E,5,FALSE)," non répertoriées")</f>
        <v>5G</v>
      </c>
      <c r="I937" t="str">
        <f>IFERROR(VLOOKUP(logos[[#This Row],[Cell_ID]],'registe maintenance'!A:F,6,FALSE)," non répertoriées")</f>
        <v>Nokia</v>
      </c>
      <c r="J937">
        <f>IFERROR(VLOOKUP(B937,'logos transformer '!A:B,2,FALSE),"na")</f>
        <v>2</v>
      </c>
      <c r="K937">
        <f>IFERROR(VLOOKUP(B937,'logos transformer '!A:C,3,FALSE),"na")</f>
        <v>72</v>
      </c>
      <c r="L937" s="1">
        <f>IFERROR(VLOOKUP(B937,'logos transformer '!A:D,4,FALSE),"na")</f>
        <v>45224.229861111111</v>
      </c>
    </row>
    <row r="938" spans="1:12" x14ac:dyDescent="0.3">
      <c r="A938" s="1">
        <v>45225.088888888888</v>
      </c>
      <c r="B938" t="s">
        <v>611</v>
      </c>
      <c r="C938">
        <v>51</v>
      </c>
      <c r="D938" t="s">
        <v>5</v>
      </c>
      <c r="E938" t="str">
        <f>IFERROR(VLOOKUP(logos[[#This Row],[Cell_ID]],'registe maintenance'!A:B,2,FALSE)," non répertoriées")</f>
        <v xml:space="preserve"> non répertoriées</v>
      </c>
      <c r="F938" t="str">
        <f>IFERROR(VLOOKUP(logos[[#This Row],[Cell_ID]],'registe maintenance'!A:C,3,FALSE)," non répertoriées")</f>
        <v xml:space="preserve"> non répertoriées</v>
      </c>
      <c r="G938" t="str">
        <f>IFERROR(VLOOKUP(logos[[#This Row],[Cell_ID]],'registe maintenance'!A:D,4,FALSE)," non répertoriées")</f>
        <v xml:space="preserve"> non répertoriées</v>
      </c>
      <c r="H938" t="str">
        <f>IFERROR(VLOOKUP(logos[[#This Row],[Cell_ID]],'registe maintenance'!A:E,5,FALSE)," non répertoriées")</f>
        <v xml:space="preserve"> non répertoriées</v>
      </c>
      <c r="I938" t="str">
        <f>IFERROR(VLOOKUP(logos[[#This Row],[Cell_ID]],'registe maintenance'!A:F,6,FALSE)," non répertoriées")</f>
        <v xml:space="preserve"> non répertoriées</v>
      </c>
      <c r="J938">
        <f>IFERROR(VLOOKUP(B938,'logos transformer '!A:B,2,FALSE),"na")</f>
        <v>1</v>
      </c>
      <c r="K938">
        <f>IFERROR(VLOOKUP(B938,'logos transformer '!A:C,3,FALSE),"na")</f>
        <v>51</v>
      </c>
      <c r="L938" s="1">
        <f>IFERROR(VLOOKUP(B938,'logos transformer '!A:D,4,FALSE),"na")</f>
        <v>45225.088888888888</v>
      </c>
    </row>
    <row r="939" spans="1:12" x14ac:dyDescent="0.3">
      <c r="A939" s="1">
        <v>45219.569444444453</v>
      </c>
      <c r="B939" t="s">
        <v>543</v>
      </c>
      <c r="C939">
        <v>96</v>
      </c>
      <c r="D939" t="s">
        <v>5</v>
      </c>
      <c r="E939" t="str">
        <f>IFERROR(VLOOKUP(logos[[#This Row],[Cell_ID]],'registe maintenance'!A:B,2,FALSE)," non répertoriées")</f>
        <v>Kongo-Central</v>
      </c>
      <c r="F939">
        <f>IFERROR(VLOOKUP(logos[[#This Row],[Cell_ID]],'registe maintenance'!A:C,3,FALSE)," non répertoriées")</f>
        <v>-7.1587569999999996</v>
      </c>
      <c r="G939">
        <f>IFERROR(VLOOKUP(logos[[#This Row],[Cell_ID]],'registe maintenance'!A:D,4,FALSE)," non répertoriées")</f>
        <v>18.975141000000001</v>
      </c>
      <c r="H939" t="str">
        <f>IFERROR(VLOOKUP(logos[[#This Row],[Cell_ID]],'registe maintenance'!A:E,5,FALSE)," non répertoriées")</f>
        <v>5G</v>
      </c>
      <c r="I939" t="str">
        <f>IFERROR(VLOOKUP(logos[[#This Row],[Cell_ID]],'registe maintenance'!A:F,6,FALSE)," non répertoriées")</f>
        <v>Ericsson</v>
      </c>
      <c r="J939">
        <f>IFERROR(VLOOKUP(B939,'logos transformer '!A:B,2,FALSE),"na")</f>
        <v>3</v>
      </c>
      <c r="K939">
        <f>IFERROR(VLOOKUP(B939,'logos transformer '!A:C,3,FALSE),"na")</f>
        <v>266</v>
      </c>
      <c r="L939" s="1">
        <f>IFERROR(VLOOKUP(B939,'logos transformer '!A:D,4,FALSE),"na")</f>
        <v>45219.569444444445</v>
      </c>
    </row>
    <row r="940" spans="1:12" x14ac:dyDescent="0.3">
      <c r="A940" s="1">
        <v>45213.518750000003</v>
      </c>
      <c r="B940" t="s">
        <v>528</v>
      </c>
      <c r="C940">
        <v>88</v>
      </c>
      <c r="D940" t="s">
        <v>8</v>
      </c>
      <c r="E940" t="str">
        <f>IFERROR(VLOOKUP(logos[[#This Row],[Cell_ID]],'registe maintenance'!A:B,2,FALSE)," non répertoriées")</f>
        <v>Lomami</v>
      </c>
      <c r="F940">
        <f>IFERROR(VLOOKUP(logos[[#This Row],[Cell_ID]],'registe maintenance'!A:C,3,FALSE)," non répertoriées")</f>
        <v>4.8265669999999998</v>
      </c>
      <c r="G940">
        <f>IFERROR(VLOOKUP(logos[[#This Row],[Cell_ID]],'registe maintenance'!A:D,4,FALSE)," non répertoriées")</f>
        <v>28.535277000000001</v>
      </c>
      <c r="H940" t="str">
        <f>IFERROR(VLOOKUP(logos[[#This Row],[Cell_ID]],'registe maintenance'!A:E,5,FALSE)," non répertoriées")</f>
        <v>3G</v>
      </c>
      <c r="I940" t="str">
        <f>IFERROR(VLOOKUP(logos[[#This Row],[Cell_ID]],'registe maintenance'!A:F,6,FALSE)," non répertoriées")</f>
        <v>Huawei</v>
      </c>
      <c r="J940">
        <f>IFERROR(VLOOKUP(B940,'logos transformer '!A:B,2,FALSE),"na")</f>
        <v>2</v>
      </c>
      <c r="K940">
        <f>IFERROR(VLOOKUP(B940,'logos transformer '!A:C,3,FALSE),"na")</f>
        <v>162</v>
      </c>
      <c r="L940" s="1">
        <f>IFERROR(VLOOKUP(B940,'logos transformer '!A:D,4,FALSE),"na")</f>
        <v>45216.094444444447</v>
      </c>
    </row>
    <row r="941" spans="1:12" x14ac:dyDescent="0.3">
      <c r="A941" s="1">
        <v>45230.64166666667</v>
      </c>
      <c r="B941" t="s">
        <v>612</v>
      </c>
      <c r="C941">
        <v>106</v>
      </c>
      <c r="D941" t="s">
        <v>5</v>
      </c>
      <c r="E941" t="str">
        <f>IFERROR(VLOOKUP(logos[[#This Row],[Cell_ID]],'registe maintenance'!A:B,2,FALSE)," non répertoriées")</f>
        <v>Nord-Ubangi</v>
      </c>
      <c r="F941">
        <f>IFERROR(VLOOKUP(logos[[#This Row],[Cell_ID]],'registe maintenance'!A:C,3,FALSE)," non répertoriées")</f>
        <v>-6.8149179999999996</v>
      </c>
      <c r="G941">
        <f>IFERROR(VLOOKUP(logos[[#This Row],[Cell_ID]],'registe maintenance'!A:D,4,FALSE)," non répertoriées")</f>
        <v>23.258102000000001</v>
      </c>
      <c r="H941" t="str">
        <f>IFERROR(VLOOKUP(logos[[#This Row],[Cell_ID]],'registe maintenance'!A:E,5,FALSE)," non répertoriées")</f>
        <v>5G</v>
      </c>
      <c r="I941" t="str">
        <f>IFERROR(VLOOKUP(logos[[#This Row],[Cell_ID]],'registe maintenance'!A:F,6,FALSE)," non répertoriées")</f>
        <v>Huawei</v>
      </c>
      <c r="J941">
        <f>IFERROR(VLOOKUP(B941,'logos transformer '!A:B,2,FALSE),"na")</f>
        <v>1</v>
      </c>
      <c r="K941">
        <f>IFERROR(VLOOKUP(B941,'logos transformer '!A:C,3,FALSE),"na")</f>
        <v>106</v>
      </c>
      <c r="L941" s="1">
        <f>IFERROR(VLOOKUP(B941,'logos transformer '!A:D,4,FALSE),"na")</f>
        <v>45230.64166666667</v>
      </c>
    </row>
    <row r="942" spans="1:12" x14ac:dyDescent="0.3">
      <c r="A942" s="1">
        <v>45200.06527777778</v>
      </c>
      <c r="B942" t="s">
        <v>190</v>
      </c>
      <c r="C942">
        <v>9</v>
      </c>
      <c r="D942" t="s">
        <v>5</v>
      </c>
      <c r="E942" t="str">
        <f>IFERROR(VLOOKUP(logos[[#This Row],[Cell_ID]],'registe maintenance'!A:B,2,FALSE)," non répertoriées")</f>
        <v xml:space="preserve"> non répertoriées</v>
      </c>
      <c r="F942" t="str">
        <f>IFERROR(VLOOKUP(logos[[#This Row],[Cell_ID]],'registe maintenance'!A:C,3,FALSE)," non répertoriées")</f>
        <v xml:space="preserve"> non répertoriées</v>
      </c>
      <c r="G942" t="str">
        <f>IFERROR(VLOOKUP(logos[[#This Row],[Cell_ID]],'registe maintenance'!A:D,4,FALSE)," non répertoriées")</f>
        <v xml:space="preserve"> non répertoriées</v>
      </c>
      <c r="H942" t="str">
        <f>IFERROR(VLOOKUP(logos[[#This Row],[Cell_ID]],'registe maintenance'!A:E,5,FALSE)," non répertoriées")</f>
        <v xml:space="preserve"> non répertoriées</v>
      </c>
      <c r="I942" t="str">
        <f>IFERROR(VLOOKUP(logos[[#This Row],[Cell_ID]],'registe maintenance'!A:F,6,FALSE)," non répertoriées")</f>
        <v xml:space="preserve"> non répertoriées</v>
      </c>
      <c r="J942">
        <f>IFERROR(VLOOKUP(B942,'logos transformer '!A:B,2,FALSE),"na")</f>
        <v>2</v>
      </c>
      <c r="K942">
        <f>IFERROR(VLOOKUP(B942,'logos transformer '!A:C,3,FALSE),"na")</f>
        <v>118</v>
      </c>
      <c r="L942" s="1">
        <f>IFERROR(VLOOKUP(B942,'logos transformer '!A:D,4,FALSE),"na")</f>
        <v>45205.711111111108</v>
      </c>
    </row>
    <row r="943" spans="1:12" x14ac:dyDescent="0.3">
      <c r="A943" s="1">
        <v>45206.974305555559</v>
      </c>
      <c r="B943" t="s">
        <v>613</v>
      </c>
      <c r="C943">
        <v>53</v>
      </c>
      <c r="D943" t="s">
        <v>8</v>
      </c>
      <c r="E943" t="str">
        <f>IFERROR(VLOOKUP(logos[[#This Row],[Cell_ID]],'registe maintenance'!A:B,2,FALSE)," non répertoriées")</f>
        <v>Haut-Katanga</v>
      </c>
      <c r="F943">
        <f>IFERROR(VLOOKUP(logos[[#This Row],[Cell_ID]],'registe maintenance'!A:C,3,FALSE)," non répertoriées")</f>
        <v>-2.926736</v>
      </c>
      <c r="G943">
        <f>IFERROR(VLOOKUP(logos[[#This Row],[Cell_ID]],'registe maintenance'!A:D,4,FALSE)," non répertoriées")</f>
        <v>18.170461</v>
      </c>
      <c r="H943" t="str">
        <f>IFERROR(VLOOKUP(logos[[#This Row],[Cell_ID]],'registe maintenance'!A:E,5,FALSE)," non répertoriées")</f>
        <v>5G</v>
      </c>
      <c r="I943" t="str">
        <f>IFERROR(VLOOKUP(logos[[#This Row],[Cell_ID]],'registe maintenance'!A:F,6,FALSE)," non répertoriées")</f>
        <v>Ericsson</v>
      </c>
      <c r="J943">
        <f>IFERROR(VLOOKUP(B943,'logos transformer '!A:B,2,FALSE),"na")</f>
        <v>1</v>
      </c>
      <c r="K943">
        <f>IFERROR(VLOOKUP(B943,'logos transformer '!A:C,3,FALSE),"na")</f>
        <v>53</v>
      </c>
      <c r="L943" s="1">
        <f>IFERROR(VLOOKUP(B943,'logos transformer '!A:D,4,FALSE),"na")</f>
        <v>45206.974305555559</v>
      </c>
    </row>
    <row r="944" spans="1:12" x14ac:dyDescent="0.3">
      <c r="A944" s="1">
        <v>45230.039583333331</v>
      </c>
      <c r="B944" t="s">
        <v>530</v>
      </c>
      <c r="C944">
        <v>117</v>
      </c>
      <c r="D944" t="s">
        <v>8</v>
      </c>
      <c r="E944" t="str">
        <f>IFERROR(VLOOKUP(logos[[#This Row],[Cell_ID]],'registe maintenance'!A:B,2,FALSE)," non répertoriées")</f>
        <v>Kongo-Central</v>
      </c>
      <c r="F944">
        <f>IFERROR(VLOOKUP(logos[[#This Row],[Cell_ID]],'registe maintenance'!A:C,3,FALSE)," non répertoriées")</f>
        <v>1.981107</v>
      </c>
      <c r="G944">
        <f>IFERROR(VLOOKUP(logos[[#This Row],[Cell_ID]],'registe maintenance'!A:D,4,FALSE)," non répertoriées")</f>
        <v>23.932569000000001</v>
      </c>
      <c r="H944" t="str">
        <f>IFERROR(VLOOKUP(logos[[#This Row],[Cell_ID]],'registe maintenance'!A:E,5,FALSE)," non répertoriées")</f>
        <v>3G</v>
      </c>
      <c r="I944" t="str">
        <f>IFERROR(VLOOKUP(logos[[#This Row],[Cell_ID]],'registe maintenance'!A:F,6,FALSE)," non répertoriées")</f>
        <v>Nokia</v>
      </c>
      <c r="J944">
        <f>IFERROR(VLOOKUP(B944,'logos transformer '!A:B,2,FALSE),"na")</f>
        <v>3</v>
      </c>
      <c r="K944">
        <f>IFERROR(VLOOKUP(B944,'logos transformer '!A:C,3,FALSE),"na")</f>
        <v>295</v>
      </c>
      <c r="L944" s="1">
        <f>IFERROR(VLOOKUP(B944,'logos transformer '!A:D,4,FALSE),"na")</f>
        <v>45230.039583333331</v>
      </c>
    </row>
    <row r="945" spans="1:12" x14ac:dyDescent="0.3">
      <c r="A945" s="1">
        <v>45210.675000000003</v>
      </c>
      <c r="B945" t="s">
        <v>212</v>
      </c>
      <c r="C945">
        <v>86</v>
      </c>
      <c r="D945" t="s">
        <v>10</v>
      </c>
      <c r="E945" t="str">
        <f>IFERROR(VLOOKUP(logos[[#This Row],[Cell_ID]],'registe maintenance'!A:B,2,FALSE)," non répertoriées")</f>
        <v xml:space="preserve"> non répertoriées</v>
      </c>
      <c r="F945" t="str">
        <f>IFERROR(VLOOKUP(logos[[#This Row],[Cell_ID]],'registe maintenance'!A:C,3,FALSE)," non répertoriées")</f>
        <v xml:space="preserve"> non répertoriées</v>
      </c>
      <c r="G945" t="str">
        <f>IFERROR(VLOOKUP(logos[[#This Row],[Cell_ID]],'registe maintenance'!A:D,4,FALSE)," non répertoriées")</f>
        <v xml:space="preserve"> non répertoriées</v>
      </c>
      <c r="H945" t="str">
        <f>IFERROR(VLOOKUP(logos[[#This Row],[Cell_ID]],'registe maintenance'!A:E,5,FALSE)," non répertoriées")</f>
        <v xml:space="preserve"> non répertoriées</v>
      </c>
      <c r="I945" t="str">
        <f>IFERROR(VLOOKUP(logos[[#This Row],[Cell_ID]],'registe maintenance'!A:F,6,FALSE)," non répertoriées")</f>
        <v xml:space="preserve"> non répertoriées</v>
      </c>
      <c r="J945">
        <f>IFERROR(VLOOKUP(B945,'logos transformer '!A:B,2,FALSE),"na")</f>
        <v>3</v>
      </c>
      <c r="K945">
        <f>IFERROR(VLOOKUP(B945,'logos transformer '!A:C,3,FALSE),"na")</f>
        <v>201</v>
      </c>
      <c r="L945" s="1">
        <f>IFERROR(VLOOKUP(B945,'logos transformer '!A:D,4,FALSE),"na")</f>
        <v>45222.51666666667</v>
      </c>
    </row>
    <row r="946" spans="1:12" x14ac:dyDescent="0.3">
      <c r="A946" s="1">
        <v>45220.96875</v>
      </c>
      <c r="B946" t="s">
        <v>107</v>
      </c>
      <c r="C946">
        <v>103</v>
      </c>
      <c r="D946" t="s">
        <v>5</v>
      </c>
      <c r="E946" t="str">
        <f>IFERROR(VLOOKUP(logos[[#This Row],[Cell_ID]],'registe maintenance'!A:B,2,FALSE)," non répertoriées")</f>
        <v xml:space="preserve"> non répertoriées</v>
      </c>
      <c r="F946" t="str">
        <f>IFERROR(VLOOKUP(logos[[#This Row],[Cell_ID]],'registe maintenance'!A:C,3,FALSE)," non répertoriées")</f>
        <v xml:space="preserve"> non répertoriées</v>
      </c>
      <c r="G946" t="str">
        <f>IFERROR(VLOOKUP(logos[[#This Row],[Cell_ID]],'registe maintenance'!A:D,4,FALSE)," non répertoriées")</f>
        <v xml:space="preserve"> non répertoriées</v>
      </c>
      <c r="H946" t="str">
        <f>IFERROR(VLOOKUP(logos[[#This Row],[Cell_ID]],'registe maintenance'!A:E,5,FALSE)," non répertoriées")</f>
        <v xml:space="preserve"> non répertoriées</v>
      </c>
      <c r="I946" t="str">
        <f>IFERROR(VLOOKUP(logos[[#This Row],[Cell_ID]],'registe maintenance'!A:F,6,FALSE)," non répertoriées")</f>
        <v xml:space="preserve"> non répertoriées</v>
      </c>
      <c r="J946">
        <f>IFERROR(VLOOKUP(B946,'logos transformer '!A:B,2,FALSE),"na")</f>
        <v>3</v>
      </c>
      <c r="K946">
        <f>IFERROR(VLOOKUP(B946,'logos transformer '!A:C,3,FALSE),"na")</f>
        <v>303</v>
      </c>
      <c r="L946" s="1">
        <f>IFERROR(VLOOKUP(B946,'logos transformer '!A:D,4,FALSE),"na")</f>
        <v>45220.96875</v>
      </c>
    </row>
    <row r="947" spans="1:12" x14ac:dyDescent="0.3">
      <c r="A947" s="1">
        <v>45207.955555555563</v>
      </c>
      <c r="B947" t="s">
        <v>250</v>
      </c>
      <c r="C947">
        <v>73</v>
      </c>
      <c r="D947" t="s">
        <v>8</v>
      </c>
      <c r="E947" t="str">
        <f>IFERROR(VLOOKUP(logos[[#This Row],[Cell_ID]],'registe maintenance'!A:B,2,FALSE)," non répertoriées")</f>
        <v>Haut-Katanga</v>
      </c>
      <c r="F947">
        <f>IFERROR(VLOOKUP(logos[[#This Row],[Cell_ID]],'registe maintenance'!A:C,3,FALSE)," non répertoriées")</f>
        <v>2.016505</v>
      </c>
      <c r="G947">
        <f>IFERROR(VLOOKUP(logos[[#This Row],[Cell_ID]],'registe maintenance'!A:D,4,FALSE)," non répertoriées")</f>
        <v>14.294164</v>
      </c>
      <c r="H947" t="str">
        <f>IFERROR(VLOOKUP(logos[[#This Row],[Cell_ID]],'registe maintenance'!A:E,5,FALSE)," non répertoriées")</f>
        <v>5G</v>
      </c>
      <c r="I947" t="str">
        <f>IFERROR(VLOOKUP(logos[[#This Row],[Cell_ID]],'registe maintenance'!A:F,6,FALSE)," non répertoriées")</f>
        <v>Huawei</v>
      </c>
      <c r="J947">
        <f>IFERROR(VLOOKUP(B947,'logos transformer '!A:B,2,FALSE),"na")</f>
        <v>2</v>
      </c>
      <c r="K947">
        <f>IFERROR(VLOOKUP(B947,'logos transformer '!A:C,3,FALSE),"na")</f>
        <v>138</v>
      </c>
      <c r="L947" s="1">
        <f>IFERROR(VLOOKUP(B947,'logos transformer '!A:D,4,FALSE),"na")</f>
        <v>45207.955555555556</v>
      </c>
    </row>
    <row r="948" spans="1:12" x14ac:dyDescent="0.3">
      <c r="A948" s="1">
        <v>45211.380555555559</v>
      </c>
      <c r="B948" t="s">
        <v>614</v>
      </c>
      <c r="C948">
        <v>84</v>
      </c>
      <c r="D948" t="s">
        <v>5</v>
      </c>
      <c r="E948" t="str">
        <f>IFERROR(VLOOKUP(logos[[#This Row],[Cell_ID]],'registe maintenance'!A:B,2,FALSE)," non répertoriées")</f>
        <v xml:space="preserve"> non répertoriées</v>
      </c>
      <c r="F948" t="str">
        <f>IFERROR(VLOOKUP(logos[[#This Row],[Cell_ID]],'registe maintenance'!A:C,3,FALSE)," non répertoriées")</f>
        <v xml:space="preserve"> non répertoriées</v>
      </c>
      <c r="G948" t="str">
        <f>IFERROR(VLOOKUP(logos[[#This Row],[Cell_ID]],'registe maintenance'!A:D,4,FALSE)," non répertoriées")</f>
        <v xml:space="preserve"> non répertoriées</v>
      </c>
      <c r="H948" t="str">
        <f>IFERROR(VLOOKUP(logos[[#This Row],[Cell_ID]],'registe maintenance'!A:E,5,FALSE)," non répertoriées")</f>
        <v xml:space="preserve"> non répertoriées</v>
      </c>
      <c r="I948" t="str">
        <f>IFERROR(VLOOKUP(logos[[#This Row],[Cell_ID]],'registe maintenance'!A:F,6,FALSE)," non répertoriées")</f>
        <v xml:space="preserve"> non répertoriées</v>
      </c>
      <c r="J948">
        <f>IFERROR(VLOOKUP(B948,'logos transformer '!A:B,2,FALSE),"na")</f>
        <v>1</v>
      </c>
      <c r="K948">
        <f>IFERROR(VLOOKUP(B948,'logos transformer '!A:C,3,FALSE),"na")</f>
        <v>84</v>
      </c>
      <c r="L948" s="1">
        <f>IFERROR(VLOOKUP(B948,'logos transformer '!A:D,4,FALSE),"na")</f>
        <v>45211.380555555559</v>
      </c>
    </row>
    <row r="949" spans="1:12" x14ac:dyDescent="0.3">
      <c r="A949" s="1">
        <v>45203.522222222222</v>
      </c>
      <c r="B949" t="s">
        <v>486</v>
      </c>
      <c r="C949">
        <v>11</v>
      </c>
      <c r="D949" t="s">
        <v>8</v>
      </c>
      <c r="E949" t="str">
        <f>IFERROR(VLOOKUP(logos[[#This Row],[Cell_ID]],'registe maintenance'!A:B,2,FALSE)," non répertoriées")</f>
        <v>Kwilu</v>
      </c>
      <c r="F949">
        <f>IFERROR(VLOOKUP(logos[[#This Row],[Cell_ID]],'registe maintenance'!A:C,3,FALSE)," non répertoriées")</f>
        <v>-7.402336</v>
      </c>
      <c r="G949">
        <f>IFERROR(VLOOKUP(logos[[#This Row],[Cell_ID]],'registe maintenance'!A:D,4,FALSE)," non répertoriées")</f>
        <v>27.376697</v>
      </c>
      <c r="H949" t="str">
        <f>IFERROR(VLOOKUP(logos[[#This Row],[Cell_ID]],'registe maintenance'!A:E,5,FALSE)," non répertoriées")</f>
        <v>4G</v>
      </c>
      <c r="I949" t="str">
        <f>IFERROR(VLOOKUP(logos[[#This Row],[Cell_ID]],'registe maintenance'!A:F,6,FALSE)," non répertoriées")</f>
        <v>Huawei</v>
      </c>
      <c r="J949">
        <f>IFERROR(VLOOKUP(B949,'logos transformer '!A:B,2,FALSE),"na")</f>
        <v>3</v>
      </c>
      <c r="K949">
        <f>IFERROR(VLOOKUP(B949,'logos transformer '!A:C,3,FALSE),"na")</f>
        <v>127</v>
      </c>
      <c r="L949" s="1">
        <f>IFERROR(VLOOKUP(B949,'logos transformer '!A:D,4,FALSE),"na")</f>
        <v>45212.447222222225</v>
      </c>
    </row>
    <row r="950" spans="1:12" x14ac:dyDescent="0.3">
      <c r="A950" s="1">
        <v>45218.381944444453</v>
      </c>
      <c r="B950" t="s">
        <v>12</v>
      </c>
      <c r="C950">
        <v>81</v>
      </c>
      <c r="D950" t="s">
        <v>8</v>
      </c>
      <c r="E950" t="str">
        <f>IFERROR(VLOOKUP(logos[[#This Row],[Cell_ID]],'registe maintenance'!A:B,2,FALSE)," non répertoriées")</f>
        <v>Kongo-Central</v>
      </c>
      <c r="F950">
        <f>IFERROR(VLOOKUP(logos[[#This Row],[Cell_ID]],'registe maintenance'!A:C,3,FALSE)," non répertoriées")</f>
        <v>-2.8211520000000001</v>
      </c>
      <c r="G950">
        <f>IFERROR(VLOOKUP(logos[[#This Row],[Cell_ID]],'registe maintenance'!A:D,4,FALSE)," non répertoriées")</f>
        <v>20.651419000000001</v>
      </c>
      <c r="H950" t="str">
        <f>IFERROR(VLOOKUP(logos[[#This Row],[Cell_ID]],'registe maintenance'!A:E,5,FALSE)," non répertoriées")</f>
        <v>5G</v>
      </c>
      <c r="I950" t="str">
        <f>IFERROR(VLOOKUP(logos[[#This Row],[Cell_ID]],'registe maintenance'!A:F,6,FALSE)," non répertoriées")</f>
        <v>Ericsson</v>
      </c>
      <c r="J950">
        <f>IFERROR(VLOOKUP(B950,'logos transformer '!A:B,2,FALSE),"na")</f>
        <v>5</v>
      </c>
      <c r="K950">
        <f>IFERROR(VLOOKUP(B950,'logos transformer '!A:C,3,FALSE),"na")</f>
        <v>389</v>
      </c>
      <c r="L950" s="1">
        <f>IFERROR(VLOOKUP(B950,'logos transformer '!A:D,4,FALSE),"na")</f>
        <v>45219.476388888892</v>
      </c>
    </row>
    <row r="951" spans="1:12" x14ac:dyDescent="0.3">
      <c r="A951" s="1">
        <v>45202.054861111108</v>
      </c>
      <c r="B951" t="s">
        <v>272</v>
      </c>
      <c r="C951">
        <v>11</v>
      </c>
      <c r="D951" t="s">
        <v>5</v>
      </c>
      <c r="E951" t="str">
        <f>IFERROR(VLOOKUP(logos[[#This Row],[Cell_ID]],'registe maintenance'!A:B,2,FALSE)," non répertoriées")</f>
        <v xml:space="preserve"> non répertoriées</v>
      </c>
      <c r="F951" t="str">
        <f>IFERROR(VLOOKUP(logos[[#This Row],[Cell_ID]],'registe maintenance'!A:C,3,FALSE)," non répertoriées")</f>
        <v xml:space="preserve"> non répertoriées</v>
      </c>
      <c r="G951" t="str">
        <f>IFERROR(VLOOKUP(logos[[#This Row],[Cell_ID]],'registe maintenance'!A:D,4,FALSE)," non répertoriées")</f>
        <v xml:space="preserve"> non répertoriées</v>
      </c>
      <c r="H951" t="str">
        <f>IFERROR(VLOOKUP(logos[[#This Row],[Cell_ID]],'registe maintenance'!A:E,5,FALSE)," non répertoriées")</f>
        <v xml:space="preserve"> non répertoriées</v>
      </c>
      <c r="I951" t="str">
        <f>IFERROR(VLOOKUP(logos[[#This Row],[Cell_ID]],'registe maintenance'!A:F,6,FALSE)," non répertoriées")</f>
        <v xml:space="preserve"> non répertoriées</v>
      </c>
      <c r="J951">
        <f>IFERROR(VLOOKUP(B951,'logos transformer '!A:B,2,FALSE),"na")</f>
        <v>2</v>
      </c>
      <c r="K951">
        <f>IFERROR(VLOOKUP(B951,'logos transformer '!A:C,3,FALSE),"na")</f>
        <v>71</v>
      </c>
      <c r="L951" s="1">
        <f>IFERROR(VLOOKUP(B951,'logos transformer '!A:D,4,FALSE),"na")</f>
        <v>45221.857638888891</v>
      </c>
    </row>
    <row r="952" spans="1:12" x14ac:dyDescent="0.3">
      <c r="A952" s="1">
        <v>45230.395138888889</v>
      </c>
      <c r="B952" t="s">
        <v>615</v>
      </c>
      <c r="C952">
        <v>89</v>
      </c>
      <c r="D952" t="s">
        <v>10</v>
      </c>
      <c r="E952" t="str">
        <f>IFERROR(VLOOKUP(logos[[#This Row],[Cell_ID]],'registe maintenance'!A:B,2,FALSE)," non répertoriées")</f>
        <v>Bas-Uele</v>
      </c>
      <c r="F952">
        <f>IFERROR(VLOOKUP(logos[[#This Row],[Cell_ID]],'registe maintenance'!A:C,3,FALSE)," non répertoriées")</f>
        <v>-7.3952039999999997</v>
      </c>
      <c r="G952">
        <f>IFERROR(VLOOKUP(logos[[#This Row],[Cell_ID]],'registe maintenance'!A:D,4,FALSE)," non répertoriées")</f>
        <v>21.651043999999999</v>
      </c>
      <c r="H952" t="str">
        <f>IFERROR(VLOOKUP(logos[[#This Row],[Cell_ID]],'registe maintenance'!A:E,5,FALSE)," non répertoriées")</f>
        <v>4G</v>
      </c>
      <c r="I952" t="str">
        <f>IFERROR(VLOOKUP(logos[[#This Row],[Cell_ID]],'registe maintenance'!A:F,6,FALSE)," non répertoriées")</f>
        <v>Huawei</v>
      </c>
      <c r="J952">
        <f>IFERROR(VLOOKUP(B952,'logos transformer '!A:B,2,FALSE),"na")</f>
        <v>1</v>
      </c>
      <c r="K952">
        <f>IFERROR(VLOOKUP(B952,'logos transformer '!A:C,3,FALSE),"na")</f>
        <v>89</v>
      </c>
      <c r="L952" s="1">
        <f>IFERROR(VLOOKUP(B952,'logos transformer '!A:D,4,FALSE),"na")</f>
        <v>45230.395138888889</v>
      </c>
    </row>
    <row r="953" spans="1:12" x14ac:dyDescent="0.3">
      <c r="A953" s="1">
        <v>45223.693055555559</v>
      </c>
      <c r="B953" t="s">
        <v>593</v>
      </c>
      <c r="C953">
        <v>18</v>
      </c>
      <c r="D953" t="s">
        <v>8</v>
      </c>
      <c r="E953" t="str">
        <f>IFERROR(VLOOKUP(logos[[#This Row],[Cell_ID]],'registe maintenance'!A:B,2,FALSE)," non répertoriées")</f>
        <v xml:space="preserve"> non répertoriées</v>
      </c>
      <c r="F953" t="str">
        <f>IFERROR(VLOOKUP(logos[[#This Row],[Cell_ID]],'registe maintenance'!A:C,3,FALSE)," non répertoriées")</f>
        <v xml:space="preserve"> non répertoriées</v>
      </c>
      <c r="G953" t="str">
        <f>IFERROR(VLOOKUP(logos[[#This Row],[Cell_ID]],'registe maintenance'!A:D,4,FALSE)," non répertoriées")</f>
        <v xml:space="preserve"> non répertoriées</v>
      </c>
      <c r="H953" t="str">
        <f>IFERROR(VLOOKUP(logos[[#This Row],[Cell_ID]],'registe maintenance'!A:E,5,FALSE)," non répertoriées")</f>
        <v xml:space="preserve"> non répertoriées</v>
      </c>
      <c r="I953" t="str">
        <f>IFERROR(VLOOKUP(logos[[#This Row],[Cell_ID]],'registe maintenance'!A:F,6,FALSE)," non répertoriées")</f>
        <v xml:space="preserve"> non répertoriées</v>
      </c>
      <c r="J953">
        <f>IFERROR(VLOOKUP(B953,'logos transformer '!A:B,2,FALSE),"na")</f>
        <v>2</v>
      </c>
      <c r="K953">
        <f>IFERROR(VLOOKUP(B953,'logos transformer '!A:C,3,FALSE),"na")</f>
        <v>39</v>
      </c>
      <c r="L953" s="1">
        <f>IFERROR(VLOOKUP(B953,'logos transformer '!A:D,4,FALSE),"na")</f>
        <v>45223.693055555559</v>
      </c>
    </row>
    <row r="954" spans="1:12" x14ac:dyDescent="0.3">
      <c r="A954" s="1">
        <v>45216.435416666667</v>
      </c>
      <c r="B954" t="s">
        <v>459</v>
      </c>
      <c r="C954">
        <v>88</v>
      </c>
      <c r="D954" t="s">
        <v>5</v>
      </c>
      <c r="E954" t="str">
        <f>IFERROR(VLOOKUP(logos[[#This Row],[Cell_ID]],'registe maintenance'!A:B,2,FALSE)," non répertoriées")</f>
        <v>Maniema</v>
      </c>
      <c r="F954">
        <f>IFERROR(VLOOKUP(logos[[#This Row],[Cell_ID]],'registe maintenance'!A:C,3,FALSE)," non répertoriées")</f>
        <v>1.938083</v>
      </c>
      <c r="G954">
        <f>IFERROR(VLOOKUP(logos[[#This Row],[Cell_ID]],'registe maintenance'!A:D,4,FALSE)," non répertoriées")</f>
        <v>28.25281</v>
      </c>
      <c r="H954" t="str">
        <f>IFERROR(VLOOKUP(logos[[#This Row],[Cell_ID]],'registe maintenance'!A:E,5,FALSE)," non répertoriées")</f>
        <v>4G</v>
      </c>
      <c r="I954" t="str">
        <f>IFERROR(VLOOKUP(logos[[#This Row],[Cell_ID]],'registe maintenance'!A:F,6,FALSE)," non répertoriées")</f>
        <v>Nokia</v>
      </c>
      <c r="J954">
        <f>IFERROR(VLOOKUP(B954,'logos transformer '!A:B,2,FALSE),"na")</f>
        <v>3</v>
      </c>
      <c r="K954">
        <f>IFERROR(VLOOKUP(B954,'logos transformer '!A:C,3,FALSE),"na")</f>
        <v>205</v>
      </c>
      <c r="L954" s="1">
        <f>IFERROR(VLOOKUP(B954,'logos transformer '!A:D,4,FALSE),"na")</f>
        <v>45216.435416666667</v>
      </c>
    </row>
    <row r="955" spans="1:12" x14ac:dyDescent="0.3">
      <c r="A955" s="1">
        <v>45228.880555555559</v>
      </c>
      <c r="B955" t="s">
        <v>292</v>
      </c>
      <c r="C955">
        <v>112</v>
      </c>
      <c r="D955" t="s">
        <v>10</v>
      </c>
      <c r="E955" t="str">
        <f>IFERROR(VLOOKUP(logos[[#This Row],[Cell_ID]],'registe maintenance'!A:B,2,FALSE)," non répertoriées")</f>
        <v>Ituri</v>
      </c>
      <c r="F955">
        <f>IFERROR(VLOOKUP(logos[[#This Row],[Cell_ID]],'registe maintenance'!A:C,3,FALSE)," non répertoriées")</f>
        <v>-4.1250960000000001</v>
      </c>
      <c r="G955">
        <f>IFERROR(VLOOKUP(logos[[#This Row],[Cell_ID]],'registe maintenance'!A:D,4,FALSE)," non répertoriées")</f>
        <v>27.799897999999999</v>
      </c>
      <c r="H955" t="str">
        <f>IFERROR(VLOOKUP(logos[[#This Row],[Cell_ID]],'registe maintenance'!A:E,5,FALSE)," non répertoriées")</f>
        <v>3G</v>
      </c>
      <c r="I955" t="str">
        <f>IFERROR(VLOOKUP(logos[[#This Row],[Cell_ID]],'registe maintenance'!A:F,6,FALSE)," non répertoriées")</f>
        <v>Nokia</v>
      </c>
      <c r="J955">
        <f>IFERROR(VLOOKUP(B955,'logos transformer '!A:B,2,FALSE),"na")</f>
        <v>2</v>
      </c>
      <c r="K955">
        <f>IFERROR(VLOOKUP(B955,'logos transformer '!A:C,3,FALSE),"na")</f>
        <v>223</v>
      </c>
      <c r="L955" s="1">
        <f>IFERROR(VLOOKUP(B955,'logos transformer '!A:D,4,FALSE),"na")</f>
        <v>45228.880555555559</v>
      </c>
    </row>
    <row r="956" spans="1:12" x14ac:dyDescent="0.3">
      <c r="A956" s="1">
        <v>45211.888888888891</v>
      </c>
      <c r="B956" t="s">
        <v>402</v>
      </c>
      <c r="C956">
        <v>87</v>
      </c>
      <c r="D956" t="s">
        <v>8</v>
      </c>
      <c r="E956" t="str">
        <f>IFERROR(VLOOKUP(logos[[#This Row],[Cell_ID]],'registe maintenance'!A:B,2,FALSE)," non répertoriées")</f>
        <v>Haut-Uele</v>
      </c>
      <c r="F956">
        <f>IFERROR(VLOOKUP(logos[[#This Row],[Cell_ID]],'registe maintenance'!A:C,3,FALSE)," non répertoriées")</f>
        <v>-7.1483749999999997</v>
      </c>
      <c r="G956">
        <f>IFERROR(VLOOKUP(logos[[#This Row],[Cell_ID]],'registe maintenance'!A:D,4,FALSE)," non répertoriées")</f>
        <v>26.014271000000001</v>
      </c>
      <c r="H956" t="str">
        <f>IFERROR(VLOOKUP(logos[[#This Row],[Cell_ID]],'registe maintenance'!A:E,5,FALSE)," non répertoriées")</f>
        <v>5G</v>
      </c>
      <c r="I956" t="str">
        <f>IFERROR(VLOOKUP(logos[[#This Row],[Cell_ID]],'registe maintenance'!A:F,6,FALSE)," non répertoriées")</f>
        <v>Huawei</v>
      </c>
      <c r="J956">
        <f>IFERROR(VLOOKUP(B956,'logos transformer '!A:B,2,FALSE),"na")</f>
        <v>3</v>
      </c>
      <c r="K956">
        <f>IFERROR(VLOOKUP(B956,'logos transformer '!A:C,3,FALSE),"na")</f>
        <v>291</v>
      </c>
      <c r="L956" s="1">
        <f>IFERROR(VLOOKUP(B956,'logos transformer '!A:D,4,FALSE),"na")</f>
        <v>45219.527083333334</v>
      </c>
    </row>
    <row r="957" spans="1:12" x14ac:dyDescent="0.3">
      <c r="A957" s="1">
        <v>45213.963194444441</v>
      </c>
      <c r="B957" t="s">
        <v>616</v>
      </c>
      <c r="C957">
        <v>25</v>
      </c>
      <c r="D957" t="s">
        <v>8</v>
      </c>
      <c r="E957" t="str">
        <f>IFERROR(VLOOKUP(logos[[#This Row],[Cell_ID]],'registe maintenance'!A:B,2,FALSE)," non répertoriées")</f>
        <v xml:space="preserve"> non répertoriées</v>
      </c>
      <c r="F957" t="str">
        <f>IFERROR(VLOOKUP(logos[[#This Row],[Cell_ID]],'registe maintenance'!A:C,3,FALSE)," non répertoriées")</f>
        <v xml:space="preserve"> non répertoriées</v>
      </c>
      <c r="G957" t="str">
        <f>IFERROR(VLOOKUP(logos[[#This Row],[Cell_ID]],'registe maintenance'!A:D,4,FALSE)," non répertoriées")</f>
        <v xml:space="preserve"> non répertoriées</v>
      </c>
      <c r="H957" t="str">
        <f>IFERROR(VLOOKUP(logos[[#This Row],[Cell_ID]],'registe maintenance'!A:E,5,FALSE)," non répertoriées")</f>
        <v xml:space="preserve"> non répertoriées</v>
      </c>
      <c r="I957" t="str">
        <f>IFERROR(VLOOKUP(logos[[#This Row],[Cell_ID]],'registe maintenance'!A:F,6,FALSE)," non répertoriées")</f>
        <v xml:space="preserve"> non répertoriées</v>
      </c>
      <c r="J957">
        <f>IFERROR(VLOOKUP(B957,'logos transformer '!A:B,2,FALSE),"na")</f>
        <v>1</v>
      </c>
      <c r="K957">
        <f>IFERROR(VLOOKUP(B957,'logos transformer '!A:C,3,FALSE),"na")</f>
        <v>25</v>
      </c>
      <c r="L957" s="1">
        <f>IFERROR(VLOOKUP(B957,'logos transformer '!A:D,4,FALSE),"na")</f>
        <v>45213.963194444441</v>
      </c>
    </row>
    <row r="958" spans="1:12" x14ac:dyDescent="0.3">
      <c r="A958" s="1">
        <v>45203.041666666657</v>
      </c>
      <c r="B958" t="s">
        <v>318</v>
      </c>
      <c r="C958">
        <v>69</v>
      </c>
      <c r="D958" t="s">
        <v>10</v>
      </c>
      <c r="E958" t="str">
        <f>IFERROR(VLOOKUP(logos[[#This Row],[Cell_ID]],'registe maintenance'!A:B,2,FALSE)," non répertoriées")</f>
        <v>Bas-Uele</v>
      </c>
      <c r="F958">
        <f>IFERROR(VLOOKUP(logos[[#This Row],[Cell_ID]],'registe maintenance'!A:C,3,FALSE)," non répertoriées")</f>
        <v>-2.2876210000000001</v>
      </c>
      <c r="G958">
        <f>IFERROR(VLOOKUP(logos[[#This Row],[Cell_ID]],'registe maintenance'!A:D,4,FALSE)," non répertoriées")</f>
        <v>27.582545</v>
      </c>
      <c r="H958" t="str">
        <f>IFERROR(VLOOKUP(logos[[#This Row],[Cell_ID]],'registe maintenance'!A:E,5,FALSE)," non répertoriées")</f>
        <v>4G</v>
      </c>
      <c r="I958" t="str">
        <f>IFERROR(VLOOKUP(logos[[#This Row],[Cell_ID]],'registe maintenance'!A:F,6,FALSE)," non répertoriées")</f>
        <v>Huawei</v>
      </c>
      <c r="J958">
        <f>IFERROR(VLOOKUP(B958,'logos transformer '!A:B,2,FALSE),"na")</f>
        <v>2</v>
      </c>
      <c r="K958">
        <f>IFERROR(VLOOKUP(B958,'logos transformer '!A:C,3,FALSE),"na")</f>
        <v>170</v>
      </c>
      <c r="L958" s="1">
        <f>IFERROR(VLOOKUP(B958,'logos transformer '!A:D,4,FALSE),"na")</f>
        <v>45220.893750000003</v>
      </c>
    </row>
    <row r="959" spans="1:12" x14ac:dyDescent="0.3">
      <c r="A959" s="1">
        <v>45227.195833333331</v>
      </c>
      <c r="B959" t="s">
        <v>176</v>
      </c>
      <c r="C959">
        <v>113</v>
      </c>
      <c r="D959" t="s">
        <v>8</v>
      </c>
      <c r="E959" t="str">
        <f>IFERROR(VLOOKUP(logos[[#This Row],[Cell_ID]],'registe maintenance'!A:B,2,FALSE)," non répertoriées")</f>
        <v>Kinshasa</v>
      </c>
      <c r="F959">
        <f>IFERROR(VLOOKUP(logos[[#This Row],[Cell_ID]],'registe maintenance'!A:C,3,FALSE)," non répertoriées")</f>
        <v>-7.5418399999999997</v>
      </c>
      <c r="G959">
        <f>IFERROR(VLOOKUP(logos[[#This Row],[Cell_ID]],'registe maintenance'!A:D,4,FALSE)," non répertoriées")</f>
        <v>16.931206</v>
      </c>
      <c r="H959" t="str">
        <f>IFERROR(VLOOKUP(logos[[#This Row],[Cell_ID]],'registe maintenance'!A:E,5,FALSE)," non répertoriées")</f>
        <v>3G</v>
      </c>
      <c r="I959" t="str">
        <f>IFERROR(VLOOKUP(logos[[#This Row],[Cell_ID]],'registe maintenance'!A:F,6,FALSE)," non répertoriées")</f>
        <v>Nokia</v>
      </c>
      <c r="J959">
        <f>IFERROR(VLOOKUP(B959,'logos transformer '!A:B,2,FALSE),"na")</f>
        <v>2</v>
      </c>
      <c r="K959">
        <f>IFERROR(VLOOKUP(B959,'logos transformer '!A:C,3,FALSE),"na")</f>
        <v>191</v>
      </c>
      <c r="L959" s="1">
        <f>IFERROR(VLOOKUP(B959,'logos transformer '!A:D,4,FALSE),"na")</f>
        <v>45227.195833333331</v>
      </c>
    </row>
    <row r="960" spans="1:12" x14ac:dyDescent="0.3">
      <c r="A960" s="1">
        <v>45220.222916666673</v>
      </c>
      <c r="B960" t="s">
        <v>529</v>
      </c>
      <c r="C960">
        <v>65</v>
      </c>
      <c r="D960" t="s">
        <v>10</v>
      </c>
      <c r="E960" t="str">
        <f>IFERROR(VLOOKUP(logos[[#This Row],[Cell_ID]],'registe maintenance'!A:B,2,FALSE)," non répertoriées")</f>
        <v>Haut-Lomami</v>
      </c>
      <c r="F960">
        <f>IFERROR(VLOOKUP(logos[[#This Row],[Cell_ID]],'registe maintenance'!A:C,3,FALSE)," non répertoriées")</f>
        <v>-1.3938550000000001</v>
      </c>
      <c r="G960">
        <f>IFERROR(VLOOKUP(logos[[#This Row],[Cell_ID]],'registe maintenance'!A:D,4,FALSE)," non répertoriées")</f>
        <v>15.097554000000001</v>
      </c>
      <c r="H960" t="str">
        <f>IFERROR(VLOOKUP(logos[[#This Row],[Cell_ID]],'registe maintenance'!A:E,5,FALSE)," non répertoriées")</f>
        <v>4G</v>
      </c>
      <c r="I960" t="str">
        <f>IFERROR(VLOOKUP(logos[[#This Row],[Cell_ID]],'registe maintenance'!A:F,6,FALSE)," non répertoriées")</f>
        <v>Huawei</v>
      </c>
      <c r="J960">
        <f>IFERROR(VLOOKUP(B960,'logos transformer '!A:B,2,FALSE),"na")</f>
        <v>2</v>
      </c>
      <c r="K960">
        <f>IFERROR(VLOOKUP(B960,'logos transformer '!A:C,3,FALSE),"na")</f>
        <v>167</v>
      </c>
      <c r="L960" s="1">
        <f>IFERROR(VLOOKUP(B960,'logos transformer '!A:D,4,FALSE),"na")</f>
        <v>45222.777777777781</v>
      </c>
    </row>
    <row r="961" spans="1:12" x14ac:dyDescent="0.3">
      <c r="A961" s="1">
        <v>45211.61041666667</v>
      </c>
      <c r="B961" t="s">
        <v>85</v>
      </c>
      <c r="C961">
        <v>114</v>
      </c>
      <c r="D961" t="s">
        <v>5</v>
      </c>
      <c r="E961" t="str">
        <f>IFERROR(VLOOKUP(logos[[#This Row],[Cell_ID]],'registe maintenance'!A:B,2,FALSE)," non répertoriées")</f>
        <v>Ituri</v>
      </c>
      <c r="F961">
        <f>IFERROR(VLOOKUP(logos[[#This Row],[Cell_ID]],'registe maintenance'!A:C,3,FALSE)," non répertoriées")</f>
        <v>-7.0076900000000002</v>
      </c>
      <c r="G961">
        <f>IFERROR(VLOOKUP(logos[[#This Row],[Cell_ID]],'registe maintenance'!A:D,4,FALSE)," non répertoriées")</f>
        <v>27.367121999999998</v>
      </c>
      <c r="H961" t="str">
        <f>IFERROR(VLOOKUP(logos[[#This Row],[Cell_ID]],'registe maintenance'!A:E,5,FALSE)," non répertoriées")</f>
        <v>3G</v>
      </c>
      <c r="I961" t="str">
        <f>IFERROR(VLOOKUP(logos[[#This Row],[Cell_ID]],'registe maintenance'!A:F,6,FALSE)," non répertoriées")</f>
        <v>Nokia</v>
      </c>
      <c r="J961">
        <f>IFERROR(VLOOKUP(B961,'logos transformer '!A:B,2,FALSE),"na")</f>
        <v>2</v>
      </c>
      <c r="K961">
        <f>IFERROR(VLOOKUP(B961,'logos transformer '!A:C,3,FALSE),"na")</f>
        <v>189</v>
      </c>
      <c r="L961" s="1">
        <f>IFERROR(VLOOKUP(B961,'logos transformer '!A:D,4,FALSE),"na")</f>
        <v>45219.101388888892</v>
      </c>
    </row>
    <row r="962" spans="1:12" x14ac:dyDescent="0.3">
      <c r="A962" s="1">
        <v>45208.961805555547</v>
      </c>
      <c r="B962" t="s">
        <v>617</v>
      </c>
      <c r="C962">
        <v>68</v>
      </c>
      <c r="D962" t="s">
        <v>5</v>
      </c>
      <c r="E962" t="str">
        <f>IFERROR(VLOOKUP(logos[[#This Row],[Cell_ID]],'registe maintenance'!A:B,2,FALSE)," non répertoriées")</f>
        <v>Bas-Uele</v>
      </c>
      <c r="F962">
        <f>IFERROR(VLOOKUP(logos[[#This Row],[Cell_ID]],'registe maintenance'!A:C,3,FALSE)," non répertoriées")</f>
        <v>-2.3269820000000001</v>
      </c>
      <c r="G962">
        <f>IFERROR(VLOOKUP(logos[[#This Row],[Cell_ID]],'registe maintenance'!A:D,4,FALSE)," non répertoriées")</f>
        <v>14.609259</v>
      </c>
      <c r="H962" t="str">
        <f>IFERROR(VLOOKUP(logos[[#This Row],[Cell_ID]],'registe maintenance'!A:E,5,FALSE)," non répertoriées")</f>
        <v>3G</v>
      </c>
      <c r="I962" t="str">
        <f>IFERROR(VLOOKUP(logos[[#This Row],[Cell_ID]],'registe maintenance'!A:F,6,FALSE)," non répertoriées")</f>
        <v>Nokia</v>
      </c>
      <c r="J962">
        <f>IFERROR(VLOOKUP(B962,'logos transformer '!A:B,2,FALSE),"na")</f>
        <v>1</v>
      </c>
      <c r="K962">
        <f>IFERROR(VLOOKUP(B962,'logos transformer '!A:C,3,FALSE),"na")</f>
        <v>68</v>
      </c>
      <c r="L962" s="1">
        <f>IFERROR(VLOOKUP(B962,'logos transformer '!A:D,4,FALSE),"na")</f>
        <v>45208.961805555555</v>
      </c>
    </row>
    <row r="963" spans="1:12" x14ac:dyDescent="0.3">
      <c r="A963" s="1">
        <v>45211.424305555563</v>
      </c>
      <c r="B963" t="s">
        <v>196</v>
      </c>
      <c r="C963">
        <v>116</v>
      </c>
      <c r="D963" t="s">
        <v>8</v>
      </c>
      <c r="E963" t="str">
        <f>IFERROR(VLOOKUP(logos[[#This Row],[Cell_ID]],'registe maintenance'!A:B,2,FALSE)," non répertoriées")</f>
        <v>Nord-Kivu</v>
      </c>
      <c r="F963">
        <f>IFERROR(VLOOKUP(logos[[#This Row],[Cell_ID]],'registe maintenance'!A:C,3,FALSE)," non répertoriées")</f>
        <v>-1.8555980000000001</v>
      </c>
      <c r="G963">
        <f>IFERROR(VLOOKUP(logos[[#This Row],[Cell_ID]],'registe maintenance'!A:D,4,FALSE)," non répertoriées")</f>
        <v>30.421918000000002</v>
      </c>
      <c r="H963" t="str">
        <f>IFERROR(VLOOKUP(logos[[#This Row],[Cell_ID]],'registe maintenance'!A:E,5,FALSE)," non répertoriées")</f>
        <v>3G</v>
      </c>
      <c r="I963" t="str">
        <f>IFERROR(VLOOKUP(logos[[#This Row],[Cell_ID]],'registe maintenance'!A:F,6,FALSE)," non répertoriées")</f>
        <v>ZTE</v>
      </c>
      <c r="J963">
        <f>IFERROR(VLOOKUP(B963,'logos transformer '!A:B,2,FALSE),"na")</f>
        <v>5</v>
      </c>
      <c r="K963">
        <f>IFERROR(VLOOKUP(B963,'logos transformer '!A:C,3,FALSE),"na")</f>
        <v>226</v>
      </c>
      <c r="L963" s="1">
        <f>IFERROR(VLOOKUP(B963,'logos transformer '!A:D,4,FALSE),"na")</f>
        <v>45222.597222222219</v>
      </c>
    </row>
    <row r="964" spans="1:12" x14ac:dyDescent="0.3">
      <c r="A964" s="1">
        <v>45203.517361111109</v>
      </c>
      <c r="B964" t="s">
        <v>36</v>
      </c>
      <c r="C964">
        <v>26</v>
      </c>
      <c r="D964" t="s">
        <v>5</v>
      </c>
      <c r="E964" t="str">
        <f>IFERROR(VLOOKUP(logos[[#This Row],[Cell_ID]],'registe maintenance'!A:B,2,FALSE)," non répertoriées")</f>
        <v>Nord-Ubangi</v>
      </c>
      <c r="F964">
        <f>IFERROR(VLOOKUP(logos[[#This Row],[Cell_ID]],'registe maintenance'!A:C,3,FALSE)," non répertoriées")</f>
        <v>-8.1437910000000002</v>
      </c>
      <c r="G964">
        <f>IFERROR(VLOOKUP(logos[[#This Row],[Cell_ID]],'registe maintenance'!A:D,4,FALSE)," non répertoriées")</f>
        <v>28.946161</v>
      </c>
      <c r="H964" t="str">
        <f>IFERROR(VLOOKUP(logos[[#This Row],[Cell_ID]],'registe maintenance'!A:E,5,FALSE)," non répertoriées")</f>
        <v>4G</v>
      </c>
      <c r="I964" t="str">
        <f>IFERROR(VLOOKUP(logos[[#This Row],[Cell_ID]],'registe maintenance'!A:F,6,FALSE)," non répertoriées")</f>
        <v>ZTE</v>
      </c>
      <c r="J964">
        <f>IFERROR(VLOOKUP(B964,'logos transformer '!A:B,2,FALSE),"na")</f>
        <v>3</v>
      </c>
      <c r="K964">
        <f>IFERROR(VLOOKUP(B964,'logos transformer '!A:C,3,FALSE),"na")</f>
        <v>136</v>
      </c>
      <c r="L964" s="1">
        <f>IFERROR(VLOOKUP(B964,'logos transformer '!A:D,4,FALSE),"na")</f>
        <v>45211.279166666667</v>
      </c>
    </row>
    <row r="965" spans="1:12" x14ac:dyDescent="0.3">
      <c r="A965" s="1">
        <v>45230.595138888893</v>
      </c>
      <c r="B965" t="s">
        <v>618</v>
      </c>
      <c r="C965">
        <v>14</v>
      </c>
      <c r="D965" t="s">
        <v>5</v>
      </c>
      <c r="E965" t="str">
        <f>IFERROR(VLOOKUP(logos[[#This Row],[Cell_ID]],'registe maintenance'!A:B,2,FALSE)," non répertoriées")</f>
        <v>Kinshasa</v>
      </c>
      <c r="F965">
        <f>IFERROR(VLOOKUP(logos[[#This Row],[Cell_ID]],'registe maintenance'!A:C,3,FALSE)," non répertoriées")</f>
        <v>-7.1079169999999996</v>
      </c>
      <c r="G965">
        <f>IFERROR(VLOOKUP(logos[[#This Row],[Cell_ID]],'registe maintenance'!A:D,4,FALSE)," non répertoriées")</f>
        <v>13.636272</v>
      </c>
      <c r="H965" t="str">
        <f>IFERROR(VLOOKUP(logos[[#This Row],[Cell_ID]],'registe maintenance'!A:E,5,FALSE)," non répertoriées")</f>
        <v>5G</v>
      </c>
      <c r="I965" t="str">
        <f>IFERROR(VLOOKUP(logos[[#This Row],[Cell_ID]],'registe maintenance'!A:F,6,FALSE)," non répertoriées")</f>
        <v>Nokia</v>
      </c>
      <c r="J965">
        <f>IFERROR(VLOOKUP(B965,'logos transformer '!A:B,2,FALSE),"na")</f>
        <v>2</v>
      </c>
      <c r="K965">
        <f>IFERROR(VLOOKUP(B965,'logos transformer '!A:C,3,FALSE),"na")</f>
        <v>75</v>
      </c>
      <c r="L965" s="1">
        <f>IFERROR(VLOOKUP(B965,'logos transformer '!A:D,4,FALSE),"na")</f>
        <v>45230.595138888886</v>
      </c>
    </row>
    <row r="966" spans="1:12" x14ac:dyDescent="0.3">
      <c r="A966" s="1">
        <v>45226.530555555553</v>
      </c>
      <c r="B966" t="s">
        <v>619</v>
      </c>
      <c r="C966">
        <v>101</v>
      </c>
      <c r="D966" t="s">
        <v>10</v>
      </c>
      <c r="E966" t="str">
        <f>IFERROR(VLOOKUP(logos[[#This Row],[Cell_ID]],'registe maintenance'!A:B,2,FALSE)," non répertoriées")</f>
        <v>Maniema</v>
      </c>
      <c r="F966">
        <f>IFERROR(VLOOKUP(logos[[#This Row],[Cell_ID]],'registe maintenance'!A:C,3,FALSE)," non répertoriées")</f>
        <v>-10.650321</v>
      </c>
      <c r="G966">
        <f>IFERROR(VLOOKUP(logos[[#This Row],[Cell_ID]],'registe maintenance'!A:D,4,FALSE)," non répertoriées")</f>
        <v>15.917044000000001</v>
      </c>
      <c r="H966" t="str">
        <f>IFERROR(VLOOKUP(logos[[#This Row],[Cell_ID]],'registe maintenance'!A:E,5,FALSE)," non répertoriées")</f>
        <v>4G</v>
      </c>
      <c r="I966" t="str">
        <f>IFERROR(VLOOKUP(logos[[#This Row],[Cell_ID]],'registe maintenance'!A:F,6,FALSE)," non répertoriées")</f>
        <v>Nokia</v>
      </c>
      <c r="J966">
        <f>IFERROR(VLOOKUP(B966,'logos transformer '!A:B,2,FALSE),"na")</f>
        <v>1</v>
      </c>
      <c r="K966">
        <f>IFERROR(VLOOKUP(B966,'logos transformer '!A:C,3,FALSE),"na")</f>
        <v>101</v>
      </c>
      <c r="L966" s="1">
        <f>IFERROR(VLOOKUP(B966,'logos transformer '!A:D,4,FALSE),"na")</f>
        <v>45226.530555555553</v>
      </c>
    </row>
    <row r="967" spans="1:12" x14ac:dyDescent="0.3">
      <c r="A967" s="1">
        <v>45227.660416666673</v>
      </c>
      <c r="B967" t="s">
        <v>332</v>
      </c>
      <c r="C967">
        <v>67</v>
      </c>
      <c r="D967" t="s">
        <v>10</v>
      </c>
      <c r="E967" t="str">
        <f>IFERROR(VLOOKUP(logos[[#This Row],[Cell_ID]],'registe maintenance'!A:B,2,FALSE)," non répertoriées")</f>
        <v>Kasai</v>
      </c>
      <c r="F967">
        <f>IFERROR(VLOOKUP(logos[[#This Row],[Cell_ID]],'registe maintenance'!A:C,3,FALSE)," non répertoriées")</f>
        <v>-5.125</v>
      </c>
      <c r="G967">
        <f>IFERROR(VLOOKUP(logos[[#This Row],[Cell_ID]],'registe maintenance'!A:D,4,FALSE)," non répertoriées")</f>
        <v>23.513119</v>
      </c>
      <c r="H967" t="str">
        <f>IFERROR(VLOOKUP(logos[[#This Row],[Cell_ID]],'registe maintenance'!A:E,5,FALSE)," non répertoriées")</f>
        <v>5G</v>
      </c>
      <c r="I967" t="str">
        <f>IFERROR(VLOOKUP(logos[[#This Row],[Cell_ID]],'registe maintenance'!A:F,6,FALSE)," non répertoriées")</f>
        <v>Huawei</v>
      </c>
      <c r="J967">
        <f>IFERROR(VLOOKUP(B967,'logos transformer '!A:B,2,FALSE),"na")</f>
        <v>2</v>
      </c>
      <c r="K967">
        <f>IFERROR(VLOOKUP(B967,'logos transformer '!A:C,3,FALSE),"na")</f>
        <v>174</v>
      </c>
      <c r="L967" s="1">
        <f>IFERROR(VLOOKUP(B967,'logos transformer '!A:D,4,FALSE),"na")</f>
        <v>45227.660416666666</v>
      </c>
    </row>
    <row r="968" spans="1:12" x14ac:dyDescent="0.3">
      <c r="A968" s="1">
        <v>45213.87222222222</v>
      </c>
      <c r="B968" t="s">
        <v>620</v>
      </c>
      <c r="C968">
        <v>46</v>
      </c>
      <c r="D968" t="s">
        <v>8</v>
      </c>
      <c r="E968" t="str">
        <f>IFERROR(VLOOKUP(logos[[#This Row],[Cell_ID]],'registe maintenance'!A:B,2,FALSE)," non répertoriées")</f>
        <v>Sankuru</v>
      </c>
      <c r="F968">
        <f>IFERROR(VLOOKUP(logos[[#This Row],[Cell_ID]],'registe maintenance'!A:C,3,FALSE)," non répertoriées")</f>
        <v>-7.513261</v>
      </c>
      <c r="G968">
        <f>IFERROR(VLOOKUP(logos[[#This Row],[Cell_ID]],'registe maintenance'!A:D,4,FALSE)," non répertoriées")</f>
        <v>24.338812000000001</v>
      </c>
      <c r="H968" t="str">
        <f>IFERROR(VLOOKUP(logos[[#This Row],[Cell_ID]],'registe maintenance'!A:E,5,FALSE)," non répertoriées")</f>
        <v>5G</v>
      </c>
      <c r="I968" t="str">
        <f>IFERROR(VLOOKUP(logos[[#This Row],[Cell_ID]],'registe maintenance'!A:F,6,FALSE)," non répertoriées")</f>
        <v>Huawei</v>
      </c>
      <c r="J968">
        <f>IFERROR(VLOOKUP(B968,'logos transformer '!A:B,2,FALSE),"na")</f>
        <v>1</v>
      </c>
      <c r="K968">
        <f>IFERROR(VLOOKUP(B968,'logos transformer '!A:C,3,FALSE),"na")</f>
        <v>46</v>
      </c>
      <c r="L968" s="1">
        <f>IFERROR(VLOOKUP(B968,'logos transformer '!A:D,4,FALSE),"na")</f>
        <v>45213.87222222222</v>
      </c>
    </row>
    <row r="969" spans="1:12" x14ac:dyDescent="0.3">
      <c r="A969" s="1">
        <v>45225.213194444441</v>
      </c>
      <c r="B969" t="s">
        <v>621</v>
      </c>
      <c r="C969">
        <v>35</v>
      </c>
      <c r="D969" t="s">
        <v>10</v>
      </c>
      <c r="E969" t="str">
        <f>IFERROR(VLOOKUP(logos[[#This Row],[Cell_ID]],'registe maintenance'!A:B,2,FALSE)," non répertoriées")</f>
        <v xml:space="preserve"> non répertoriées</v>
      </c>
      <c r="F969" t="str">
        <f>IFERROR(VLOOKUP(logos[[#This Row],[Cell_ID]],'registe maintenance'!A:C,3,FALSE)," non répertoriées")</f>
        <v xml:space="preserve"> non répertoriées</v>
      </c>
      <c r="G969" t="str">
        <f>IFERROR(VLOOKUP(logos[[#This Row],[Cell_ID]],'registe maintenance'!A:D,4,FALSE)," non répertoriées")</f>
        <v xml:space="preserve"> non répertoriées</v>
      </c>
      <c r="H969" t="str">
        <f>IFERROR(VLOOKUP(logos[[#This Row],[Cell_ID]],'registe maintenance'!A:E,5,FALSE)," non répertoriées")</f>
        <v xml:space="preserve"> non répertoriées</v>
      </c>
      <c r="I969" t="str">
        <f>IFERROR(VLOOKUP(logos[[#This Row],[Cell_ID]],'registe maintenance'!A:F,6,FALSE)," non répertoriées")</f>
        <v xml:space="preserve"> non répertoriées</v>
      </c>
      <c r="J969">
        <f>IFERROR(VLOOKUP(B969,'logos transformer '!A:B,2,FALSE),"na")</f>
        <v>1</v>
      </c>
      <c r="K969">
        <f>IFERROR(VLOOKUP(B969,'logos transformer '!A:C,3,FALSE),"na")</f>
        <v>35</v>
      </c>
      <c r="L969" s="1">
        <f>IFERROR(VLOOKUP(B969,'logos transformer '!A:D,4,FALSE),"na")</f>
        <v>45225.213194444441</v>
      </c>
    </row>
    <row r="970" spans="1:12" x14ac:dyDescent="0.3">
      <c r="A970" s="1">
        <v>45204.948611111111</v>
      </c>
      <c r="B970" t="s">
        <v>622</v>
      </c>
      <c r="C970">
        <v>47</v>
      </c>
      <c r="D970" t="s">
        <v>8</v>
      </c>
      <c r="E970" t="str">
        <f>IFERROR(VLOOKUP(logos[[#This Row],[Cell_ID]],'registe maintenance'!A:B,2,FALSE)," non répertoriées")</f>
        <v xml:space="preserve"> non répertoriées</v>
      </c>
      <c r="F970" t="str">
        <f>IFERROR(VLOOKUP(logos[[#This Row],[Cell_ID]],'registe maintenance'!A:C,3,FALSE)," non répertoriées")</f>
        <v xml:space="preserve"> non répertoriées</v>
      </c>
      <c r="G970" t="str">
        <f>IFERROR(VLOOKUP(logos[[#This Row],[Cell_ID]],'registe maintenance'!A:D,4,FALSE)," non répertoriées")</f>
        <v xml:space="preserve"> non répertoriées</v>
      </c>
      <c r="H970" t="str">
        <f>IFERROR(VLOOKUP(logos[[#This Row],[Cell_ID]],'registe maintenance'!A:E,5,FALSE)," non répertoriées")</f>
        <v xml:space="preserve"> non répertoriées</v>
      </c>
      <c r="I970" t="str">
        <f>IFERROR(VLOOKUP(logos[[#This Row],[Cell_ID]],'registe maintenance'!A:F,6,FALSE)," non répertoriées")</f>
        <v xml:space="preserve"> non répertoriées</v>
      </c>
      <c r="J970">
        <f>IFERROR(VLOOKUP(B970,'logos transformer '!A:B,2,FALSE),"na")</f>
        <v>1</v>
      </c>
      <c r="K970">
        <f>IFERROR(VLOOKUP(B970,'logos transformer '!A:C,3,FALSE),"na")</f>
        <v>47</v>
      </c>
      <c r="L970" s="1">
        <f>IFERROR(VLOOKUP(B970,'logos transformer '!A:D,4,FALSE),"na")</f>
        <v>45204.948611111111</v>
      </c>
    </row>
    <row r="971" spans="1:12" x14ac:dyDescent="0.3">
      <c r="A971" s="1">
        <v>45201.212500000001</v>
      </c>
      <c r="B971" t="s">
        <v>69</v>
      </c>
      <c r="C971">
        <v>40</v>
      </c>
      <c r="D971" t="s">
        <v>8</v>
      </c>
      <c r="E971" t="str">
        <f>IFERROR(VLOOKUP(logos[[#This Row],[Cell_ID]],'registe maintenance'!A:B,2,FALSE)," non répertoriées")</f>
        <v>Nord-Kivu</v>
      </c>
      <c r="F971">
        <f>IFERROR(VLOOKUP(logos[[#This Row],[Cell_ID]],'registe maintenance'!A:C,3,FALSE)," non répertoriées")</f>
        <v>0.82868600000000003</v>
      </c>
      <c r="G971">
        <f>IFERROR(VLOOKUP(logos[[#This Row],[Cell_ID]],'registe maintenance'!A:D,4,FALSE)," non répertoriées")</f>
        <v>26.958843999999999</v>
      </c>
      <c r="H971" t="str">
        <f>IFERROR(VLOOKUP(logos[[#This Row],[Cell_ID]],'registe maintenance'!A:E,5,FALSE)," non répertoriées")</f>
        <v>5G</v>
      </c>
      <c r="I971" t="str">
        <f>IFERROR(VLOOKUP(logos[[#This Row],[Cell_ID]],'registe maintenance'!A:F,6,FALSE)," non répertoriées")</f>
        <v>ZTE</v>
      </c>
      <c r="J971">
        <f>IFERROR(VLOOKUP(B971,'logos transformer '!A:B,2,FALSE),"na")</f>
        <v>5</v>
      </c>
      <c r="K971">
        <f>IFERROR(VLOOKUP(B971,'logos transformer '!A:C,3,FALSE),"na")</f>
        <v>385</v>
      </c>
      <c r="L971" s="1">
        <f>IFERROR(VLOOKUP(B971,'logos transformer '!A:D,4,FALSE),"na")</f>
        <v>45229.065972222219</v>
      </c>
    </row>
    <row r="972" spans="1:12" x14ac:dyDescent="0.3">
      <c r="A972" s="1">
        <v>45213.770833333343</v>
      </c>
      <c r="B972" t="s">
        <v>623</v>
      </c>
      <c r="C972">
        <v>11</v>
      </c>
      <c r="D972" t="s">
        <v>10</v>
      </c>
      <c r="E972" t="str">
        <f>IFERROR(VLOOKUP(logos[[#This Row],[Cell_ID]],'registe maintenance'!A:B,2,FALSE)," non répertoriées")</f>
        <v xml:space="preserve"> non répertoriées</v>
      </c>
      <c r="F972" t="str">
        <f>IFERROR(VLOOKUP(logos[[#This Row],[Cell_ID]],'registe maintenance'!A:C,3,FALSE)," non répertoriées")</f>
        <v xml:space="preserve"> non répertoriées</v>
      </c>
      <c r="G972" t="str">
        <f>IFERROR(VLOOKUP(logos[[#This Row],[Cell_ID]],'registe maintenance'!A:D,4,FALSE)," non répertoriées")</f>
        <v xml:space="preserve"> non répertoriées</v>
      </c>
      <c r="H972" t="str">
        <f>IFERROR(VLOOKUP(logos[[#This Row],[Cell_ID]],'registe maintenance'!A:E,5,FALSE)," non répertoriées")</f>
        <v xml:space="preserve"> non répertoriées</v>
      </c>
      <c r="I972" t="str">
        <f>IFERROR(VLOOKUP(logos[[#This Row],[Cell_ID]],'registe maintenance'!A:F,6,FALSE)," non répertoriées")</f>
        <v xml:space="preserve"> non répertoriées</v>
      </c>
      <c r="J972">
        <f>IFERROR(VLOOKUP(B972,'logos transformer '!A:B,2,FALSE),"na")</f>
        <v>1</v>
      </c>
      <c r="K972">
        <f>IFERROR(VLOOKUP(B972,'logos transformer '!A:C,3,FALSE),"na")</f>
        <v>11</v>
      </c>
      <c r="L972" s="1">
        <f>IFERROR(VLOOKUP(B972,'logos transformer '!A:D,4,FALSE),"na")</f>
        <v>45213.770833333336</v>
      </c>
    </row>
    <row r="973" spans="1:12" x14ac:dyDescent="0.3">
      <c r="A973" s="1">
        <v>45225.779861111107</v>
      </c>
      <c r="B973" t="s">
        <v>624</v>
      </c>
      <c r="C973">
        <v>69</v>
      </c>
      <c r="D973" t="s">
        <v>8</v>
      </c>
      <c r="E973" t="str">
        <f>IFERROR(VLOOKUP(logos[[#This Row],[Cell_ID]],'registe maintenance'!A:B,2,FALSE)," non répertoriées")</f>
        <v xml:space="preserve"> non répertoriées</v>
      </c>
      <c r="F973" t="str">
        <f>IFERROR(VLOOKUP(logos[[#This Row],[Cell_ID]],'registe maintenance'!A:C,3,FALSE)," non répertoriées")</f>
        <v xml:space="preserve"> non répertoriées</v>
      </c>
      <c r="G973" t="str">
        <f>IFERROR(VLOOKUP(logos[[#This Row],[Cell_ID]],'registe maintenance'!A:D,4,FALSE)," non répertoriées")</f>
        <v xml:space="preserve"> non répertoriées</v>
      </c>
      <c r="H973" t="str">
        <f>IFERROR(VLOOKUP(logos[[#This Row],[Cell_ID]],'registe maintenance'!A:E,5,FALSE)," non répertoriées")</f>
        <v xml:space="preserve"> non répertoriées</v>
      </c>
      <c r="I973" t="str">
        <f>IFERROR(VLOOKUP(logos[[#This Row],[Cell_ID]],'registe maintenance'!A:F,6,FALSE)," non répertoriées")</f>
        <v xml:space="preserve"> non répertoriées</v>
      </c>
      <c r="J973">
        <f>IFERROR(VLOOKUP(B973,'logos transformer '!A:B,2,FALSE),"na")</f>
        <v>2</v>
      </c>
      <c r="K973">
        <f>IFERROR(VLOOKUP(B973,'logos transformer '!A:C,3,FALSE),"na")</f>
        <v>138</v>
      </c>
      <c r="L973" s="1">
        <f>IFERROR(VLOOKUP(B973,'logos transformer '!A:D,4,FALSE),"na")</f>
        <v>45225.779861111114</v>
      </c>
    </row>
    <row r="974" spans="1:12" x14ac:dyDescent="0.3">
      <c r="A974" s="1">
        <v>45214.23541666667</v>
      </c>
      <c r="B974" t="s">
        <v>625</v>
      </c>
      <c r="C974">
        <v>33</v>
      </c>
      <c r="D974" t="s">
        <v>5</v>
      </c>
      <c r="E974" t="str">
        <f>IFERROR(VLOOKUP(logos[[#This Row],[Cell_ID]],'registe maintenance'!A:B,2,FALSE)," non répertoriées")</f>
        <v>Maniema</v>
      </c>
      <c r="F974">
        <f>IFERROR(VLOOKUP(logos[[#This Row],[Cell_ID]],'registe maintenance'!A:C,3,FALSE)," non répertoriées")</f>
        <v>-10.318835</v>
      </c>
      <c r="G974">
        <f>IFERROR(VLOOKUP(logos[[#This Row],[Cell_ID]],'registe maintenance'!A:D,4,FALSE)," non répertoriées")</f>
        <v>21.252382000000001</v>
      </c>
      <c r="H974" t="str">
        <f>IFERROR(VLOOKUP(logos[[#This Row],[Cell_ID]],'registe maintenance'!A:E,5,FALSE)," non répertoriées")</f>
        <v>4G</v>
      </c>
      <c r="I974" t="str">
        <f>IFERROR(VLOOKUP(logos[[#This Row],[Cell_ID]],'registe maintenance'!A:F,6,FALSE)," non répertoriées")</f>
        <v>Ericsson</v>
      </c>
      <c r="J974">
        <f>IFERROR(VLOOKUP(B974,'logos transformer '!A:B,2,FALSE),"na")</f>
        <v>1</v>
      </c>
      <c r="K974">
        <f>IFERROR(VLOOKUP(B974,'logos transformer '!A:C,3,FALSE),"na")</f>
        <v>33</v>
      </c>
      <c r="L974" s="1">
        <f>IFERROR(VLOOKUP(B974,'logos transformer '!A:D,4,FALSE),"na")</f>
        <v>45214.23541666667</v>
      </c>
    </row>
    <row r="975" spans="1:12" x14ac:dyDescent="0.3">
      <c r="A975" s="1">
        <v>45212.48541666667</v>
      </c>
      <c r="B975" t="s">
        <v>626</v>
      </c>
      <c r="C975">
        <v>75</v>
      </c>
      <c r="D975" t="s">
        <v>5</v>
      </c>
      <c r="E975" t="str">
        <f>IFERROR(VLOOKUP(logos[[#This Row],[Cell_ID]],'registe maintenance'!A:B,2,FALSE)," non répertoriées")</f>
        <v xml:space="preserve"> non répertoriées</v>
      </c>
      <c r="F975" t="str">
        <f>IFERROR(VLOOKUP(logos[[#This Row],[Cell_ID]],'registe maintenance'!A:C,3,FALSE)," non répertoriées")</f>
        <v xml:space="preserve"> non répertoriées</v>
      </c>
      <c r="G975" t="str">
        <f>IFERROR(VLOOKUP(logos[[#This Row],[Cell_ID]],'registe maintenance'!A:D,4,FALSE)," non répertoriées")</f>
        <v xml:space="preserve"> non répertoriées</v>
      </c>
      <c r="H975" t="str">
        <f>IFERROR(VLOOKUP(logos[[#This Row],[Cell_ID]],'registe maintenance'!A:E,5,FALSE)," non répertoriées")</f>
        <v xml:space="preserve"> non répertoriées</v>
      </c>
      <c r="I975" t="str">
        <f>IFERROR(VLOOKUP(logos[[#This Row],[Cell_ID]],'registe maintenance'!A:F,6,FALSE)," non répertoriées")</f>
        <v xml:space="preserve"> non répertoriées</v>
      </c>
      <c r="J975">
        <f>IFERROR(VLOOKUP(B975,'logos transformer '!A:B,2,FALSE),"na")</f>
        <v>1</v>
      </c>
      <c r="K975">
        <f>IFERROR(VLOOKUP(B975,'logos transformer '!A:C,3,FALSE),"na")</f>
        <v>75</v>
      </c>
      <c r="L975" s="1">
        <f>IFERROR(VLOOKUP(B975,'logos transformer '!A:D,4,FALSE),"na")</f>
        <v>45212.48541666667</v>
      </c>
    </row>
    <row r="976" spans="1:12" x14ac:dyDescent="0.3">
      <c r="A976" s="1">
        <v>45200.913888888892</v>
      </c>
      <c r="B976" t="s">
        <v>627</v>
      </c>
      <c r="C976">
        <v>87</v>
      </c>
      <c r="D976" t="s">
        <v>5</v>
      </c>
      <c r="E976" t="str">
        <f>IFERROR(VLOOKUP(logos[[#This Row],[Cell_ID]],'registe maintenance'!A:B,2,FALSE)," non répertoriées")</f>
        <v>Sankuru</v>
      </c>
      <c r="F976">
        <f>IFERROR(VLOOKUP(logos[[#This Row],[Cell_ID]],'registe maintenance'!A:C,3,FALSE)," non répertoriées")</f>
        <v>3.175935</v>
      </c>
      <c r="G976">
        <f>IFERROR(VLOOKUP(logos[[#This Row],[Cell_ID]],'registe maintenance'!A:D,4,FALSE)," non répertoriées")</f>
        <v>16.862832000000001</v>
      </c>
      <c r="H976" t="str">
        <f>IFERROR(VLOOKUP(logos[[#This Row],[Cell_ID]],'registe maintenance'!A:E,5,FALSE)," non répertoriées")</f>
        <v>5G</v>
      </c>
      <c r="I976" t="str">
        <f>IFERROR(VLOOKUP(logos[[#This Row],[Cell_ID]],'registe maintenance'!A:F,6,FALSE)," non répertoriées")</f>
        <v>Ericsson</v>
      </c>
      <c r="J976">
        <f>IFERROR(VLOOKUP(B976,'logos transformer '!A:B,2,FALSE),"na")</f>
        <v>1</v>
      </c>
      <c r="K976">
        <f>IFERROR(VLOOKUP(B976,'logos transformer '!A:C,3,FALSE),"na")</f>
        <v>87</v>
      </c>
      <c r="L976" s="1">
        <f>IFERROR(VLOOKUP(B976,'logos transformer '!A:D,4,FALSE),"na")</f>
        <v>45200.913888888892</v>
      </c>
    </row>
    <row r="977" spans="1:12" x14ac:dyDescent="0.3">
      <c r="A977" s="1">
        <v>45226.997916666667</v>
      </c>
      <c r="B977" t="s">
        <v>628</v>
      </c>
      <c r="C977">
        <v>53</v>
      </c>
      <c r="D977" t="s">
        <v>10</v>
      </c>
      <c r="E977" t="str">
        <f>IFERROR(VLOOKUP(logos[[#This Row],[Cell_ID]],'registe maintenance'!A:B,2,FALSE)," non répertoriées")</f>
        <v>Nord-Ubangi</v>
      </c>
      <c r="F977">
        <f>IFERROR(VLOOKUP(logos[[#This Row],[Cell_ID]],'registe maintenance'!A:C,3,FALSE)," non répertoriées")</f>
        <v>-7.8373179999999998</v>
      </c>
      <c r="G977">
        <f>IFERROR(VLOOKUP(logos[[#This Row],[Cell_ID]],'registe maintenance'!A:D,4,FALSE)," non répertoriées")</f>
        <v>20.527591999999999</v>
      </c>
      <c r="H977" t="str">
        <f>IFERROR(VLOOKUP(logos[[#This Row],[Cell_ID]],'registe maintenance'!A:E,5,FALSE)," non répertoriées")</f>
        <v>4G</v>
      </c>
      <c r="I977" t="str">
        <f>IFERROR(VLOOKUP(logos[[#This Row],[Cell_ID]],'registe maintenance'!A:F,6,FALSE)," non répertoriées")</f>
        <v>Ericsson</v>
      </c>
      <c r="J977">
        <f>IFERROR(VLOOKUP(B977,'logos transformer '!A:B,2,FALSE),"na")</f>
        <v>1</v>
      </c>
      <c r="K977">
        <f>IFERROR(VLOOKUP(B977,'logos transformer '!A:C,3,FALSE),"na")</f>
        <v>53</v>
      </c>
      <c r="L977" s="1">
        <f>IFERROR(VLOOKUP(B977,'logos transformer '!A:D,4,FALSE),"na")</f>
        <v>45226.997916666667</v>
      </c>
    </row>
    <row r="978" spans="1:12" x14ac:dyDescent="0.3">
      <c r="A978" s="1">
        <v>45204.665277777778</v>
      </c>
      <c r="B978" t="s">
        <v>335</v>
      </c>
      <c r="C978">
        <v>56</v>
      </c>
      <c r="D978" t="s">
        <v>5</v>
      </c>
      <c r="E978" t="str">
        <f>IFERROR(VLOOKUP(logos[[#This Row],[Cell_ID]],'registe maintenance'!A:B,2,FALSE)," non répertoriées")</f>
        <v xml:space="preserve"> non répertoriées</v>
      </c>
      <c r="F978" t="str">
        <f>IFERROR(VLOOKUP(logos[[#This Row],[Cell_ID]],'registe maintenance'!A:C,3,FALSE)," non répertoriées")</f>
        <v xml:space="preserve"> non répertoriées</v>
      </c>
      <c r="G978" t="str">
        <f>IFERROR(VLOOKUP(logos[[#This Row],[Cell_ID]],'registe maintenance'!A:D,4,FALSE)," non répertoriées")</f>
        <v xml:space="preserve"> non répertoriées</v>
      </c>
      <c r="H978" t="str">
        <f>IFERROR(VLOOKUP(logos[[#This Row],[Cell_ID]],'registe maintenance'!A:E,5,FALSE)," non répertoriées")</f>
        <v xml:space="preserve"> non répertoriées</v>
      </c>
      <c r="I978" t="str">
        <f>IFERROR(VLOOKUP(logos[[#This Row],[Cell_ID]],'registe maintenance'!A:F,6,FALSE)," non répertoriées")</f>
        <v xml:space="preserve"> non répertoriées</v>
      </c>
      <c r="J978">
        <f>IFERROR(VLOOKUP(B978,'logos transformer '!A:B,2,FALSE),"na")</f>
        <v>5</v>
      </c>
      <c r="K978">
        <f>IFERROR(VLOOKUP(B978,'logos transformer '!A:C,3,FALSE),"na")</f>
        <v>312</v>
      </c>
      <c r="L978" s="1">
        <f>IFERROR(VLOOKUP(B978,'logos transformer '!A:D,4,FALSE),"na")</f>
        <v>45224.288194444445</v>
      </c>
    </row>
    <row r="979" spans="1:12" x14ac:dyDescent="0.3">
      <c r="A979" s="1">
        <v>45215.163888888892</v>
      </c>
      <c r="B979" t="s">
        <v>629</v>
      </c>
      <c r="C979">
        <v>109</v>
      </c>
      <c r="D979" t="s">
        <v>8</v>
      </c>
      <c r="E979" t="str">
        <f>IFERROR(VLOOKUP(logos[[#This Row],[Cell_ID]],'registe maintenance'!A:B,2,FALSE)," non répertoriées")</f>
        <v xml:space="preserve"> non répertoriées</v>
      </c>
      <c r="F979" t="str">
        <f>IFERROR(VLOOKUP(logos[[#This Row],[Cell_ID]],'registe maintenance'!A:C,3,FALSE)," non répertoriées")</f>
        <v xml:space="preserve"> non répertoriées</v>
      </c>
      <c r="G979" t="str">
        <f>IFERROR(VLOOKUP(logos[[#This Row],[Cell_ID]],'registe maintenance'!A:D,4,FALSE)," non répertoriées")</f>
        <v xml:space="preserve"> non répertoriées</v>
      </c>
      <c r="H979" t="str">
        <f>IFERROR(VLOOKUP(logos[[#This Row],[Cell_ID]],'registe maintenance'!A:E,5,FALSE)," non répertoriées")</f>
        <v xml:space="preserve"> non répertoriées</v>
      </c>
      <c r="I979" t="str">
        <f>IFERROR(VLOOKUP(logos[[#This Row],[Cell_ID]],'registe maintenance'!A:F,6,FALSE)," non répertoriées")</f>
        <v xml:space="preserve"> non répertoriées</v>
      </c>
      <c r="J979">
        <f>IFERROR(VLOOKUP(B979,'logos transformer '!A:B,2,FALSE),"na")</f>
        <v>1</v>
      </c>
      <c r="K979">
        <f>IFERROR(VLOOKUP(B979,'logos transformer '!A:C,3,FALSE),"na")</f>
        <v>109</v>
      </c>
      <c r="L979" s="1">
        <f>IFERROR(VLOOKUP(B979,'logos transformer '!A:D,4,FALSE),"na")</f>
        <v>45215.163888888892</v>
      </c>
    </row>
    <row r="980" spans="1:12" x14ac:dyDescent="0.3">
      <c r="A980" s="1">
        <v>45213.584722222222</v>
      </c>
      <c r="B980" t="s">
        <v>630</v>
      </c>
      <c r="C980">
        <v>35</v>
      </c>
      <c r="D980" t="s">
        <v>8</v>
      </c>
      <c r="E980" t="str">
        <f>IFERROR(VLOOKUP(logos[[#This Row],[Cell_ID]],'registe maintenance'!A:B,2,FALSE)," non répertoriées")</f>
        <v xml:space="preserve"> non répertoriées</v>
      </c>
      <c r="F980" t="str">
        <f>IFERROR(VLOOKUP(logos[[#This Row],[Cell_ID]],'registe maintenance'!A:C,3,FALSE)," non répertoriées")</f>
        <v xml:space="preserve"> non répertoriées</v>
      </c>
      <c r="G980" t="str">
        <f>IFERROR(VLOOKUP(logos[[#This Row],[Cell_ID]],'registe maintenance'!A:D,4,FALSE)," non répertoriées")</f>
        <v xml:space="preserve"> non répertoriées</v>
      </c>
      <c r="H980" t="str">
        <f>IFERROR(VLOOKUP(logos[[#This Row],[Cell_ID]],'registe maintenance'!A:E,5,FALSE)," non répertoriées")</f>
        <v xml:space="preserve"> non répertoriées</v>
      </c>
      <c r="I980" t="str">
        <f>IFERROR(VLOOKUP(logos[[#This Row],[Cell_ID]],'registe maintenance'!A:F,6,FALSE)," non répertoriées")</f>
        <v xml:space="preserve"> non répertoriées</v>
      </c>
      <c r="J980">
        <f>IFERROR(VLOOKUP(B980,'logos transformer '!A:B,2,FALSE),"na")</f>
        <v>1</v>
      </c>
      <c r="K980">
        <f>IFERROR(VLOOKUP(B980,'logos transformer '!A:C,3,FALSE),"na")</f>
        <v>35</v>
      </c>
      <c r="L980" s="1">
        <f>IFERROR(VLOOKUP(B980,'logos transformer '!A:D,4,FALSE),"na")</f>
        <v>45213.584722222222</v>
      </c>
    </row>
    <row r="981" spans="1:12" x14ac:dyDescent="0.3">
      <c r="A981" s="1">
        <v>45202.361805555563</v>
      </c>
      <c r="B981" t="s">
        <v>631</v>
      </c>
      <c r="C981">
        <v>15</v>
      </c>
      <c r="D981" t="s">
        <v>8</v>
      </c>
      <c r="E981" t="str">
        <f>IFERROR(VLOOKUP(logos[[#This Row],[Cell_ID]],'registe maintenance'!A:B,2,FALSE)," non répertoriées")</f>
        <v xml:space="preserve"> non répertoriées</v>
      </c>
      <c r="F981" t="str">
        <f>IFERROR(VLOOKUP(logos[[#This Row],[Cell_ID]],'registe maintenance'!A:C,3,FALSE)," non répertoriées")</f>
        <v xml:space="preserve"> non répertoriées</v>
      </c>
      <c r="G981" t="str">
        <f>IFERROR(VLOOKUP(logos[[#This Row],[Cell_ID]],'registe maintenance'!A:D,4,FALSE)," non répertoriées")</f>
        <v xml:space="preserve"> non répertoriées</v>
      </c>
      <c r="H981" t="str">
        <f>IFERROR(VLOOKUP(logos[[#This Row],[Cell_ID]],'registe maintenance'!A:E,5,FALSE)," non répertoriées")</f>
        <v xml:space="preserve"> non répertoriées</v>
      </c>
      <c r="I981" t="str">
        <f>IFERROR(VLOOKUP(logos[[#This Row],[Cell_ID]],'registe maintenance'!A:F,6,FALSE)," non répertoriées")</f>
        <v xml:space="preserve"> non répertoriées</v>
      </c>
      <c r="J981">
        <f>IFERROR(VLOOKUP(B981,'logos transformer '!A:B,2,FALSE),"na")</f>
        <v>1</v>
      </c>
      <c r="K981">
        <f>IFERROR(VLOOKUP(B981,'logos transformer '!A:C,3,FALSE),"na")</f>
        <v>15</v>
      </c>
      <c r="L981" s="1">
        <f>IFERROR(VLOOKUP(B981,'logos transformer '!A:D,4,FALSE),"na")</f>
        <v>45202.361805555556</v>
      </c>
    </row>
    <row r="982" spans="1:12" x14ac:dyDescent="0.3">
      <c r="A982" s="1">
        <v>45210.03125</v>
      </c>
      <c r="B982" t="s">
        <v>337</v>
      </c>
      <c r="C982">
        <v>63</v>
      </c>
      <c r="D982" t="s">
        <v>10</v>
      </c>
      <c r="E982" t="str">
        <f>IFERROR(VLOOKUP(logos[[#This Row],[Cell_ID]],'registe maintenance'!A:B,2,FALSE)," non répertoriées")</f>
        <v>Kwango</v>
      </c>
      <c r="F982">
        <f>IFERROR(VLOOKUP(logos[[#This Row],[Cell_ID]],'registe maintenance'!A:C,3,FALSE)," non répertoriées")</f>
        <v>-9.0798120000000004</v>
      </c>
      <c r="G982">
        <f>IFERROR(VLOOKUP(logos[[#This Row],[Cell_ID]],'registe maintenance'!A:D,4,FALSE)," non répertoriées")</f>
        <v>14.945484</v>
      </c>
      <c r="H982" t="str">
        <f>IFERROR(VLOOKUP(logos[[#This Row],[Cell_ID]],'registe maintenance'!A:E,5,FALSE)," non répertoriées")</f>
        <v>5G</v>
      </c>
      <c r="I982" t="str">
        <f>IFERROR(VLOOKUP(logos[[#This Row],[Cell_ID]],'registe maintenance'!A:F,6,FALSE)," non répertoriées")</f>
        <v>Ericsson</v>
      </c>
      <c r="J982">
        <f>IFERROR(VLOOKUP(B982,'logos transformer '!A:B,2,FALSE),"na")</f>
        <v>2</v>
      </c>
      <c r="K982">
        <f>IFERROR(VLOOKUP(B982,'logos transformer '!A:C,3,FALSE),"na")</f>
        <v>78</v>
      </c>
      <c r="L982" s="1">
        <f>IFERROR(VLOOKUP(B982,'logos transformer '!A:D,4,FALSE),"na")</f>
        <v>45210.03125</v>
      </c>
    </row>
    <row r="983" spans="1:12" x14ac:dyDescent="0.3">
      <c r="A983" s="1">
        <v>45227.897916666669</v>
      </c>
      <c r="B983" t="s">
        <v>618</v>
      </c>
      <c r="C983">
        <v>61</v>
      </c>
      <c r="D983" t="s">
        <v>5</v>
      </c>
      <c r="E983" t="str">
        <f>IFERROR(VLOOKUP(logos[[#This Row],[Cell_ID]],'registe maintenance'!A:B,2,FALSE)," non répertoriées")</f>
        <v>Kinshasa</v>
      </c>
      <c r="F983">
        <f>IFERROR(VLOOKUP(logos[[#This Row],[Cell_ID]],'registe maintenance'!A:C,3,FALSE)," non répertoriées")</f>
        <v>-7.1079169999999996</v>
      </c>
      <c r="G983">
        <f>IFERROR(VLOOKUP(logos[[#This Row],[Cell_ID]],'registe maintenance'!A:D,4,FALSE)," non répertoriées")</f>
        <v>13.636272</v>
      </c>
      <c r="H983" t="str">
        <f>IFERROR(VLOOKUP(logos[[#This Row],[Cell_ID]],'registe maintenance'!A:E,5,FALSE)," non répertoriées")</f>
        <v>5G</v>
      </c>
      <c r="I983" t="str">
        <f>IFERROR(VLOOKUP(logos[[#This Row],[Cell_ID]],'registe maintenance'!A:F,6,FALSE)," non répertoriées")</f>
        <v>Nokia</v>
      </c>
      <c r="J983">
        <f>IFERROR(VLOOKUP(B983,'logos transformer '!A:B,2,FALSE),"na")</f>
        <v>2</v>
      </c>
      <c r="K983">
        <f>IFERROR(VLOOKUP(B983,'logos transformer '!A:C,3,FALSE),"na")</f>
        <v>75</v>
      </c>
      <c r="L983" s="1">
        <f>IFERROR(VLOOKUP(B983,'logos transformer '!A:D,4,FALSE),"na")</f>
        <v>45230.595138888886</v>
      </c>
    </row>
    <row r="984" spans="1:12" x14ac:dyDescent="0.3">
      <c r="A984" s="1">
        <v>45224.98333333333</v>
      </c>
      <c r="B984" t="s">
        <v>186</v>
      </c>
      <c r="C984">
        <v>107</v>
      </c>
      <c r="D984" t="s">
        <v>10</v>
      </c>
      <c r="E984" t="str">
        <f>IFERROR(VLOOKUP(logos[[#This Row],[Cell_ID]],'registe maintenance'!A:B,2,FALSE)," non répertoriées")</f>
        <v>Mai-Ndombe</v>
      </c>
      <c r="F984">
        <f>IFERROR(VLOOKUP(logos[[#This Row],[Cell_ID]],'registe maintenance'!A:C,3,FALSE)," non répertoriées")</f>
        <v>-9.3652280000000001</v>
      </c>
      <c r="G984">
        <f>IFERROR(VLOOKUP(logos[[#This Row],[Cell_ID]],'registe maintenance'!A:D,4,FALSE)," non répertoriées")</f>
        <v>18.674116000000001</v>
      </c>
      <c r="H984" t="str">
        <f>IFERROR(VLOOKUP(logos[[#This Row],[Cell_ID]],'registe maintenance'!A:E,5,FALSE)," non répertoriées")</f>
        <v>4G</v>
      </c>
      <c r="I984" t="str">
        <f>IFERROR(VLOOKUP(logos[[#This Row],[Cell_ID]],'registe maintenance'!A:F,6,FALSE)," non répertoriées")</f>
        <v>Huawei</v>
      </c>
      <c r="J984">
        <f>IFERROR(VLOOKUP(B984,'logos transformer '!A:B,2,FALSE),"na")</f>
        <v>4</v>
      </c>
      <c r="K984">
        <f>IFERROR(VLOOKUP(B984,'logos transformer '!A:C,3,FALSE),"na")</f>
        <v>177</v>
      </c>
      <c r="L984" s="1">
        <f>IFERROR(VLOOKUP(B984,'logos transformer '!A:D,4,FALSE),"na")</f>
        <v>45224.98333333333</v>
      </c>
    </row>
    <row r="985" spans="1:12" x14ac:dyDescent="0.3">
      <c r="A985" s="1">
        <v>45223.759722222218</v>
      </c>
      <c r="B985" t="s">
        <v>306</v>
      </c>
      <c r="C985">
        <v>78</v>
      </c>
      <c r="D985" t="s">
        <v>8</v>
      </c>
      <c r="E985" t="str">
        <f>IFERROR(VLOOKUP(logos[[#This Row],[Cell_ID]],'registe maintenance'!A:B,2,FALSE)," non répertoriées")</f>
        <v>Mongala</v>
      </c>
      <c r="F985">
        <f>IFERROR(VLOOKUP(logos[[#This Row],[Cell_ID]],'registe maintenance'!A:C,3,FALSE)," non répertoriées")</f>
        <v>-5.3762689999999997</v>
      </c>
      <c r="G985">
        <f>IFERROR(VLOOKUP(logos[[#This Row],[Cell_ID]],'registe maintenance'!A:D,4,FALSE)," non répertoriées")</f>
        <v>28.189575999999999</v>
      </c>
      <c r="H985" t="str">
        <f>IFERROR(VLOOKUP(logos[[#This Row],[Cell_ID]],'registe maintenance'!A:E,5,FALSE)," non répertoriées")</f>
        <v>5G</v>
      </c>
      <c r="I985" t="str">
        <f>IFERROR(VLOOKUP(logos[[#This Row],[Cell_ID]],'registe maintenance'!A:F,6,FALSE)," non répertoriées")</f>
        <v>Huawei</v>
      </c>
      <c r="J985">
        <f>IFERROR(VLOOKUP(B985,'logos transformer '!A:B,2,FALSE),"na")</f>
        <v>4</v>
      </c>
      <c r="K985">
        <f>IFERROR(VLOOKUP(B985,'logos transformer '!A:C,3,FALSE),"na")</f>
        <v>237</v>
      </c>
      <c r="L985" s="1">
        <f>IFERROR(VLOOKUP(B985,'logos transformer '!A:D,4,FALSE),"na")</f>
        <v>45223.759722222225</v>
      </c>
    </row>
    <row r="986" spans="1:12" x14ac:dyDescent="0.3">
      <c r="A986" s="1">
        <v>45230.913194444453</v>
      </c>
      <c r="B986" t="s">
        <v>409</v>
      </c>
      <c r="C986">
        <v>62</v>
      </c>
      <c r="D986" t="s">
        <v>5</v>
      </c>
      <c r="E986" t="str">
        <f>IFERROR(VLOOKUP(logos[[#This Row],[Cell_ID]],'registe maintenance'!A:B,2,FALSE)," non répertoriées")</f>
        <v>Tshuapa</v>
      </c>
      <c r="F986">
        <f>IFERROR(VLOOKUP(logos[[#This Row],[Cell_ID]],'registe maintenance'!A:C,3,FALSE)," non répertoriées")</f>
        <v>-1.9540519999999999</v>
      </c>
      <c r="G986">
        <f>IFERROR(VLOOKUP(logos[[#This Row],[Cell_ID]],'registe maintenance'!A:D,4,FALSE)," non répertoriées")</f>
        <v>12.667945</v>
      </c>
      <c r="H986" t="str">
        <f>IFERROR(VLOOKUP(logos[[#This Row],[Cell_ID]],'registe maintenance'!A:E,5,FALSE)," non répertoriées")</f>
        <v>4G</v>
      </c>
      <c r="I986" t="str">
        <f>IFERROR(VLOOKUP(logos[[#This Row],[Cell_ID]],'registe maintenance'!A:F,6,FALSE)," non répertoriées")</f>
        <v>Huawei</v>
      </c>
      <c r="J986">
        <f>IFERROR(VLOOKUP(B986,'logos transformer '!A:B,2,FALSE),"na")</f>
        <v>2</v>
      </c>
      <c r="K986">
        <f>IFERROR(VLOOKUP(B986,'logos transformer '!A:C,3,FALSE),"na")</f>
        <v>75</v>
      </c>
      <c r="L986" s="1">
        <f>IFERROR(VLOOKUP(B986,'logos transformer '!A:D,4,FALSE),"na")</f>
        <v>45230.913194444445</v>
      </c>
    </row>
    <row r="987" spans="1:12" x14ac:dyDescent="0.3">
      <c r="A987" s="1">
        <v>45210.689583333333</v>
      </c>
      <c r="B987" t="s">
        <v>278</v>
      </c>
      <c r="C987">
        <v>16</v>
      </c>
      <c r="D987" t="s">
        <v>5</v>
      </c>
      <c r="E987" t="str">
        <f>IFERROR(VLOOKUP(logos[[#This Row],[Cell_ID]],'registe maintenance'!A:B,2,FALSE)," non répertoriées")</f>
        <v>Haut-Uele</v>
      </c>
      <c r="F987">
        <f>IFERROR(VLOOKUP(logos[[#This Row],[Cell_ID]],'registe maintenance'!A:C,3,FALSE)," non répertoriées")</f>
        <v>-4.869434</v>
      </c>
      <c r="G987">
        <f>IFERROR(VLOOKUP(logos[[#This Row],[Cell_ID]],'registe maintenance'!A:D,4,FALSE)," non répertoriées")</f>
        <v>22.326522000000001</v>
      </c>
      <c r="H987" t="str">
        <f>IFERROR(VLOOKUP(logos[[#This Row],[Cell_ID]],'registe maintenance'!A:E,5,FALSE)," non répertoriées")</f>
        <v>5G</v>
      </c>
      <c r="I987" t="str">
        <f>IFERROR(VLOOKUP(logos[[#This Row],[Cell_ID]],'registe maintenance'!A:F,6,FALSE)," non répertoriées")</f>
        <v>Ericsson</v>
      </c>
      <c r="J987">
        <f>IFERROR(VLOOKUP(B987,'logos transformer '!A:B,2,FALSE),"na")</f>
        <v>2</v>
      </c>
      <c r="K987">
        <f>IFERROR(VLOOKUP(B987,'logos transformer '!A:C,3,FALSE),"na")</f>
        <v>92</v>
      </c>
      <c r="L987" s="1">
        <f>IFERROR(VLOOKUP(B987,'logos transformer '!A:D,4,FALSE),"na")</f>
        <v>45210.689583333333</v>
      </c>
    </row>
    <row r="988" spans="1:12" x14ac:dyDescent="0.3">
      <c r="A988" s="1">
        <v>45222.943749999999</v>
      </c>
      <c r="B988" t="s">
        <v>632</v>
      </c>
      <c r="C988">
        <v>114</v>
      </c>
      <c r="D988" t="s">
        <v>5</v>
      </c>
      <c r="E988" t="str">
        <f>IFERROR(VLOOKUP(logos[[#This Row],[Cell_ID]],'registe maintenance'!A:B,2,FALSE)," non répertoriées")</f>
        <v>Haut-Lomami</v>
      </c>
      <c r="F988">
        <f>IFERROR(VLOOKUP(logos[[#This Row],[Cell_ID]],'registe maintenance'!A:C,3,FALSE)," non répertoriées")</f>
        <v>-9.6407190000000007</v>
      </c>
      <c r="G988">
        <f>IFERROR(VLOOKUP(logos[[#This Row],[Cell_ID]],'registe maintenance'!A:D,4,FALSE)," non répertoriées")</f>
        <v>21.336704999999998</v>
      </c>
      <c r="H988" t="str">
        <f>IFERROR(VLOOKUP(logos[[#This Row],[Cell_ID]],'registe maintenance'!A:E,5,FALSE)," non répertoriées")</f>
        <v>4G</v>
      </c>
      <c r="I988" t="str">
        <f>IFERROR(VLOOKUP(logos[[#This Row],[Cell_ID]],'registe maintenance'!A:F,6,FALSE)," non répertoriées")</f>
        <v>ZTE</v>
      </c>
      <c r="J988">
        <f>IFERROR(VLOOKUP(B988,'logos transformer '!A:B,2,FALSE),"na")</f>
        <v>1</v>
      </c>
      <c r="K988">
        <f>IFERROR(VLOOKUP(B988,'logos transformer '!A:C,3,FALSE),"na")</f>
        <v>114</v>
      </c>
      <c r="L988" s="1">
        <f>IFERROR(VLOOKUP(B988,'logos transformer '!A:D,4,FALSE),"na")</f>
        <v>45222.943749999999</v>
      </c>
    </row>
    <row r="989" spans="1:12" x14ac:dyDescent="0.3">
      <c r="A989" s="1">
        <v>45203.570833333331</v>
      </c>
      <c r="B989" t="s">
        <v>633</v>
      </c>
      <c r="C989">
        <v>68</v>
      </c>
      <c r="D989" t="s">
        <v>10</v>
      </c>
      <c r="E989" t="str">
        <f>IFERROR(VLOOKUP(logos[[#This Row],[Cell_ID]],'registe maintenance'!A:B,2,FALSE)," non répertoriées")</f>
        <v xml:space="preserve"> non répertoriées</v>
      </c>
      <c r="F989" t="str">
        <f>IFERROR(VLOOKUP(logos[[#This Row],[Cell_ID]],'registe maintenance'!A:C,3,FALSE)," non répertoriées")</f>
        <v xml:space="preserve"> non répertoriées</v>
      </c>
      <c r="G989" t="str">
        <f>IFERROR(VLOOKUP(logos[[#This Row],[Cell_ID]],'registe maintenance'!A:D,4,FALSE)," non répertoriées")</f>
        <v xml:space="preserve"> non répertoriées</v>
      </c>
      <c r="H989" t="str">
        <f>IFERROR(VLOOKUP(logos[[#This Row],[Cell_ID]],'registe maintenance'!A:E,5,FALSE)," non répertoriées")</f>
        <v xml:space="preserve"> non répertoriées</v>
      </c>
      <c r="I989" t="str">
        <f>IFERROR(VLOOKUP(logos[[#This Row],[Cell_ID]],'registe maintenance'!A:F,6,FALSE)," non répertoriées")</f>
        <v xml:space="preserve"> non répertoriées</v>
      </c>
      <c r="J989">
        <f>IFERROR(VLOOKUP(B989,'logos transformer '!A:B,2,FALSE),"na")</f>
        <v>1</v>
      </c>
      <c r="K989">
        <f>IFERROR(VLOOKUP(B989,'logos transformer '!A:C,3,FALSE),"na")</f>
        <v>68</v>
      </c>
      <c r="L989" s="1">
        <f>IFERROR(VLOOKUP(B989,'logos transformer '!A:D,4,FALSE),"na")</f>
        <v>45203.570833333331</v>
      </c>
    </row>
    <row r="990" spans="1:12" x14ac:dyDescent="0.3">
      <c r="A990" s="1">
        <v>45223.3125</v>
      </c>
      <c r="B990" t="s">
        <v>634</v>
      </c>
      <c r="C990">
        <v>62</v>
      </c>
      <c r="D990" t="s">
        <v>5</v>
      </c>
      <c r="E990" t="str">
        <f>IFERROR(VLOOKUP(logos[[#This Row],[Cell_ID]],'registe maintenance'!A:B,2,FALSE)," non répertoriées")</f>
        <v xml:space="preserve"> non répertoriées</v>
      </c>
      <c r="F990" t="str">
        <f>IFERROR(VLOOKUP(logos[[#This Row],[Cell_ID]],'registe maintenance'!A:C,3,FALSE)," non répertoriées")</f>
        <v xml:space="preserve"> non répertoriées</v>
      </c>
      <c r="G990" t="str">
        <f>IFERROR(VLOOKUP(logos[[#This Row],[Cell_ID]],'registe maintenance'!A:D,4,FALSE)," non répertoriées")</f>
        <v xml:space="preserve"> non répertoriées</v>
      </c>
      <c r="H990" t="str">
        <f>IFERROR(VLOOKUP(logos[[#This Row],[Cell_ID]],'registe maintenance'!A:E,5,FALSE)," non répertoriées")</f>
        <v xml:space="preserve"> non répertoriées</v>
      </c>
      <c r="I990" t="str">
        <f>IFERROR(VLOOKUP(logos[[#This Row],[Cell_ID]],'registe maintenance'!A:F,6,FALSE)," non répertoriées")</f>
        <v xml:space="preserve"> non répertoriées</v>
      </c>
      <c r="J990">
        <f>IFERROR(VLOOKUP(B990,'logos transformer '!A:B,2,FALSE),"na")</f>
        <v>1</v>
      </c>
      <c r="K990">
        <f>IFERROR(VLOOKUP(B990,'logos transformer '!A:C,3,FALSE),"na")</f>
        <v>62</v>
      </c>
      <c r="L990" s="1">
        <f>IFERROR(VLOOKUP(B990,'logos transformer '!A:D,4,FALSE),"na")</f>
        <v>45223.3125</v>
      </c>
    </row>
    <row r="991" spans="1:12" x14ac:dyDescent="0.3">
      <c r="A991" s="1">
        <v>45211.904861111107</v>
      </c>
      <c r="B991" t="s">
        <v>209</v>
      </c>
      <c r="C991">
        <v>45</v>
      </c>
      <c r="D991" t="s">
        <v>10</v>
      </c>
      <c r="E991" t="str">
        <f>IFERROR(VLOOKUP(logos[[#This Row],[Cell_ID]],'registe maintenance'!A:B,2,FALSE)," non répertoriées")</f>
        <v>Sud-Ubangi</v>
      </c>
      <c r="F991">
        <f>IFERROR(VLOOKUP(logos[[#This Row],[Cell_ID]],'registe maintenance'!A:C,3,FALSE)," non répertoriées")</f>
        <v>-12.342053999999999</v>
      </c>
      <c r="G991">
        <f>IFERROR(VLOOKUP(logos[[#This Row],[Cell_ID]],'registe maintenance'!A:D,4,FALSE)," non répertoriées")</f>
        <v>18.756862000000002</v>
      </c>
      <c r="H991" t="str">
        <f>IFERROR(VLOOKUP(logos[[#This Row],[Cell_ID]],'registe maintenance'!A:E,5,FALSE)," non répertoriées")</f>
        <v>3G</v>
      </c>
      <c r="I991" t="str">
        <f>IFERROR(VLOOKUP(logos[[#This Row],[Cell_ID]],'registe maintenance'!A:F,6,FALSE)," non répertoriées")</f>
        <v>Ericsson</v>
      </c>
      <c r="J991">
        <f>IFERROR(VLOOKUP(B991,'logos transformer '!A:B,2,FALSE),"na")</f>
        <v>2</v>
      </c>
      <c r="K991">
        <f>IFERROR(VLOOKUP(B991,'logos transformer '!A:C,3,FALSE),"na")</f>
        <v>88</v>
      </c>
      <c r="L991" s="1">
        <f>IFERROR(VLOOKUP(B991,'logos transformer '!A:D,4,FALSE),"na")</f>
        <v>45211.904861111114</v>
      </c>
    </row>
    <row r="992" spans="1:12" x14ac:dyDescent="0.3">
      <c r="A992" s="1">
        <v>45220.506249999999</v>
      </c>
      <c r="B992" t="s">
        <v>442</v>
      </c>
      <c r="C992">
        <v>20</v>
      </c>
      <c r="D992" t="s">
        <v>5</v>
      </c>
      <c r="E992" t="str">
        <f>IFERROR(VLOOKUP(logos[[#This Row],[Cell_ID]],'registe maintenance'!A:B,2,FALSE)," non répertoriées")</f>
        <v xml:space="preserve"> non répertoriées</v>
      </c>
      <c r="F992" t="str">
        <f>IFERROR(VLOOKUP(logos[[#This Row],[Cell_ID]],'registe maintenance'!A:C,3,FALSE)," non répertoriées")</f>
        <v xml:space="preserve"> non répertoriées</v>
      </c>
      <c r="G992" t="str">
        <f>IFERROR(VLOOKUP(logos[[#This Row],[Cell_ID]],'registe maintenance'!A:D,4,FALSE)," non répertoriées")</f>
        <v xml:space="preserve"> non répertoriées</v>
      </c>
      <c r="H992" t="str">
        <f>IFERROR(VLOOKUP(logos[[#This Row],[Cell_ID]],'registe maintenance'!A:E,5,FALSE)," non répertoriées")</f>
        <v xml:space="preserve"> non répertoriées</v>
      </c>
      <c r="I992" t="str">
        <f>IFERROR(VLOOKUP(logos[[#This Row],[Cell_ID]],'registe maintenance'!A:F,6,FALSE)," non répertoriées")</f>
        <v xml:space="preserve"> non répertoriées</v>
      </c>
      <c r="J992">
        <f>IFERROR(VLOOKUP(B992,'logos transformer '!A:B,2,FALSE),"na")</f>
        <v>3</v>
      </c>
      <c r="K992">
        <f>IFERROR(VLOOKUP(B992,'logos transformer '!A:C,3,FALSE),"na")</f>
        <v>114</v>
      </c>
      <c r="L992" s="1">
        <f>IFERROR(VLOOKUP(B992,'logos transformer '!A:D,4,FALSE),"na")</f>
        <v>45229.986805555556</v>
      </c>
    </row>
    <row r="993" spans="1:12" x14ac:dyDescent="0.3">
      <c r="A993" s="1">
        <v>45226.747916666667</v>
      </c>
      <c r="B993" t="s">
        <v>635</v>
      </c>
      <c r="C993">
        <v>68</v>
      </c>
      <c r="D993" t="s">
        <v>8</v>
      </c>
      <c r="E993" t="str">
        <f>IFERROR(VLOOKUP(logos[[#This Row],[Cell_ID]],'registe maintenance'!A:B,2,FALSE)," non répertoriées")</f>
        <v xml:space="preserve"> non répertoriées</v>
      </c>
      <c r="F993" t="str">
        <f>IFERROR(VLOOKUP(logos[[#This Row],[Cell_ID]],'registe maintenance'!A:C,3,FALSE)," non répertoriées")</f>
        <v xml:space="preserve"> non répertoriées</v>
      </c>
      <c r="G993" t="str">
        <f>IFERROR(VLOOKUP(logos[[#This Row],[Cell_ID]],'registe maintenance'!A:D,4,FALSE)," non répertoriées")</f>
        <v xml:space="preserve"> non répertoriées</v>
      </c>
      <c r="H993" t="str">
        <f>IFERROR(VLOOKUP(logos[[#This Row],[Cell_ID]],'registe maintenance'!A:E,5,FALSE)," non répertoriées")</f>
        <v xml:space="preserve"> non répertoriées</v>
      </c>
      <c r="I993" t="str">
        <f>IFERROR(VLOOKUP(logos[[#This Row],[Cell_ID]],'registe maintenance'!A:F,6,FALSE)," non répertoriées")</f>
        <v xml:space="preserve"> non répertoriées</v>
      </c>
      <c r="J993">
        <f>IFERROR(VLOOKUP(B993,'logos transformer '!A:B,2,FALSE),"na")</f>
        <v>1</v>
      </c>
      <c r="K993">
        <f>IFERROR(VLOOKUP(B993,'logos transformer '!A:C,3,FALSE),"na")</f>
        <v>68</v>
      </c>
      <c r="L993" s="1">
        <f>IFERROR(VLOOKUP(B993,'logos transformer '!A:D,4,FALSE),"na")</f>
        <v>45226.747916666667</v>
      </c>
    </row>
    <row r="994" spans="1:12" x14ac:dyDescent="0.3">
      <c r="A994" s="1">
        <v>45219.041666666657</v>
      </c>
      <c r="B994" t="s">
        <v>165</v>
      </c>
      <c r="C994">
        <v>100</v>
      </c>
      <c r="D994" t="s">
        <v>10</v>
      </c>
      <c r="E994" t="str">
        <f>IFERROR(VLOOKUP(logos[[#This Row],[Cell_ID]],'registe maintenance'!A:B,2,FALSE)," non répertoriées")</f>
        <v xml:space="preserve"> non répertoriées</v>
      </c>
      <c r="F994" t="str">
        <f>IFERROR(VLOOKUP(logos[[#This Row],[Cell_ID]],'registe maintenance'!A:C,3,FALSE)," non répertoriées")</f>
        <v xml:space="preserve"> non répertoriées</v>
      </c>
      <c r="G994" t="str">
        <f>IFERROR(VLOOKUP(logos[[#This Row],[Cell_ID]],'registe maintenance'!A:D,4,FALSE)," non répertoriées")</f>
        <v xml:space="preserve"> non répertoriées</v>
      </c>
      <c r="H994" t="str">
        <f>IFERROR(VLOOKUP(logos[[#This Row],[Cell_ID]],'registe maintenance'!A:E,5,FALSE)," non répertoriées")</f>
        <v xml:space="preserve"> non répertoriées</v>
      </c>
      <c r="I994" t="str">
        <f>IFERROR(VLOOKUP(logos[[#This Row],[Cell_ID]],'registe maintenance'!A:F,6,FALSE)," non répertoriées")</f>
        <v xml:space="preserve"> non répertoriées</v>
      </c>
      <c r="J994">
        <f>IFERROR(VLOOKUP(B994,'logos transformer '!A:B,2,FALSE),"na")</f>
        <v>2</v>
      </c>
      <c r="K994">
        <f>IFERROR(VLOOKUP(B994,'logos transformer '!A:C,3,FALSE),"na")</f>
        <v>146</v>
      </c>
      <c r="L994" s="1">
        <f>IFERROR(VLOOKUP(B994,'logos transformer '!A:D,4,FALSE),"na")</f>
        <v>45219.041666666664</v>
      </c>
    </row>
    <row r="995" spans="1:12" x14ac:dyDescent="0.3">
      <c r="A995" s="1">
        <v>45225.779861111107</v>
      </c>
      <c r="B995" t="s">
        <v>624</v>
      </c>
      <c r="C995">
        <v>69</v>
      </c>
      <c r="D995" t="s">
        <v>8</v>
      </c>
      <c r="E995" t="str">
        <f>IFERROR(VLOOKUP(logos[[#This Row],[Cell_ID]],'registe maintenance'!A:B,2,FALSE)," non répertoriées")</f>
        <v xml:space="preserve"> non répertoriées</v>
      </c>
      <c r="F995" t="str">
        <f>IFERROR(VLOOKUP(logos[[#This Row],[Cell_ID]],'registe maintenance'!A:C,3,FALSE)," non répertoriées")</f>
        <v xml:space="preserve"> non répertoriées</v>
      </c>
      <c r="G995" t="str">
        <f>IFERROR(VLOOKUP(logos[[#This Row],[Cell_ID]],'registe maintenance'!A:D,4,FALSE)," non répertoriées")</f>
        <v xml:space="preserve"> non répertoriées</v>
      </c>
      <c r="H995" t="str">
        <f>IFERROR(VLOOKUP(logos[[#This Row],[Cell_ID]],'registe maintenance'!A:E,5,FALSE)," non répertoriées")</f>
        <v xml:space="preserve"> non répertoriées</v>
      </c>
      <c r="I995" t="str">
        <f>IFERROR(VLOOKUP(logos[[#This Row],[Cell_ID]],'registe maintenance'!A:F,6,FALSE)," non répertoriées")</f>
        <v xml:space="preserve"> non répertoriées</v>
      </c>
      <c r="J995">
        <f>IFERROR(VLOOKUP(B995,'logos transformer '!A:B,2,FALSE),"na")</f>
        <v>2</v>
      </c>
      <c r="K995">
        <f>IFERROR(VLOOKUP(B995,'logos transformer '!A:C,3,FALSE),"na")</f>
        <v>138</v>
      </c>
      <c r="L995" s="1">
        <f>IFERROR(VLOOKUP(B995,'logos transformer '!A:D,4,FALSE),"na")</f>
        <v>45225.779861111114</v>
      </c>
    </row>
    <row r="996" spans="1:12" x14ac:dyDescent="0.3">
      <c r="A996" s="1">
        <v>45203.603472222218</v>
      </c>
      <c r="B996" t="s">
        <v>636</v>
      </c>
      <c r="C996">
        <v>106</v>
      </c>
      <c r="D996" t="s">
        <v>8</v>
      </c>
      <c r="E996" t="str">
        <f>IFERROR(VLOOKUP(logos[[#This Row],[Cell_ID]],'registe maintenance'!A:B,2,FALSE)," non répertoriées")</f>
        <v>Haut-Katanga</v>
      </c>
      <c r="F996">
        <f>IFERROR(VLOOKUP(logos[[#This Row],[Cell_ID]],'registe maintenance'!A:C,3,FALSE)," non répertoriées")</f>
        <v>-5.1507670000000001</v>
      </c>
      <c r="G996">
        <f>IFERROR(VLOOKUP(logos[[#This Row],[Cell_ID]],'registe maintenance'!A:D,4,FALSE)," non répertoriées")</f>
        <v>28.075324999999999</v>
      </c>
      <c r="H996" t="str">
        <f>IFERROR(VLOOKUP(logos[[#This Row],[Cell_ID]],'registe maintenance'!A:E,5,FALSE)," non répertoriées")</f>
        <v>5G</v>
      </c>
      <c r="I996" t="str">
        <f>IFERROR(VLOOKUP(logos[[#This Row],[Cell_ID]],'registe maintenance'!A:F,6,FALSE)," non répertoriées")</f>
        <v>Huawei</v>
      </c>
      <c r="J996">
        <f>IFERROR(VLOOKUP(B996,'logos transformer '!A:B,2,FALSE),"na")</f>
        <v>1</v>
      </c>
      <c r="K996">
        <f>IFERROR(VLOOKUP(B996,'logos transformer '!A:C,3,FALSE),"na")</f>
        <v>106</v>
      </c>
      <c r="L996" s="1">
        <f>IFERROR(VLOOKUP(B996,'logos transformer '!A:D,4,FALSE),"na")</f>
        <v>45203.603472222225</v>
      </c>
    </row>
    <row r="997" spans="1:12" x14ac:dyDescent="0.3">
      <c r="A997" s="1">
        <v>45221.772222222222</v>
      </c>
      <c r="B997" t="s">
        <v>178</v>
      </c>
      <c r="C997">
        <v>107</v>
      </c>
      <c r="D997" t="s">
        <v>5</v>
      </c>
      <c r="E997" t="str">
        <f>IFERROR(VLOOKUP(logos[[#This Row],[Cell_ID]],'registe maintenance'!A:B,2,FALSE)," non répertoriées")</f>
        <v>Kasai-Central</v>
      </c>
      <c r="F997">
        <f>IFERROR(VLOOKUP(logos[[#This Row],[Cell_ID]],'registe maintenance'!A:C,3,FALSE)," non répertoriées")</f>
        <v>-4.4451280000000004</v>
      </c>
      <c r="G997">
        <f>IFERROR(VLOOKUP(logos[[#This Row],[Cell_ID]],'registe maintenance'!A:D,4,FALSE)," non répertoriées")</f>
        <v>16.536944999999999</v>
      </c>
      <c r="H997" t="str">
        <f>IFERROR(VLOOKUP(logos[[#This Row],[Cell_ID]],'registe maintenance'!A:E,5,FALSE)," non répertoriées")</f>
        <v>4G</v>
      </c>
      <c r="I997" t="str">
        <f>IFERROR(VLOOKUP(logos[[#This Row],[Cell_ID]],'registe maintenance'!A:F,6,FALSE)," non répertoriées")</f>
        <v>Ericsson</v>
      </c>
      <c r="J997">
        <f>IFERROR(VLOOKUP(B997,'logos transformer '!A:B,2,FALSE),"na")</f>
        <v>2</v>
      </c>
      <c r="K997">
        <f>IFERROR(VLOOKUP(B997,'logos transformer '!A:C,3,FALSE),"na")</f>
        <v>209</v>
      </c>
      <c r="L997" s="1">
        <f>IFERROR(VLOOKUP(B997,'logos transformer '!A:D,4,FALSE),"na")</f>
        <v>45221.772222222222</v>
      </c>
    </row>
    <row r="998" spans="1:12" x14ac:dyDescent="0.3">
      <c r="A998" s="1">
        <v>45204.625</v>
      </c>
      <c r="B998" t="s">
        <v>637</v>
      </c>
      <c r="C998">
        <v>94</v>
      </c>
      <c r="D998" t="s">
        <v>10</v>
      </c>
      <c r="E998" t="str">
        <f>IFERROR(VLOOKUP(logos[[#This Row],[Cell_ID]],'registe maintenance'!A:B,2,FALSE)," non répertoriées")</f>
        <v>Bas-Uele</v>
      </c>
      <c r="F998">
        <f>IFERROR(VLOOKUP(logos[[#This Row],[Cell_ID]],'registe maintenance'!A:C,3,FALSE)," non répertoriées")</f>
        <v>-1.6893210000000001</v>
      </c>
      <c r="G998">
        <f>IFERROR(VLOOKUP(logos[[#This Row],[Cell_ID]],'registe maintenance'!A:D,4,FALSE)," non répertoriées")</f>
        <v>30.446543999999999</v>
      </c>
      <c r="H998" t="str">
        <f>IFERROR(VLOOKUP(logos[[#This Row],[Cell_ID]],'registe maintenance'!A:E,5,FALSE)," non répertoriées")</f>
        <v>4G</v>
      </c>
      <c r="I998" t="str">
        <f>IFERROR(VLOOKUP(logos[[#This Row],[Cell_ID]],'registe maintenance'!A:F,6,FALSE)," non répertoriées")</f>
        <v>Huawei</v>
      </c>
      <c r="J998">
        <f>IFERROR(VLOOKUP(B998,'logos transformer '!A:B,2,FALSE),"na")</f>
        <v>1</v>
      </c>
      <c r="K998">
        <f>IFERROR(VLOOKUP(B998,'logos transformer '!A:C,3,FALSE),"na")</f>
        <v>94</v>
      </c>
      <c r="L998" s="1">
        <f>IFERROR(VLOOKUP(B998,'logos transformer '!A:D,4,FALSE),"na")</f>
        <v>45204.625</v>
      </c>
    </row>
    <row r="999" spans="1:12" x14ac:dyDescent="0.3">
      <c r="A999" s="1">
        <v>45216.960416666669</v>
      </c>
      <c r="B999" t="s">
        <v>638</v>
      </c>
      <c r="C999">
        <v>41</v>
      </c>
      <c r="D999" t="s">
        <v>8</v>
      </c>
      <c r="E999" t="str">
        <f>IFERROR(VLOOKUP(logos[[#This Row],[Cell_ID]],'registe maintenance'!A:B,2,FALSE)," non répertoriées")</f>
        <v>Mai-Ndombe</v>
      </c>
      <c r="F999">
        <f>IFERROR(VLOOKUP(logos[[#This Row],[Cell_ID]],'registe maintenance'!A:C,3,FALSE)," non répertoriées")</f>
        <v>-7.5641280000000002</v>
      </c>
      <c r="G999">
        <f>IFERROR(VLOOKUP(logos[[#This Row],[Cell_ID]],'registe maintenance'!A:D,4,FALSE)," non répertoriées")</f>
        <v>18.129529999999999</v>
      </c>
      <c r="H999" t="str">
        <f>IFERROR(VLOOKUP(logos[[#This Row],[Cell_ID]],'registe maintenance'!A:E,5,FALSE)," non répertoriées")</f>
        <v>3G</v>
      </c>
      <c r="I999" t="str">
        <f>IFERROR(VLOOKUP(logos[[#This Row],[Cell_ID]],'registe maintenance'!A:F,6,FALSE)," non répertoriées")</f>
        <v>Huawei</v>
      </c>
      <c r="J999">
        <f>IFERROR(VLOOKUP(B999,'logos transformer '!A:B,2,FALSE),"na")</f>
        <v>1</v>
      </c>
      <c r="K999">
        <f>IFERROR(VLOOKUP(B999,'logos transformer '!A:C,3,FALSE),"na")</f>
        <v>41</v>
      </c>
      <c r="L999" s="1">
        <f>IFERROR(VLOOKUP(B999,'logos transformer '!A:D,4,FALSE),"na")</f>
        <v>45216.960416666669</v>
      </c>
    </row>
    <row r="1000" spans="1:12" x14ac:dyDescent="0.3">
      <c r="A1000" s="1">
        <v>45217.578472222223</v>
      </c>
      <c r="B1000" t="s">
        <v>639</v>
      </c>
      <c r="C1000">
        <v>93</v>
      </c>
      <c r="D1000" t="s">
        <v>8</v>
      </c>
      <c r="E1000" t="str">
        <f>IFERROR(VLOOKUP(logos[[#This Row],[Cell_ID]],'registe maintenance'!A:B,2,FALSE)," non répertoriées")</f>
        <v>Kasai-Central</v>
      </c>
      <c r="F1000">
        <f>IFERROR(VLOOKUP(logos[[#This Row],[Cell_ID]],'registe maintenance'!A:C,3,FALSE)," non répertoriées")</f>
        <v>-10.735106</v>
      </c>
      <c r="G1000">
        <f>IFERROR(VLOOKUP(logos[[#This Row],[Cell_ID]],'registe maintenance'!A:D,4,FALSE)," non répertoriées")</f>
        <v>27.868673999999999</v>
      </c>
      <c r="H1000" t="str">
        <f>IFERROR(VLOOKUP(logos[[#This Row],[Cell_ID]],'registe maintenance'!A:E,5,FALSE)," non répertoriées")</f>
        <v>3G</v>
      </c>
      <c r="I1000" t="str">
        <f>IFERROR(VLOOKUP(logos[[#This Row],[Cell_ID]],'registe maintenance'!A:F,6,FALSE)," non répertoriées")</f>
        <v>Ericsson</v>
      </c>
      <c r="J1000">
        <f>IFERROR(VLOOKUP(B1000,'logos transformer '!A:B,2,FALSE),"na")</f>
        <v>1</v>
      </c>
      <c r="K1000">
        <f>IFERROR(VLOOKUP(B1000,'logos transformer '!A:C,3,FALSE),"na")</f>
        <v>93</v>
      </c>
      <c r="L1000" s="1">
        <f>IFERROR(VLOOKUP(B1000,'logos transformer '!A:D,4,FALSE),"na")</f>
        <v>45217.578472222223</v>
      </c>
    </row>
    <row r="1001" spans="1:12" x14ac:dyDescent="0.3">
      <c r="A1001" s="1">
        <v>45218.665972222218</v>
      </c>
      <c r="B1001" t="s">
        <v>640</v>
      </c>
      <c r="C1001">
        <v>90</v>
      </c>
      <c r="D1001" t="s">
        <v>10</v>
      </c>
      <c r="E1001" t="str">
        <f>IFERROR(VLOOKUP(logos[[#This Row],[Cell_ID]],'registe maintenance'!A:B,2,FALSE)," non répertoriées")</f>
        <v xml:space="preserve"> non répertoriées</v>
      </c>
      <c r="F1001" t="str">
        <f>IFERROR(VLOOKUP(logos[[#This Row],[Cell_ID]],'registe maintenance'!A:C,3,FALSE)," non répertoriées")</f>
        <v xml:space="preserve"> non répertoriées</v>
      </c>
      <c r="G1001" t="str">
        <f>IFERROR(VLOOKUP(logos[[#This Row],[Cell_ID]],'registe maintenance'!A:D,4,FALSE)," non répertoriées")</f>
        <v xml:space="preserve"> non répertoriées</v>
      </c>
      <c r="H1001" t="str">
        <f>IFERROR(VLOOKUP(logos[[#This Row],[Cell_ID]],'registe maintenance'!A:E,5,FALSE)," non répertoriées")</f>
        <v xml:space="preserve"> non répertoriées</v>
      </c>
      <c r="I1001" t="str">
        <f>IFERROR(VLOOKUP(logos[[#This Row],[Cell_ID]],'registe maintenance'!A:F,6,FALSE)," non répertoriées")</f>
        <v xml:space="preserve"> non répertoriées</v>
      </c>
      <c r="J1001">
        <f>IFERROR(VLOOKUP(B1001,'logos transformer '!A:B,2,FALSE),"na")</f>
        <v>1</v>
      </c>
      <c r="K1001">
        <f>IFERROR(VLOOKUP(B1001,'logos transformer '!A:C,3,FALSE),"na")</f>
        <v>90</v>
      </c>
      <c r="L1001" s="1">
        <f>IFERROR(VLOOKUP(B1001,'logos transformer '!A:D,4,FALSE),"na")</f>
        <v>45218.665972222225</v>
      </c>
    </row>
    <row r="1002" spans="1:12" x14ac:dyDescent="0.3">
      <c r="A1002" s="1">
        <v>45218.240277777782</v>
      </c>
      <c r="B1002" t="s">
        <v>137</v>
      </c>
      <c r="C1002">
        <v>53</v>
      </c>
      <c r="D1002" t="s">
        <v>10</v>
      </c>
      <c r="E1002" t="str">
        <f>IFERROR(VLOOKUP(logos[[#This Row],[Cell_ID]],'registe maintenance'!A:B,2,FALSE)," non répertoriées")</f>
        <v xml:space="preserve"> non répertoriées</v>
      </c>
      <c r="F1002" t="str">
        <f>IFERROR(VLOOKUP(logos[[#This Row],[Cell_ID]],'registe maintenance'!A:C,3,FALSE)," non répertoriées")</f>
        <v xml:space="preserve"> non répertoriées</v>
      </c>
      <c r="G1002" t="str">
        <f>IFERROR(VLOOKUP(logos[[#This Row],[Cell_ID]],'registe maintenance'!A:D,4,FALSE)," non répertoriées")</f>
        <v xml:space="preserve"> non répertoriées</v>
      </c>
      <c r="H1002" t="str">
        <f>IFERROR(VLOOKUP(logos[[#This Row],[Cell_ID]],'registe maintenance'!A:E,5,FALSE)," non répertoriées")</f>
        <v xml:space="preserve"> non répertoriées</v>
      </c>
      <c r="I1002" t="str">
        <f>IFERROR(VLOOKUP(logos[[#This Row],[Cell_ID]],'registe maintenance'!A:F,6,FALSE)," non répertoriées")</f>
        <v xml:space="preserve"> non répertoriées</v>
      </c>
      <c r="J1002">
        <f>IFERROR(VLOOKUP(B1002,'logos transformer '!A:B,2,FALSE),"na")</f>
        <v>2</v>
      </c>
      <c r="K1002">
        <f>IFERROR(VLOOKUP(B1002,'logos transformer '!A:C,3,FALSE),"na")</f>
        <v>92</v>
      </c>
      <c r="L1002" s="1">
        <f>IFERROR(VLOOKUP(B1002,'logos transformer '!A:D,4,FALSE),"na")</f>
        <v>45218.875694444447</v>
      </c>
    </row>
    <row r="1003" spans="1:12" x14ac:dyDescent="0.3">
      <c r="A1003" s="1">
        <v>45226.17083333333</v>
      </c>
      <c r="B1003" t="s">
        <v>54</v>
      </c>
      <c r="C1003">
        <v>54</v>
      </c>
      <c r="D1003" t="s">
        <v>5</v>
      </c>
      <c r="E1003" t="str">
        <f>IFERROR(VLOOKUP(logos[[#This Row],[Cell_ID]],'registe maintenance'!A:B,2,FALSE)," non répertoriées")</f>
        <v>Tshuapa</v>
      </c>
      <c r="F1003">
        <f>IFERROR(VLOOKUP(logos[[#This Row],[Cell_ID]],'registe maintenance'!A:C,3,FALSE)," non répertoriées")</f>
        <v>-5.1030600000000002</v>
      </c>
      <c r="G1003">
        <f>IFERROR(VLOOKUP(logos[[#This Row],[Cell_ID]],'registe maintenance'!A:D,4,FALSE)," non répertoriées")</f>
        <v>22.849231</v>
      </c>
      <c r="H1003" t="str">
        <f>IFERROR(VLOOKUP(logos[[#This Row],[Cell_ID]],'registe maintenance'!A:E,5,FALSE)," non répertoriées")</f>
        <v>5G</v>
      </c>
      <c r="I1003" t="str">
        <f>IFERROR(VLOOKUP(logos[[#This Row],[Cell_ID]],'registe maintenance'!A:F,6,FALSE)," non répertoriées")</f>
        <v>ZTE</v>
      </c>
      <c r="J1003">
        <f>IFERROR(VLOOKUP(B1003,'logos transformer '!A:B,2,FALSE),"na")</f>
        <v>2</v>
      </c>
      <c r="K1003">
        <f>IFERROR(VLOOKUP(B1003,'logos transformer '!A:C,3,FALSE),"na")</f>
        <v>127</v>
      </c>
      <c r="L1003" s="1">
        <f>IFERROR(VLOOKUP(B1003,'logos transformer '!A:D,4,FALSE),"na")</f>
        <v>45226.17083333333</v>
      </c>
    </row>
    <row r="1004" spans="1:12" x14ac:dyDescent="0.3">
      <c r="A1004" s="1">
        <v>45212.901388888888</v>
      </c>
      <c r="B1004" t="s">
        <v>68</v>
      </c>
      <c r="C1004">
        <v>58</v>
      </c>
      <c r="D1004" t="s">
        <v>5</v>
      </c>
      <c r="E1004" t="str">
        <f>IFERROR(VLOOKUP(logos[[#This Row],[Cell_ID]],'registe maintenance'!A:B,2,FALSE)," non répertoriées")</f>
        <v>Kwango</v>
      </c>
      <c r="F1004">
        <f>IFERROR(VLOOKUP(logos[[#This Row],[Cell_ID]],'registe maintenance'!A:C,3,FALSE)," non répertoriées")</f>
        <v>-10.963041</v>
      </c>
      <c r="G1004">
        <f>IFERROR(VLOOKUP(logos[[#This Row],[Cell_ID]],'registe maintenance'!A:D,4,FALSE)," non répertoriées")</f>
        <v>12.269857</v>
      </c>
      <c r="H1004" t="str">
        <f>IFERROR(VLOOKUP(logos[[#This Row],[Cell_ID]],'registe maintenance'!A:E,5,FALSE)," non répertoriées")</f>
        <v>4G</v>
      </c>
      <c r="I1004" t="str">
        <f>IFERROR(VLOOKUP(logos[[#This Row],[Cell_ID]],'registe maintenance'!A:F,6,FALSE)," non répertoriées")</f>
        <v>Huawei</v>
      </c>
      <c r="J1004">
        <f>IFERROR(VLOOKUP(B1004,'logos transformer '!A:B,2,FALSE),"na")</f>
        <v>3</v>
      </c>
      <c r="K1004">
        <f>IFERROR(VLOOKUP(B1004,'logos transformer '!A:C,3,FALSE),"na")</f>
        <v>199</v>
      </c>
      <c r="L1004" s="1">
        <f>IFERROR(VLOOKUP(B1004,'logos transformer '!A:D,4,FALSE),"na")</f>
        <v>45228.621527777781</v>
      </c>
    </row>
    <row r="1005" spans="1:12" x14ac:dyDescent="0.3">
      <c r="A1005" s="1">
        <v>45219.438888888893</v>
      </c>
      <c r="B1005" t="s">
        <v>641</v>
      </c>
      <c r="C1005">
        <v>105</v>
      </c>
      <c r="D1005" t="s">
        <v>8</v>
      </c>
      <c r="E1005" t="str">
        <f>IFERROR(VLOOKUP(logos[[#This Row],[Cell_ID]],'registe maintenance'!A:B,2,FALSE)," non répertoriées")</f>
        <v>Sud-Ubangi</v>
      </c>
      <c r="F1005">
        <f>IFERROR(VLOOKUP(logos[[#This Row],[Cell_ID]],'registe maintenance'!A:C,3,FALSE)," non répertoriées")</f>
        <v>-0.54908599999999996</v>
      </c>
      <c r="G1005">
        <f>IFERROR(VLOOKUP(logos[[#This Row],[Cell_ID]],'registe maintenance'!A:D,4,FALSE)," non répertoriées")</f>
        <v>14.816867</v>
      </c>
      <c r="H1005" t="str">
        <f>IFERROR(VLOOKUP(logos[[#This Row],[Cell_ID]],'registe maintenance'!A:E,5,FALSE)," non répertoriées")</f>
        <v>5G</v>
      </c>
      <c r="I1005" t="str">
        <f>IFERROR(VLOOKUP(logos[[#This Row],[Cell_ID]],'registe maintenance'!A:F,6,FALSE)," non répertoriées")</f>
        <v>ZTE</v>
      </c>
      <c r="J1005">
        <f>IFERROR(VLOOKUP(B1005,'logos transformer '!A:B,2,FALSE),"na")</f>
        <v>1</v>
      </c>
      <c r="K1005">
        <f>IFERROR(VLOOKUP(B1005,'logos transformer '!A:C,3,FALSE),"na")</f>
        <v>105</v>
      </c>
      <c r="L1005" s="1">
        <f>IFERROR(VLOOKUP(B1005,'logos transformer '!A:D,4,FALSE),"na")</f>
        <v>45219.438888888886</v>
      </c>
    </row>
    <row r="1006" spans="1:12" x14ac:dyDescent="0.3">
      <c r="A1006" s="1">
        <v>45228.518055555563</v>
      </c>
      <c r="B1006" t="s">
        <v>587</v>
      </c>
      <c r="C1006">
        <v>92</v>
      </c>
      <c r="D1006" t="s">
        <v>10</v>
      </c>
      <c r="E1006" t="str">
        <f>IFERROR(VLOOKUP(logos[[#This Row],[Cell_ID]],'registe maintenance'!A:B,2,FALSE)," non répertoriées")</f>
        <v xml:space="preserve"> non répertoriées</v>
      </c>
      <c r="F1006" t="str">
        <f>IFERROR(VLOOKUP(logos[[#This Row],[Cell_ID]],'registe maintenance'!A:C,3,FALSE)," non répertoriées")</f>
        <v xml:space="preserve"> non répertoriées</v>
      </c>
      <c r="G1006" t="str">
        <f>IFERROR(VLOOKUP(logos[[#This Row],[Cell_ID]],'registe maintenance'!A:D,4,FALSE)," non répertoriées")</f>
        <v xml:space="preserve"> non répertoriées</v>
      </c>
      <c r="H1006" t="str">
        <f>IFERROR(VLOOKUP(logos[[#This Row],[Cell_ID]],'registe maintenance'!A:E,5,FALSE)," non répertoriées")</f>
        <v xml:space="preserve"> non répertoriées</v>
      </c>
      <c r="I1006" t="str">
        <f>IFERROR(VLOOKUP(logos[[#This Row],[Cell_ID]],'registe maintenance'!A:F,6,FALSE)," non répertoriées")</f>
        <v xml:space="preserve"> non répertoriées</v>
      </c>
      <c r="J1006">
        <f>IFERROR(VLOOKUP(B1006,'logos transformer '!A:B,2,FALSE),"na")</f>
        <v>2</v>
      </c>
      <c r="K1006">
        <f>IFERROR(VLOOKUP(B1006,'logos transformer '!A:C,3,FALSE),"na")</f>
        <v>183</v>
      </c>
      <c r="L1006" s="1">
        <f>IFERROR(VLOOKUP(B1006,'logos transformer '!A:D,4,FALSE),"na")</f>
        <v>45228.518055555556</v>
      </c>
    </row>
    <row r="1007" spans="1:12" x14ac:dyDescent="0.3">
      <c r="A1007" s="1">
        <v>45219.95</v>
      </c>
      <c r="B1007" t="s">
        <v>59</v>
      </c>
      <c r="C1007">
        <v>45</v>
      </c>
      <c r="D1007" t="s">
        <v>10</v>
      </c>
      <c r="E1007" t="str">
        <f>IFERROR(VLOOKUP(logos[[#This Row],[Cell_ID]],'registe maintenance'!A:B,2,FALSE)," non répertoriées")</f>
        <v xml:space="preserve"> non répertoriées</v>
      </c>
      <c r="F1007" t="str">
        <f>IFERROR(VLOOKUP(logos[[#This Row],[Cell_ID]],'registe maintenance'!A:C,3,FALSE)," non répertoriées")</f>
        <v xml:space="preserve"> non répertoriées</v>
      </c>
      <c r="G1007" t="str">
        <f>IFERROR(VLOOKUP(logos[[#This Row],[Cell_ID]],'registe maintenance'!A:D,4,FALSE)," non répertoriées")</f>
        <v xml:space="preserve"> non répertoriées</v>
      </c>
      <c r="H1007" t="str">
        <f>IFERROR(VLOOKUP(logos[[#This Row],[Cell_ID]],'registe maintenance'!A:E,5,FALSE)," non répertoriées")</f>
        <v xml:space="preserve"> non répertoriées</v>
      </c>
      <c r="I1007" t="str">
        <f>IFERROR(VLOOKUP(logos[[#This Row],[Cell_ID]],'registe maintenance'!A:F,6,FALSE)," non répertoriées")</f>
        <v xml:space="preserve"> non répertoriées</v>
      </c>
      <c r="J1007">
        <f>IFERROR(VLOOKUP(B1007,'logos transformer '!A:B,2,FALSE),"na")</f>
        <v>3</v>
      </c>
      <c r="K1007">
        <f>IFERROR(VLOOKUP(B1007,'logos transformer '!A:C,3,FALSE),"na")</f>
        <v>267</v>
      </c>
      <c r="L1007" s="1">
        <f>IFERROR(VLOOKUP(B1007,'logos transformer '!A:D,4,FALSE),"na")</f>
        <v>45223.45208333333</v>
      </c>
    </row>
    <row r="1008" spans="1:12" x14ac:dyDescent="0.3">
      <c r="A1008" s="1">
        <v>45207.350694444453</v>
      </c>
      <c r="B1008" t="s">
        <v>642</v>
      </c>
      <c r="C1008">
        <v>75</v>
      </c>
      <c r="D1008" t="s">
        <v>10</v>
      </c>
      <c r="E1008" t="str">
        <f>IFERROR(VLOOKUP(logos[[#This Row],[Cell_ID]],'registe maintenance'!A:B,2,FALSE)," non répertoriées")</f>
        <v xml:space="preserve"> non répertoriées</v>
      </c>
      <c r="F1008" t="str">
        <f>IFERROR(VLOOKUP(logos[[#This Row],[Cell_ID]],'registe maintenance'!A:C,3,FALSE)," non répertoriées")</f>
        <v xml:space="preserve"> non répertoriées</v>
      </c>
      <c r="G1008" t="str">
        <f>IFERROR(VLOOKUP(logos[[#This Row],[Cell_ID]],'registe maintenance'!A:D,4,FALSE)," non répertoriées")</f>
        <v xml:space="preserve"> non répertoriées</v>
      </c>
      <c r="H1008" t="str">
        <f>IFERROR(VLOOKUP(logos[[#This Row],[Cell_ID]],'registe maintenance'!A:E,5,FALSE)," non répertoriées")</f>
        <v xml:space="preserve"> non répertoriées</v>
      </c>
      <c r="I1008" t="str">
        <f>IFERROR(VLOOKUP(logos[[#This Row],[Cell_ID]],'registe maintenance'!A:F,6,FALSE)," non répertoriées")</f>
        <v xml:space="preserve"> non répertoriées</v>
      </c>
      <c r="J1008">
        <f>IFERROR(VLOOKUP(B1008,'logos transformer '!A:B,2,FALSE),"na")</f>
        <v>1</v>
      </c>
      <c r="K1008">
        <f>IFERROR(VLOOKUP(B1008,'logos transformer '!A:C,3,FALSE),"na")</f>
        <v>75</v>
      </c>
      <c r="L1008" s="1">
        <f>IFERROR(VLOOKUP(B1008,'logos transformer '!A:D,4,FALSE),"na")</f>
        <v>45207.350694444445</v>
      </c>
    </row>
    <row r="1009" spans="1:12" x14ac:dyDescent="0.3">
      <c r="A1009" s="1">
        <v>45230.429166666669</v>
      </c>
      <c r="B1009" t="s">
        <v>387</v>
      </c>
      <c r="C1009">
        <v>11</v>
      </c>
      <c r="D1009" t="s">
        <v>10</v>
      </c>
      <c r="E1009" t="str">
        <f>IFERROR(VLOOKUP(logos[[#This Row],[Cell_ID]],'registe maintenance'!A:B,2,FALSE)," non répertoriées")</f>
        <v>Bas-Uele</v>
      </c>
      <c r="F1009">
        <f>IFERROR(VLOOKUP(logos[[#This Row],[Cell_ID]],'registe maintenance'!A:C,3,FALSE)," non répertoriées")</f>
        <v>-2.8532869999999999</v>
      </c>
      <c r="G1009">
        <f>IFERROR(VLOOKUP(logos[[#This Row],[Cell_ID]],'registe maintenance'!A:D,4,FALSE)," non répertoriées")</f>
        <v>22.117896000000002</v>
      </c>
      <c r="H1009" t="str">
        <f>IFERROR(VLOOKUP(logos[[#This Row],[Cell_ID]],'registe maintenance'!A:E,5,FALSE)," non répertoriées")</f>
        <v>5G</v>
      </c>
      <c r="I1009" t="str">
        <f>IFERROR(VLOOKUP(logos[[#This Row],[Cell_ID]],'registe maintenance'!A:F,6,FALSE)," non répertoriées")</f>
        <v>Huawei</v>
      </c>
      <c r="J1009">
        <f>IFERROR(VLOOKUP(B1009,'logos transformer '!A:B,2,FALSE),"na")</f>
        <v>2</v>
      </c>
      <c r="K1009">
        <f>IFERROR(VLOOKUP(B1009,'logos transformer '!A:C,3,FALSE),"na")</f>
        <v>114</v>
      </c>
      <c r="L1009" s="1">
        <f>IFERROR(VLOOKUP(B1009,'logos transformer '!A:D,4,FALSE),"na")</f>
        <v>45230.868055555555</v>
      </c>
    </row>
    <row r="1010" spans="1:12" x14ac:dyDescent="0.3">
      <c r="A1010" s="1">
        <v>45214.172222222223</v>
      </c>
      <c r="B1010" t="s">
        <v>171</v>
      </c>
      <c r="C1010">
        <v>6</v>
      </c>
      <c r="D1010" t="s">
        <v>5</v>
      </c>
      <c r="E1010" t="str">
        <f>IFERROR(VLOOKUP(logos[[#This Row],[Cell_ID]],'registe maintenance'!A:B,2,FALSE)," non répertoriées")</f>
        <v>Bas-Uele</v>
      </c>
      <c r="F1010">
        <f>IFERROR(VLOOKUP(logos[[#This Row],[Cell_ID]],'registe maintenance'!A:C,3,FALSE)," non répertoriées")</f>
        <v>-3.6945459999999999</v>
      </c>
      <c r="G1010">
        <f>IFERROR(VLOOKUP(logos[[#This Row],[Cell_ID]],'registe maintenance'!A:D,4,FALSE)," non répertoriées")</f>
        <v>16.809108999999999</v>
      </c>
      <c r="H1010" t="str">
        <f>IFERROR(VLOOKUP(logos[[#This Row],[Cell_ID]],'registe maintenance'!A:E,5,FALSE)," non répertoriées")</f>
        <v>5G</v>
      </c>
      <c r="I1010" t="str">
        <f>IFERROR(VLOOKUP(logos[[#This Row],[Cell_ID]],'registe maintenance'!A:F,6,FALSE)," non répertoriées")</f>
        <v>ZTE</v>
      </c>
      <c r="J1010">
        <f>IFERROR(VLOOKUP(B1010,'logos transformer '!A:B,2,FALSE),"na")</f>
        <v>4</v>
      </c>
      <c r="K1010">
        <f>IFERROR(VLOOKUP(B1010,'logos transformer '!A:C,3,FALSE),"na")</f>
        <v>258</v>
      </c>
      <c r="L1010" s="1">
        <f>IFERROR(VLOOKUP(B1010,'logos transformer '!A:D,4,FALSE),"na")</f>
        <v>45228.614583333336</v>
      </c>
    </row>
    <row r="1011" spans="1:12" x14ac:dyDescent="0.3">
      <c r="A1011" s="1">
        <v>45213.822222222218</v>
      </c>
      <c r="B1011" t="s">
        <v>643</v>
      </c>
      <c r="C1011">
        <v>100</v>
      </c>
      <c r="D1011" t="s">
        <v>8</v>
      </c>
      <c r="E1011" t="str">
        <f>IFERROR(VLOOKUP(logos[[#This Row],[Cell_ID]],'registe maintenance'!A:B,2,FALSE)," non répertoriées")</f>
        <v xml:space="preserve"> non répertoriées</v>
      </c>
      <c r="F1011" t="str">
        <f>IFERROR(VLOOKUP(logos[[#This Row],[Cell_ID]],'registe maintenance'!A:C,3,FALSE)," non répertoriées")</f>
        <v xml:space="preserve"> non répertoriées</v>
      </c>
      <c r="G1011" t="str">
        <f>IFERROR(VLOOKUP(logos[[#This Row],[Cell_ID]],'registe maintenance'!A:D,4,FALSE)," non répertoriées")</f>
        <v xml:space="preserve"> non répertoriées</v>
      </c>
      <c r="H1011" t="str">
        <f>IFERROR(VLOOKUP(logos[[#This Row],[Cell_ID]],'registe maintenance'!A:E,5,FALSE)," non répertoriées")</f>
        <v xml:space="preserve"> non répertoriées</v>
      </c>
      <c r="I1011" t="str">
        <f>IFERROR(VLOOKUP(logos[[#This Row],[Cell_ID]],'registe maintenance'!A:F,6,FALSE)," non répertoriées")</f>
        <v xml:space="preserve"> non répertoriées</v>
      </c>
      <c r="J1011">
        <f>IFERROR(VLOOKUP(B1011,'logos transformer '!A:B,2,FALSE),"na")</f>
        <v>1</v>
      </c>
      <c r="K1011">
        <f>IFERROR(VLOOKUP(B1011,'logos transformer '!A:C,3,FALSE),"na")</f>
        <v>100</v>
      </c>
      <c r="L1011" s="1">
        <f>IFERROR(VLOOKUP(B1011,'logos transformer '!A:D,4,FALSE),"na")</f>
        <v>45213.822222222225</v>
      </c>
    </row>
    <row r="1012" spans="1:12" x14ac:dyDescent="0.3">
      <c r="A1012" s="1">
        <v>45228.980555555558</v>
      </c>
      <c r="B1012" t="s">
        <v>207</v>
      </c>
      <c r="C1012">
        <v>37</v>
      </c>
      <c r="D1012" t="s">
        <v>8</v>
      </c>
      <c r="E1012" t="str">
        <f>IFERROR(VLOOKUP(logos[[#This Row],[Cell_ID]],'registe maintenance'!A:B,2,FALSE)," non répertoriées")</f>
        <v xml:space="preserve"> non répertoriées</v>
      </c>
      <c r="F1012" t="str">
        <f>IFERROR(VLOOKUP(logos[[#This Row],[Cell_ID]],'registe maintenance'!A:C,3,FALSE)," non répertoriées")</f>
        <v xml:space="preserve"> non répertoriées</v>
      </c>
      <c r="G1012" t="str">
        <f>IFERROR(VLOOKUP(logos[[#This Row],[Cell_ID]],'registe maintenance'!A:D,4,FALSE)," non répertoriées")</f>
        <v xml:space="preserve"> non répertoriées</v>
      </c>
      <c r="H1012" t="str">
        <f>IFERROR(VLOOKUP(logos[[#This Row],[Cell_ID]],'registe maintenance'!A:E,5,FALSE)," non répertoriées")</f>
        <v xml:space="preserve"> non répertoriées</v>
      </c>
      <c r="I1012" t="str">
        <f>IFERROR(VLOOKUP(logos[[#This Row],[Cell_ID]],'registe maintenance'!A:F,6,FALSE)," non répertoriées")</f>
        <v xml:space="preserve"> non répertoriées</v>
      </c>
      <c r="J1012">
        <f>IFERROR(VLOOKUP(B1012,'logos transformer '!A:B,2,FALSE),"na")</f>
        <v>3</v>
      </c>
      <c r="K1012">
        <f>IFERROR(VLOOKUP(B1012,'logos transformer '!A:C,3,FALSE),"na")</f>
        <v>96</v>
      </c>
      <c r="L1012" s="1">
        <f>IFERROR(VLOOKUP(B1012,'logos transformer '!A:D,4,FALSE),"na")</f>
        <v>45230.911805555559</v>
      </c>
    </row>
    <row r="1013" spans="1:12" x14ac:dyDescent="0.3">
      <c r="A1013" s="1">
        <v>45209.940972222219</v>
      </c>
      <c r="B1013" t="s">
        <v>421</v>
      </c>
      <c r="C1013">
        <v>30</v>
      </c>
      <c r="D1013" t="s">
        <v>10</v>
      </c>
      <c r="E1013" t="str">
        <f>IFERROR(VLOOKUP(logos[[#This Row],[Cell_ID]],'registe maintenance'!A:B,2,FALSE)," non répertoriées")</f>
        <v xml:space="preserve"> non répertoriées</v>
      </c>
      <c r="F1013" t="str">
        <f>IFERROR(VLOOKUP(logos[[#This Row],[Cell_ID]],'registe maintenance'!A:C,3,FALSE)," non répertoriées")</f>
        <v xml:space="preserve"> non répertoriées</v>
      </c>
      <c r="G1013" t="str">
        <f>IFERROR(VLOOKUP(logos[[#This Row],[Cell_ID]],'registe maintenance'!A:D,4,FALSE)," non répertoriées")</f>
        <v xml:space="preserve"> non répertoriées</v>
      </c>
      <c r="H1013" t="str">
        <f>IFERROR(VLOOKUP(logos[[#This Row],[Cell_ID]],'registe maintenance'!A:E,5,FALSE)," non répertoriées")</f>
        <v xml:space="preserve"> non répertoriées</v>
      </c>
      <c r="I1013" t="str">
        <f>IFERROR(VLOOKUP(logos[[#This Row],[Cell_ID]],'registe maintenance'!A:F,6,FALSE)," non répertoriées")</f>
        <v xml:space="preserve"> non répertoriées</v>
      </c>
      <c r="J1013">
        <f>IFERROR(VLOOKUP(B1013,'logos transformer '!A:B,2,FALSE),"na")</f>
        <v>2</v>
      </c>
      <c r="K1013">
        <f>IFERROR(VLOOKUP(B1013,'logos transformer '!A:C,3,FALSE),"na")</f>
        <v>146</v>
      </c>
      <c r="L1013" s="1">
        <f>IFERROR(VLOOKUP(B1013,'logos transformer '!A:D,4,FALSE),"na")</f>
        <v>45209.940972222219</v>
      </c>
    </row>
    <row r="1014" spans="1:12" x14ac:dyDescent="0.3">
      <c r="A1014" s="1">
        <v>45227.447916666657</v>
      </c>
      <c r="B1014" t="s">
        <v>419</v>
      </c>
      <c r="C1014">
        <v>84</v>
      </c>
      <c r="D1014" t="s">
        <v>8</v>
      </c>
      <c r="E1014" t="str">
        <f>IFERROR(VLOOKUP(logos[[#This Row],[Cell_ID]],'registe maintenance'!A:B,2,FALSE)," non répertoriées")</f>
        <v>Sud-Kivu</v>
      </c>
      <c r="F1014">
        <f>IFERROR(VLOOKUP(logos[[#This Row],[Cell_ID]],'registe maintenance'!A:C,3,FALSE)," non répertoriées")</f>
        <v>2.4414509999999998</v>
      </c>
      <c r="G1014">
        <f>IFERROR(VLOOKUP(logos[[#This Row],[Cell_ID]],'registe maintenance'!A:D,4,FALSE)," non répertoriées")</f>
        <v>30.167489</v>
      </c>
      <c r="H1014" t="str">
        <f>IFERROR(VLOOKUP(logos[[#This Row],[Cell_ID]],'registe maintenance'!A:E,5,FALSE)," non répertoriées")</f>
        <v>5G</v>
      </c>
      <c r="I1014" t="str">
        <f>IFERROR(VLOOKUP(logos[[#This Row],[Cell_ID]],'registe maintenance'!A:F,6,FALSE)," non répertoriées")</f>
        <v>Nokia</v>
      </c>
      <c r="J1014">
        <f>IFERROR(VLOOKUP(B1014,'logos transformer '!A:B,2,FALSE),"na")</f>
        <v>2</v>
      </c>
      <c r="K1014">
        <f>IFERROR(VLOOKUP(B1014,'logos transformer '!A:C,3,FALSE),"na")</f>
        <v>203</v>
      </c>
      <c r="L1014" s="1">
        <f>IFERROR(VLOOKUP(B1014,'logos transformer '!A:D,4,FALSE),"na")</f>
        <v>45227.447916666664</v>
      </c>
    </row>
    <row r="1015" spans="1:12" x14ac:dyDescent="0.3">
      <c r="A1015" s="1">
        <v>45223.736111111109</v>
      </c>
      <c r="B1015" t="s">
        <v>216</v>
      </c>
      <c r="C1015">
        <v>116</v>
      </c>
      <c r="D1015" t="s">
        <v>8</v>
      </c>
      <c r="E1015" t="str">
        <f>IFERROR(VLOOKUP(logos[[#This Row],[Cell_ID]],'registe maintenance'!A:B,2,FALSE)," non répertoriées")</f>
        <v>Haut-Katanga</v>
      </c>
      <c r="F1015">
        <f>IFERROR(VLOOKUP(logos[[#This Row],[Cell_ID]],'registe maintenance'!A:C,3,FALSE)," non répertoriées")</f>
        <v>0.16841400000000001</v>
      </c>
      <c r="G1015">
        <f>IFERROR(VLOOKUP(logos[[#This Row],[Cell_ID]],'registe maintenance'!A:D,4,FALSE)," non répertoriées")</f>
        <v>30.029876999999999</v>
      </c>
      <c r="H1015" t="str">
        <f>IFERROR(VLOOKUP(logos[[#This Row],[Cell_ID]],'registe maintenance'!A:E,5,FALSE)," non répertoriées")</f>
        <v>5G</v>
      </c>
      <c r="I1015" t="str">
        <f>IFERROR(VLOOKUP(logos[[#This Row],[Cell_ID]],'registe maintenance'!A:F,6,FALSE)," non répertoriées")</f>
        <v>Huawei</v>
      </c>
      <c r="J1015">
        <f>IFERROR(VLOOKUP(B1015,'logos transformer '!A:B,2,FALSE),"na")</f>
        <v>2</v>
      </c>
      <c r="K1015">
        <f>IFERROR(VLOOKUP(B1015,'logos transformer '!A:C,3,FALSE),"na")</f>
        <v>194</v>
      </c>
      <c r="L1015" s="1">
        <f>IFERROR(VLOOKUP(B1015,'logos transformer '!A:D,4,FALSE),"na")</f>
        <v>45223.736111111109</v>
      </c>
    </row>
    <row r="1016" spans="1:12" x14ac:dyDescent="0.3">
      <c r="A1016" s="1">
        <v>45206.259027777778</v>
      </c>
      <c r="B1016" t="s">
        <v>644</v>
      </c>
      <c r="C1016">
        <v>104</v>
      </c>
      <c r="D1016" t="s">
        <v>5</v>
      </c>
      <c r="E1016" t="str">
        <f>IFERROR(VLOOKUP(logos[[#This Row],[Cell_ID]],'registe maintenance'!A:B,2,FALSE)," non répertoriées")</f>
        <v xml:space="preserve"> non répertoriées</v>
      </c>
      <c r="F1016" t="str">
        <f>IFERROR(VLOOKUP(logos[[#This Row],[Cell_ID]],'registe maintenance'!A:C,3,FALSE)," non répertoriées")</f>
        <v xml:space="preserve"> non répertoriées</v>
      </c>
      <c r="G1016" t="str">
        <f>IFERROR(VLOOKUP(logos[[#This Row],[Cell_ID]],'registe maintenance'!A:D,4,FALSE)," non répertoriées")</f>
        <v xml:space="preserve"> non répertoriées</v>
      </c>
      <c r="H1016" t="str">
        <f>IFERROR(VLOOKUP(logos[[#This Row],[Cell_ID]],'registe maintenance'!A:E,5,FALSE)," non répertoriées")</f>
        <v xml:space="preserve"> non répertoriées</v>
      </c>
      <c r="I1016" t="str">
        <f>IFERROR(VLOOKUP(logos[[#This Row],[Cell_ID]],'registe maintenance'!A:F,6,FALSE)," non répertoriées")</f>
        <v xml:space="preserve"> non répertoriées</v>
      </c>
      <c r="J1016">
        <f>IFERROR(VLOOKUP(B1016,'logos transformer '!A:B,2,FALSE),"na")</f>
        <v>1</v>
      </c>
      <c r="K1016">
        <f>IFERROR(VLOOKUP(B1016,'logos transformer '!A:C,3,FALSE),"na")</f>
        <v>104</v>
      </c>
      <c r="L1016" s="1">
        <f>IFERROR(VLOOKUP(B1016,'logos transformer '!A:D,4,FALSE),"na")</f>
        <v>45206.259027777778</v>
      </c>
    </row>
    <row r="1017" spans="1:12" x14ac:dyDescent="0.3">
      <c r="A1017" s="1">
        <v>45219.929166666669</v>
      </c>
      <c r="B1017" t="s">
        <v>645</v>
      </c>
      <c r="C1017">
        <v>115</v>
      </c>
      <c r="D1017" t="s">
        <v>5</v>
      </c>
      <c r="E1017" t="str">
        <f>IFERROR(VLOOKUP(logos[[#This Row],[Cell_ID]],'registe maintenance'!A:B,2,FALSE)," non répertoriées")</f>
        <v xml:space="preserve"> non répertoriées</v>
      </c>
      <c r="F1017" t="str">
        <f>IFERROR(VLOOKUP(logos[[#This Row],[Cell_ID]],'registe maintenance'!A:C,3,FALSE)," non répertoriées")</f>
        <v xml:space="preserve"> non répertoriées</v>
      </c>
      <c r="G1017" t="str">
        <f>IFERROR(VLOOKUP(logos[[#This Row],[Cell_ID]],'registe maintenance'!A:D,4,FALSE)," non répertoriées")</f>
        <v xml:space="preserve"> non répertoriées</v>
      </c>
      <c r="H1017" t="str">
        <f>IFERROR(VLOOKUP(logos[[#This Row],[Cell_ID]],'registe maintenance'!A:E,5,FALSE)," non répertoriées")</f>
        <v xml:space="preserve"> non répertoriées</v>
      </c>
      <c r="I1017" t="str">
        <f>IFERROR(VLOOKUP(logos[[#This Row],[Cell_ID]],'registe maintenance'!A:F,6,FALSE)," non répertoriées")</f>
        <v xml:space="preserve"> non répertoriées</v>
      </c>
      <c r="J1017">
        <f>IFERROR(VLOOKUP(B1017,'logos transformer '!A:B,2,FALSE),"na")</f>
        <v>2</v>
      </c>
      <c r="K1017">
        <f>IFERROR(VLOOKUP(B1017,'logos transformer '!A:C,3,FALSE),"na")</f>
        <v>230</v>
      </c>
      <c r="L1017" s="1">
        <f>IFERROR(VLOOKUP(B1017,'logos transformer '!A:D,4,FALSE),"na")</f>
        <v>45219.929166666669</v>
      </c>
    </row>
    <row r="1018" spans="1:12" x14ac:dyDescent="0.3">
      <c r="A1018" s="1">
        <v>45221.498611111107</v>
      </c>
      <c r="B1018" t="s">
        <v>646</v>
      </c>
      <c r="C1018">
        <v>116</v>
      </c>
      <c r="D1018" t="s">
        <v>8</v>
      </c>
      <c r="E1018" t="str">
        <f>IFERROR(VLOOKUP(logos[[#This Row],[Cell_ID]],'registe maintenance'!A:B,2,FALSE)," non répertoriées")</f>
        <v xml:space="preserve"> non répertoriées</v>
      </c>
      <c r="F1018" t="str">
        <f>IFERROR(VLOOKUP(logos[[#This Row],[Cell_ID]],'registe maintenance'!A:C,3,FALSE)," non répertoriées")</f>
        <v xml:space="preserve"> non répertoriées</v>
      </c>
      <c r="G1018" t="str">
        <f>IFERROR(VLOOKUP(logos[[#This Row],[Cell_ID]],'registe maintenance'!A:D,4,FALSE)," non répertoriées")</f>
        <v xml:space="preserve"> non répertoriées</v>
      </c>
      <c r="H1018" t="str">
        <f>IFERROR(VLOOKUP(logos[[#This Row],[Cell_ID]],'registe maintenance'!A:E,5,FALSE)," non répertoriées")</f>
        <v xml:space="preserve"> non répertoriées</v>
      </c>
      <c r="I1018" t="str">
        <f>IFERROR(VLOOKUP(logos[[#This Row],[Cell_ID]],'registe maintenance'!A:F,6,FALSE)," non répertoriées")</f>
        <v xml:space="preserve"> non répertoriées</v>
      </c>
      <c r="J1018">
        <f>IFERROR(VLOOKUP(B1018,'logos transformer '!A:B,2,FALSE),"na")</f>
        <v>1</v>
      </c>
      <c r="K1018">
        <f>IFERROR(VLOOKUP(B1018,'logos transformer '!A:C,3,FALSE),"na")</f>
        <v>116</v>
      </c>
      <c r="L1018" s="1">
        <f>IFERROR(VLOOKUP(B1018,'logos transformer '!A:D,4,FALSE),"na")</f>
        <v>45221.498611111114</v>
      </c>
    </row>
    <row r="1019" spans="1:12" x14ac:dyDescent="0.3">
      <c r="A1019" s="1">
        <v>45221.197916666657</v>
      </c>
      <c r="B1019" t="s">
        <v>261</v>
      </c>
      <c r="C1019">
        <v>61</v>
      </c>
      <c r="D1019" t="s">
        <v>10</v>
      </c>
      <c r="E1019" t="str">
        <f>IFERROR(VLOOKUP(logos[[#This Row],[Cell_ID]],'registe maintenance'!A:B,2,FALSE)," non répertoriées")</f>
        <v>Kwango</v>
      </c>
      <c r="F1019">
        <f>IFERROR(VLOOKUP(logos[[#This Row],[Cell_ID]],'registe maintenance'!A:C,3,FALSE)," non répertoriées")</f>
        <v>-7.5129409999999996</v>
      </c>
      <c r="G1019">
        <f>IFERROR(VLOOKUP(logos[[#This Row],[Cell_ID]],'registe maintenance'!A:D,4,FALSE)," non répertoriées")</f>
        <v>18.701522000000001</v>
      </c>
      <c r="H1019" t="str">
        <f>IFERROR(VLOOKUP(logos[[#This Row],[Cell_ID]],'registe maintenance'!A:E,5,FALSE)," non répertoriées")</f>
        <v>4G</v>
      </c>
      <c r="I1019" t="str">
        <f>IFERROR(VLOOKUP(logos[[#This Row],[Cell_ID]],'registe maintenance'!A:F,6,FALSE)," non répertoriées")</f>
        <v>Nokia</v>
      </c>
      <c r="J1019">
        <f>IFERROR(VLOOKUP(B1019,'logos transformer '!A:B,2,FALSE),"na")</f>
        <v>2</v>
      </c>
      <c r="K1019">
        <f>IFERROR(VLOOKUP(B1019,'logos transformer '!A:C,3,FALSE),"na")</f>
        <v>150</v>
      </c>
      <c r="L1019" s="1">
        <f>IFERROR(VLOOKUP(B1019,'logos transformer '!A:D,4,FALSE),"na")</f>
        <v>45221.197916666664</v>
      </c>
    </row>
    <row r="1020" spans="1:12" x14ac:dyDescent="0.3">
      <c r="A1020" s="1">
        <v>45220.230555555558</v>
      </c>
      <c r="B1020" t="s">
        <v>60</v>
      </c>
      <c r="C1020">
        <v>111</v>
      </c>
      <c r="D1020" t="s">
        <v>10</v>
      </c>
      <c r="E1020" t="str">
        <f>IFERROR(VLOOKUP(logos[[#This Row],[Cell_ID]],'registe maintenance'!A:B,2,FALSE)," non répertoriées")</f>
        <v xml:space="preserve"> non répertoriées</v>
      </c>
      <c r="F1020" t="str">
        <f>IFERROR(VLOOKUP(logos[[#This Row],[Cell_ID]],'registe maintenance'!A:C,3,FALSE)," non répertoriées")</f>
        <v xml:space="preserve"> non répertoriées</v>
      </c>
      <c r="G1020" t="str">
        <f>IFERROR(VLOOKUP(logos[[#This Row],[Cell_ID]],'registe maintenance'!A:D,4,FALSE)," non répertoriées")</f>
        <v xml:space="preserve"> non répertoriées</v>
      </c>
      <c r="H1020" t="str">
        <f>IFERROR(VLOOKUP(logos[[#This Row],[Cell_ID]],'registe maintenance'!A:E,5,FALSE)," non répertoriées")</f>
        <v xml:space="preserve"> non répertoriées</v>
      </c>
      <c r="I1020" t="str">
        <f>IFERROR(VLOOKUP(logos[[#This Row],[Cell_ID]],'registe maintenance'!A:F,6,FALSE)," non répertoriées")</f>
        <v xml:space="preserve"> non répertoriées</v>
      </c>
      <c r="J1020">
        <f>IFERROR(VLOOKUP(B1020,'logos transformer '!A:B,2,FALSE),"na")</f>
        <v>3</v>
      </c>
      <c r="K1020">
        <f>IFERROR(VLOOKUP(B1020,'logos transformer '!A:C,3,FALSE),"na")</f>
        <v>171</v>
      </c>
      <c r="L1020" s="1">
        <f>IFERROR(VLOOKUP(B1020,'logos transformer '!A:D,4,FALSE),"na")</f>
        <v>45227.135416666664</v>
      </c>
    </row>
    <row r="1021" spans="1:12" x14ac:dyDescent="0.3">
      <c r="A1021" s="1">
        <v>45217.944444444453</v>
      </c>
      <c r="B1021" t="s">
        <v>647</v>
      </c>
      <c r="C1021">
        <v>33</v>
      </c>
      <c r="D1021" t="s">
        <v>5</v>
      </c>
      <c r="E1021" t="str">
        <f>IFERROR(VLOOKUP(logos[[#This Row],[Cell_ID]],'registe maintenance'!A:B,2,FALSE)," non répertoriées")</f>
        <v xml:space="preserve"> non répertoriées</v>
      </c>
      <c r="F1021" t="str">
        <f>IFERROR(VLOOKUP(logos[[#This Row],[Cell_ID]],'registe maintenance'!A:C,3,FALSE)," non répertoriées")</f>
        <v xml:space="preserve"> non répertoriées</v>
      </c>
      <c r="G1021" t="str">
        <f>IFERROR(VLOOKUP(logos[[#This Row],[Cell_ID]],'registe maintenance'!A:D,4,FALSE)," non répertoriées")</f>
        <v xml:space="preserve"> non répertoriées</v>
      </c>
      <c r="H1021" t="str">
        <f>IFERROR(VLOOKUP(logos[[#This Row],[Cell_ID]],'registe maintenance'!A:E,5,FALSE)," non répertoriées")</f>
        <v xml:space="preserve"> non répertoriées</v>
      </c>
      <c r="I1021" t="str">
        <f>IFERROR(VLOOKUP(logos[[#This Row],[Cell_ID]],'registe maintenance'!A:F,6,FALSE)," non répertoriées")</f>
        <v xml:space="preserve"> non répertoriées</v>
      </c>
      <c r="J1021">
        <f>IFERROR(VLOOKUP(B1021,'logos transformer '!A:B,2,FALSE),"na")</f>
        <v>1</v>
      </c>
      <c r="K1021">
        <f>IFERROR(VLOOKUP(B1021,'logos transformer '!A:C,3,FALSE),"na")</f>
        <v>33</v>
      </c>
      <c r="L1021" s="1">
        <f>IFERROR(VLOOKUP(B1021,'logos transformer '!A:D,4,FALSE),"na")</f>
        <v>45217.944444444445</v>
      </c>
    </row>
    <row r="1022" spans="1:12" x14ac:dyDescent="0.3">
      <c r="A1022" s="1">
        <v>45210.921527777777</v>
      </c>
      <c r="B1022" t="s">
        <v>460</v>
      </c>
      <c r="C1022">
        <v>86</v>
      </c>
      <c r="D1022" t="s">
        <v>8</v>
      </c>
      <c r="E1022" t="str">
        <f>IFERROR(VLOOKUP(logos[[#This Row],[Cell_ID]],'registe maintenance'!A:B,2,FALSE)," non répertoriées")</f>
        <v xml:space="preserve"> non répertoriées</v>
      </c>
      <c r="F1022" t="str">
        <f>IFERROR(VLOOKUP(logos[[#This Row],[Cell_ID]],'registe maintenance'!A:C,3,FALSE)," non répertoriées")</f>
        <v xml:space="preserve"> non répertoriées</v>
      </c>
      <c r="G1022" t="str">
        <f>IFERROR(VLOOKUP(logos[[#This Row],[Cell_ID]],'registe maintenance'!A:D,4,FALSE)," non répertoriées")</f>
        <v xml:space="preserve"> non répertoriées</v>
      </c>
      <c r="H1022" t="str">
        <f>IFERROR(VLOOKUP(logos[[#This Row],[Cell_ID]],'registe maintenance'!A:E,5,FALSE)," non répertoriées")</f>
        <v xml:space="preserve"> non répertoriées</v>
      </c>
      <c r="I1022" t="str">
        <f>IFERROR(VLOOKUP(logos[[#This Row],[Cell_ID]],'registe maintenance'!A:F,6,FALSE)," non répertoriées")</f>
        <v xml:space="preserve"> non répertoriées</v>
      </c>
      <c r="J1022">
        <f>IFERROR(VLOOKUP(B1022,'logos transformer '!A:B,2,FALSE),"na")</f>
        <v>3</v>
      </c>
      <c r="K1022">
        <f>IFERROR(VLOOKUP(B1022,'logos transformer '!A:C,3,FALSE),"na")</f>
        <v>214</v>
      </c>
      <c r="L1022" s="1">
        <f>IFERROR(VLOOKUP(B1022,'logos transformer '!A:D,4,FALSE),"na")</f>
        <v>45220.368055555555</v>
      </c>
    </row>
    <row r="1023" spans="1:12" x14ac:dyDescent="0.3">
      <c r="A1023" s="1">
        <v>45224.482638888891</v>
      </c>
      <c r="B1023" t="s">
        <v>22</v>
      </c>
      <c r="C1023">
        <v>95</v>
      </c>
      <c r="D1023" t="s">
        <v>8</v>
      </c>
      <c r="E1023" t="str">
        <f>IFERROR(VLOOKUP(logos[[#This Row],[Cell_ID]],'registe maintenance'!A:B,2,FALSE)," non répertoriées")</f>
        <v>Lomami</v>
      </c>
      <c r="F1023">
        <f>IFERROR(VLOOKUP(logos[[#This Row],[Cell_ID]],'registe maintenance'!A:C,3,FALSE)," non répertoriées")</f>
        <v>-2.2371569999999998</v>
      </c>
      <c r="G1023">
        <f>IFERROR(VLOOKUP(logos[[#This Row],[Cell_ID]],'registe maintenance'!A:D,4,FALSE)," non répertoriées")</f>
        <v>25.926188</v>
      </c>
      <c r="H1023" t="str">
        <f>IFERROR(VLOOKUP(logos[[#This Row],[Cell_ID]],'registe maintenance'!A:E,5,FALSE)," non répertoriées")</f>
        <v>3G</v>
      </c>
      <c r="I1023" t="str">
        <f>IFERROR(VLOOKUP(logos[[#This Row],[Cell_ID]],'registe maintenance'!A:F,6,FALSE)," non répertoriées")</f>
        <v>Nokia</v>
      </c>
      <c r="J1023">
        <f>IFERROR(VLOOKUP(B1023,'logos transformer '!A:B,2,FALSE),"na")</f>
        <v>3</v>
      </c>
      <c r="K1023">
        <f>IFERROR(VLOOKUP(B1023,'logos transformer '!A:C,3,FALSE),"na")</f>
        <v>171</v>
      </c>
      <c r="L1023" s="1">
        <f>IFERROR(VLOOKUP(B1023,'logos transformer '!A:D,4,FALSE),"na")</f>
        <v>45224.482638888891</v>
      </c>
    </row>
    <row r="1024" spans="1:12" x14ac:dyDescent="0.3">
      <c r="A1024" s="1">
        <v>45215.775000000001</v>
      </c>
      <c r="B1024" t="s">
        <v>358</v>
      </c>
      <c r="C1024">
        <v>95</v>
      </c>
      <c r="D1024" t="s">
        <v>8</v>
      </c>
      <c r="E1024" t="str">
        <f>IFERROR(VLOOKUP(logos[[#This Row],[Cell_ID]],'registe maintenance'!A:B,2,FALSE)," non répertoriées")</f>
        <v>Tshopo</v>
      </c>
      <c r="F1024">
        <f>IFERROR(VLOOKUP(logos[[#This Row],[Cell_ID]],'registe maintenance'!A:C,3,FALSE)," non répertoriées")</f>
        <v>-0.85624699999999998</v>
      </c>
      <c r="G1024">
        <f>IFERROR(VLOOKUP(logos[[#This Row],[Cell_ID]],'registe maintenance'!A:D,4,FALSE)," non répertoriées")</f>
        <v>28.624870000000001</v>
      </c>
      <c r="H1024" t="str">
        <f>IFERROR(VLOOKUP(logos[[#This Row],[Cell_ID]],'registe maintenance'!A:E,5,FALSE)," non répertoriées")</f>
        <v>3G</v>
      </c>
      <c r="I1024" t="str">
        <f>IFERROR(VLOOKUP(logos[[#This Row],[Cell_ID]],'registe maintenance'!A:F,6,FALSE)," non répertoriées")</f>
        <v>Ericsson</v>
      </c>
      <c r="J1024">
        <f>IFERROR(VLOOKUP(B1024,'logos transformer '!A:B,2,FALSE),"na")</f>
        <v>2</v>
      </c>
      <c r="K1024">
        <f>IFERROR(VLOOKUP(B1024,'logos transformer '!A:C,3,FALSE),"na")</f>
        <v>187</v>
      </c>
      <c r="L1024" s="1">
        <f>IFERROR(VLOOKUP(B1024,'logos transformer '!A:D,4,FALSE),"na")</f>
        <v>45215.775000000001</v>
      </c>
    </row>
    <row r="1025" spans="1:12" x14ac:dyDescent="0.3">
      <c r="A1025" s="1">
        <v>45230.90625</v>
      </c>
      <c r="B1025" t="s">
        <v>589</v>
      </c>
      <c r="C1025">
        <v>87</v>
      </c>
      <c r="D1025" t="s">
        <v>5</v>
      </c>
      <c r="E1025" t="str">
        <f>IFERROR(VLOOKUP(logos[[#This Row],[Cell_ID]],'registe maintenance'!A:B,2,FALSE)," non répertoriées")</f>
        <v xml:space="preserve"> non répertoriées</v>
      </c>
      <c r="F1025" t="str">
        <f>IFERROR(VLOOKUP(logos[[#This Row],[Cell_ID]],'registe maintenance'!A:C,3,FALSE)," non répertoriées")</f>
        <v xml:space="preserve"> non répertoriées</v>
      </c>
      <c r="G1025" t="str">
        <f>IFERROR(VLOOKUP(logos[[#This Row],[Cell_ID]],'registe maintenance'!A:D,4,FALSE)," non répertoriées")</f>
        <v xml:space="preserve"> non répertoriées</v>
      </c>
      <c r="H1025" t="str">
        <f>IFERROR(VLOOKUP(logos[[#This Row],[Cell_ID]],'registe maintenance'!A:E,5,FALSE)," non répertoriées")</f>
        <v xml:space="preserve"> non répertoriées</v>
      </c>
      <c r="I1025" t="str">
        <f>IFERROR(VLOOKUP(logos[[#This Row],[Cell_ID]],'registe maintenance'!A:F,6,FALSE)," non répertoriées")</f>
        <v xml:space="preserve"> non répertoriées</v>
      </c>
      <c r="J1025">
        <f>IFERROR(VLOOKUP(B1025,'logos transformer '!A:B,2,FALSE),"na")</f>
        <v>2</v>
      </c>
      <c r="K1025">
        <f>IFERROR(VLOOKUP(B1025,'logos transformer '!A:C,3,FALSE),"na")</f>
        <v>94</v>
      </c>
      <c r="L1025" s="1">
        <f>IFERROR(VLOOKUP(B1025,'logos transformer '!A:D,4,FALSE),"na")</f>
        <v>45230.90625</v>
      </c>
    </row>
    <row r="1026" spans="1:12" x14ac:dyDescent="0.3">
      <c r="A1026" s="1">
        <v>45213.907638888893</v>
      </c>
      <c r="B1026" t="s">
        <v>610</v>
      </c>
      <c r="C1026">
        <v>52</v>
      </c>
      <c r="D1026" t="s">
        <v>5</v>
      </c>
      <c r="E1026" t="str">
        <f>IFERROR(VLOOKUP(logos[[#This Row],[Cell_ID]],'registe maintenance'!A:B,2,FALSE)," non répertoriées")</f>
        <v>Nord-Kivu</v>
      </c>
      <c r="F1026">
        <f>IFERROR(VLOOKUP(logos[[#This Row],[Cell_ID]],'registe maintenance'!A:C,3,FALSE)," non répertoriées")</f>
        <v>-10.298385</v>
      </c>
      <c r="G1026">
        <f>IFERROR(VLOOKUP(logos[[#This Row],[Cell_ID]],'registe maintenance'!A:D,4,FALSE)," non répertoriées")</f>
        <v>29.698117</v>
      </c>
      <c r="H1026" t="str">
        <f>IFERROR(VLOOKUP(logos[[#This Row],[Cell_ID]],'registe maintenance'!A:E,5,FALSE)," non répertoriées")</f>
        <v>5G</v>
      </c>
      <c r="I1026" t="str">
        <f>IFERROR(VLOOKUP(logos[[#This Row],[Cell_ID]],'registe maintenance'!A:F,6,FALSE)," non répertoriées")</f>
        <v>Nokia</v>
      </c>
      <c r="J1026">
        <f>IFERROR(VLOOKUP(B1026,'logos transformer '!A:B,2,FALSE),"na")</f>
        <v>2</v>
      </c>
      <c r="K1026">
        <f>IFERROR(VLOOKUP(B1026,'logos transformer '!A:C,3,FALSE),"na")</f>
        <v>72</v>
      </c>
      <c r="L1026" s="1">
        <f>IFERROR(VLOOKUP(B1026,'logos transformer '!A:D,4,FALSE),"na")</f>
        <v>45224.229861111111</v>
      </c>
    </row>
    <row r="1027" spans="1:12" x14ac:dyDescent="0.3">
      <c r="A1027" s="1">
        <v>45228.720833333333</v>
      </c>
      <c r="B1027" t="s">
        <v>648</v>
      </c>
      <c r="C1027">
        <v>101</v>
      </c>
      <c r="D1027" t="s">
        <v>8</v>
      </c>
      <c r="E1027" t="str">
        <f>IFERROR(VLOOKUP(logos[[#This Row],[Cell_ID]],'registe maintenance'!A:B,2,FALSE)," non répertoriées")</f>
        <v xml:space="preserve"> non répertoriées</v>
      </c>
      <c r="F1027" t="str">
        <f>IFERROR(VLOOKUP(logos[[#This Row],[Cell_ID]],'registe maintenance'!A:C,3,FALSE)," non répertoriées")</f>
        <v xml:space="preserve"> non répertoriées</v>
      </c>
      <c r="G1027" t="str">
        <f>IFERROR(VLOOKUP(logos[[#This Row],[Cell_ID]],'registe maintenance'!A:D,4,FALSE)," non répertoriées")</f>
        <v xml:space="preserve"> non répertoriées</v>
      </c>
      <c r="H1027" t="str">
        <f>IFERROR(VLOOKUP(logos[[#This Row],[Cell_ID]],'registe maintenance'!A:E,5,FALSE)," non répertoriées")</f>
        <v xml:space="preserve"> non répertoriées</v>
      </c>
      <c r="I1027" t="str">
        <f>IFERROR(VLOOKUP(logos[[#This Row],[Cell_ID]],'registe maintenance'!A:F,6,FALSE)," non répertoriées")</f>
        <v xml:space="preserve"> non répertoriées</v>
      </c>
      <c r="J1027">
        <f>IFERROR(VLOOKUP(B1027,'logos transformer '!A:B,2,FALSE),"na")</f>
        <v>2</v>
      </c>
      <c r="K1027">
        <f>IFERROR(VLOOKUP(B1027,'logos transformer '!A:C,3,FALSE),"na")</f>
        <v>166</v>
      </c>
      <c r="L1027" s="1">
        <f>IFERROR(VLOOKUP(B1027,'logos transformer '!A:D,4,FALSE),"na")</f>
        <v>45230.577777777777</v>
      </c>
    </row>
    <row r="1028" spans="1:12" x14ac:dyDescent="0.3">
      <c r="A1028" s="1">
        <v>45228.57708333333</v>
      </c>
      <c r="B1028" t="s">
        <v>151</v>
      </c>
      <c r="C1028">
        <v>80</v>
      </c>
      <c r="D1028" t="s">
        <v>10</v>
      </c>
      <c r="E1028" t="str">
        <f>IFERROR(VLOOKUP(logos[[#This Row],[Cell_ID]],'registe maintenance'!A:B,2,FALSE)," non répertoriées")</f>
        <v>Haut-Uele</v>
      </c>
      <c r="F1028">
        <f>IFERROR(VLOOKUP(logos[[#This Row],[Cell_ID]],'registe maintenance'!A:C,3,FALSE)," non répertoriées")</f>
        <v>-1.8045979999999999</v>
      </c>
      <c r="G1028">
        <f>IFERROR(VLOOKUP(logos[[#This Row],[Cell_ID]],'registe maintenance'!A:D,4,FALSE)," non répertoriées")</f>
        <v>12.511096999999999</v>
      </c>
      <c r="H1028" t="str">
        <f>IFERROR(VLOOKUP(logos[[#This Row],[Cell_ID]],'registe maintenance'!A:E,5,FALSE)," non répertoriées")</f>
        <v>3G</v>
      </c>
      <c r="I1028" t="str">
        <f>IFERROR(VLOOKUP(logos[[#This Row],[Cell_ID]],'registe maintenance'!A:F,6,FALSE)," non répertoriées")</f>
        <v>Huawei</v>
      </c>
      <c r="J1028">
        <f>IFERROR(VLOOKUP(B1028,'logos transformer '!A:B,2,FALSE),"na")</f>
        <v>4</v>
      </c>
      <c r="K1028">
        <f>IFERROR(VLOOKUP(B1028,'logos transformer '!A:C,3,FALSE),"na")</f>
        <v>211</v>
      </c>
      <c r="L1028" s="1">
        <f>IFERROR(VLOOKUP(B1028,'logos transformer '!A:D,4,FALSE),"na")</f>
        <v>45228.57708333333</v>
      </c>
    </row>
    <row r="1029" spans="1:12" x14ac:dyDescent="0.3">
      <c r="A1029" s="1">
        <v>45200.67083333333</v>
      </c>
      <c r="B1029" t="s">
        <v>649</v>
      </c>
      <c r="C1029">
        <v>74</v>
      </c>
      <c r="D1029" t="s">
        <v>10</v>
      </c>
      <c r="E1029" t="str">
        <f>IFERROR(VLOOKUP(logos[[#This Row],[Cell_ID]],'registe maintenance'!A:B,2,FALSE)," non répertoriées")</f>
        <v>Ituri</v>
      </c>
      <c r="F1029">
        <f>IFERROR(VLOOKUP(logos[[#This Row],[Cell_ID]],'registe maintenance'!A:C,3,FALSE)," non répertoriées")</f>
        <v>-4.6426759999999998</v>
      </c>
      <c r="G1029">
        <f>IFERROR(VLOOKUP(logos[[#This Row],[Cell_ID]],'registe maintenance'!A:D,4,FALSE)," non répertoriées")</f>
        <v>22.124254000000001</v>
      </c>
      <c r="H1029" t="str">
        <f>IFERROR(VLOOKUP(logos[[#This Row],[Cell_ID]],'registe maintenance'!A:E,5,FALSE)," non répertoriées")</f>
        <v>4G</v>
      </c>
      <c r="I1029" t="str">
        <f>IFERROR(VLOOKUP(logos[[#This Row],[Cell_ID]],'registe maintenance'!A:F,6,FALSE)," non répertoriées")</f>
        <v>ZTE</v>
      </c>
      <c r="J1029">
        <f>IFERROR(VLOOKUP(B1029,'logos transformer '!A:B,2,FALSE),"na")</f>
        <v>1</v>
      </c>
      <c r="K1029">
        <f>IFERROR(VLOOKUP(B1029,'logos transformer '!A:C,3,FALSE),"na")</f>
        <v>74</v>
      </c>
      <c r="L1029" s="1">
        <f>IFERROR(VLOOKUP(B1029,'logos transformer '!A:D,4,FALSE),"na")</f>
        <v>45200.67083333333</v>
      </c>
    </row>
    <row r="1030" spans="1:12" x14ac:dyDescent="0.3">
      <c r="A1030" s="1">
        <v>45200.506249999999</v>
      </c>
      <c r="B1030" t="s">
        <v>487</v>
      </c>
      <c r="C1030">
        <v>99</v>
      </c>
      <c r="D1030" t="s">
        <v>5</v>
      </c>
      <c r="E1030" t="str">
        <f>IFERROR(VLOOKUP(logos[[#This Row],[Cell_ID]],'registe maintenance'!A:B,2,FALSE)," non répertoriées")</f>
        <v>Haut-Katanga</v>
      </c>
      <c r="F1030">
        <f>IFERROR(VLOOKUP(logos[[#This Row],[Cell_ID]],'registe maintenance'!A:C,3,FALSE)," non répertoriées")</f>
        <v>-10.945031</v>
      </c>
      <c r="G1030">
        <f>IFERROR(VLOOKUP(logos[[#This Row],[Cell_ID]],'registe maintenance'!A:D,4,FALSE)," non répertoriées")</f>
        <v>27.922274000000002</v>
      </c>
      <c r="H1030" t="str">
        <f>IFERROR(VLOOKUP(logos[[#This Row],[Cell_ID]],'registe maintenance'!A:E,5,FALSE)," non répertoriées")</f>
        <v>4G</v>
      </c>
      <c r="I1030" t="str">
        <f>IFERROR(VLOOKUP(logos[[#This Row],[Cell_ID]],'registe maintenance'!A:F,6,FALSE)," non répertoriées")</f>
        <v>Ericsson</v>
      </c>
      <c r="J1030">
        <f>IFERROR(VLOOKUP(B1030,'logos transformer '!A:B,2,FALSE),"na")</f>
        <v>3</v>
      </c>
      <c r="K1030">
        <f>IFERROR(VLOOKUP(B1030,'logos transformer '!A:C,3,FALSE),"na")</f>
        <v>298</v>
      </c>
      <c r="L1030" s="1">
        <f>IFERROR(VLOOKUP(B1030,'logos transformer '!A:D,4,FALSE),"na")</f>
        <v>45230.12777777778</v>
      </c>
    </row>
    <row r="1031" spans="1:12" x14ac:dyDescent="0.3">
      <c r="A1031" s="1">
        <v>45201.877083333333</v>
      </c>
      <c r="B1031" t="s">
        <v>170</v>
      </c>
      <c r="C1031">
        <v>82</v>
      </c>
      <c r="D1031" t="s">
        <v>10</v>
      </c>
      <c r="E1031" t="str">
        <f>IFERROR(VLOOKUP(logos[[#This Row],[Cell_ID]],'registe maintenance'!A:B,2,FALSE)," non répertoriées")</f>
        <v>Nord-Kivu</v>
      </c>
      <c r="F1031">
        <f>IFERROR(VLOOKUP(logos[[#This Row],[Cell_ID]],'registe maintenance'!A:C,3,FALSE)," non répertoriées")</f>
        <v>-12.336202</v>
      </c>
      <c r="G1031">
        <f>IFERROR(VLOOKUP(logos[[#This Row],[Cell_ID]],'registe maintenance'!A:D,4,FALSE)," non répertoriées")</f>
        <v>13.693683999999999</v>
      </c>
      <c r="H1031" t="str">
        <f>IFERROR(VLOOKUP(logos[[#This Row],[Cell_ID]],'registe maintenance'!A:E,5,FALSE)," non répertoriées")</f>
        <v>5G</v>
      </c>
      <c r="I1031" t="str">
        <f>IFERROR(VLOOKUP(logos[[#This Row],[Cell_ID]],'registe maintenance'!A:F,6,FALSE)," non répertoriées")</f>
        <v>Huawei</v>
      </c>
      <c r="J1031">
        <f>IFERROR(VLOOKUP(B1031,'logos transformer '!A:B,2,FALSE),"na")</f>
        <v>4</v>
      </c>
      <c r="K1031">
        <f>IFERROR(VLOOKUP(B1031,'logos transformer '!A:C,3,FALSE),"na")</f>
        <v>190</v>
      </c>
      <c r="L1031" s="1">
        <f>IFERROR(VLOOKUP(B1031,'logos transformer '!A:D,4,FALSE),"na")</f>
        <v>45230.486111111109</v>
      </c>
    </row>
    <row r="1032" spans="1:12" x14ac:dyDescent="0.3">
      <c r="A1032" s="1">
        <v>45206.366666666669</v>
      </c>
      <c r="B1032" t="s">
        <v>650</v>
      </c>
      <c r="C1032">
        <v>30</v>
      </c>
      <c r="D1032" t="s">
        <v>10</v>
      </c>
      <c r="E1032" t="str">
        <f>IFERROR(VLOOKUP(logos[[#This Row],[Cell_ID]],'registe maintenance'!A:B,2,FALSE)," non répertoriées")</f>
        <v xml:space="preserve"> non répertoriées</v>
      </c>
      <c r="F1032" t="str">
        <f>IFERROR(VLOOKUP(logos[[#This Row],[Cell_ID]],'registe maintenance'!A:C,3,FALSE)," non répertoriées")</f>
        <v xml:space="preserve"> non répertoriées</v>
      </c>
      <c r="G1032" t="str">
        <f>IFERROR(VLOOKUP(logos[[#This Row],[Cell_ID]],'registe maintenance'!A:D,4,FALSE)," non répertoriées")</f>
        <v xml:space="preserve"> non répertoriées</v>
      </c>
      <c r="H1032" t="str">
        <f>IFERROR(VLOOKUP(logos[[#This Row],[Cell_ID]],'registe maintenance'!A:E,5,FALSE)," non répertoriées")</f>
        <v xml:space="preserve"> non répertoriées</v>
      </c>
      <c r="I1032" t="str">
        <f>IFERROR(VLOOKUP(logos[[#This Row],[Cell_ID]],'registe maintenance'!A:F,6,FALSE)," non répertoriées")</f>
        <v xml:space="preserve"> non répertoriées</v>
      </c>
      <c r="J1032">
        <f>IFERROR(VLOOKUP(B1032,'logos transformer '!A:B,2,FALSE),"na")</f>
        <v>1</v>
      </c>
      <c r="K1032">
        <f>IFERROR(VLOOKUP(B1032,'logos transformer '!A:C,3,FALSE),"na")</f>
        <v>30</v>
      </c>
      <c r="L1032" s="1">
        <f>IFERROR(VLOOKUP(B1032,'logos transformer '!A:D,4,FALSE),"na")</f>
        <v>45206.366666666669</v>
      </c>
    </row>
    <row r="1033" spans="1:12" x14ac:dyDescent="0.3">
      <c r="A1033" s="1">
        <v>45225.220833333333</v>
      </c>
      <c r="B1033" t="s">
        <v>651</v>
      </c>
      <c r="C1033">
        <v>104</v>
      </c>
      <c r="D1033" t="s">
        <v>8</v>
      </c>
      <c r="E1033" t="str">
        <f>IFERROR(VLOOKUP(logos[[#This Row],[Cell_ID]],'registe maintenance'!A:B,2,FALSE)," non répertoriées")</f>
        <v>Kasai-Central</v>
      </c>
      <c r="F1033">
        <f>IFERROR(VLOOKUP(logos[[#This Row],[Cell_ID]],'registe maintenance'!A:C,3,FALSE)," non répertoriées")</f>
        <v>-8.0800809999999998</v>
      </c>
      <c r="G1033">
        <f>IFERROR(VLOOKUP(logos[[#This Row],[Cell_ID]],'registe maintenance'!A:D,4,FALSE)," non répertoriées")</f>
        <v>30.147970999999998</v>
      </c>
      <c r="H1033" t="str">
        <f>IFERROR(VLOOKUP(logos[[#This Row],[Cell_ID]],'registe maintenance'!A:E,5,FALSE)," non répertoriées")</f>
        <v>5G</v>
      </c>
      <c r="I1033" t="str">
        <f>IFERROR(VLOOKUP(logos[[#This Row],[Cell_ID]],'registe maintenance'!A:F,6,FALSE)," non répertoriées")</f>
        <v>Huawei</v>
      </c>
      <c r="J1033">
        <f>IFERROR(VLOOKUP(B1033,'logos transformer '!A:B,2,FALSE),"na")</f>
        <v>2</v>
      </c>
      <c r="K1033">
        <f>IFERROR(VLOOKUP(B1033,'logos transformer '!A:C,3,FALSE),"na")</f>
        <v>148</v>
      </c>
      <c r="L1033" s="1">
        <f>IFERROR(VLOOKUP(B1033,'logos transformer '!A:D,4,FALSE),"na")</f>
        <v>45225.220833333333</v>
      </c>
    </row>
    <row r="1034" spans="1:12" x14ac:dyDescent="0.3">
      <c r="A1034" s="1">
        <v>45221.339583333327</v>
      </c>
      <c r="B1034" t="s">
        <v>509</v>
      </c>
      <c r="C1034">
        <v>97</v>
      </c>
      <c r="D1034" t="s">
        <v>8</v>
      </c>
      <c r="E1034" t="str">
        <f>IFERROR(VLOOKUP(logos[[#This Row],[Cell_ID]],'registe maintenance'!A:B,2,FALSE)," non répertoriées")</f>
        <v xml:space="preserve"> non répertoriées</v>
      </c>
      <c r="F1034" t="str">
        <f>IFERROR(VLOOKUP(logos[[#This Row],[Cell_ID]],'registe maintenance'!A:C,3,FALSE)," non répertoriées")</f>
        <v xml:space="preserve"> non répertoriées</v>
      </c>
      <c r="G1034" t="str">
        <f>IFERROR(VLOOKUP(logos[[#This Row],[Cell_ID]],'registe maintenance'!A:D,4,FALSE)," non répertoriées")</f>
        <v xml:space="preserve"> non répertoriées</v>
      </c>
      <c r="H1034" t="str">
        <f>IFERROR(VLOOKUP(logos[[#This Row],[Cell_ID]],'registe maintenance'!A:E,5,FALSE)," non répertoriées")</f>
        <v xml:space="preserve"> non répertoriées</v>
      </c>
      <c r="I1034" t="str">
        <f>IFERROR(VLOOKUP(logos[[#This Row],[Cell_ID]],'registe maintenance'!A:F,6,FALSE)," non répertoriées")</f>
        <v xml:space="preserve"> non répertoriées</v>
      </c>
      <c r="J1034">
        <f>IFERROR(VLOOKUP(B1034,'logos transformer '!A:B,2,FALSE),"na")</f>
        <v>2</v>
      </c>
      <c r="K1034">
        <f>IFERROR(VLOOKUP(B1034,'logos transformer '!A:C,3,FALSE),"na")</f>
        <v>113</v>
      </c>
      <c r="L1034" s="1">
        <f>IFERROR(VLOOKUP(B1034,'logos transformer '!A:D,4,FALSE),"na")</f>
        <v>45221.339583333334</v>
      </c>
    </row>
    <row r="1035" spans="1:12" x14ac:dyDescent="0.3">
      <c r="A1035" s="1">
        <v>45226.072222222218</v>
      </c>
      <c r="B1035" t="s">
        <v>652</v>
      </c>
      <c r="C1035">
        <v>29</v>
      </c>
      <c r="D1035" t="s">
        <v>10</v>
      </c>
      <c r="E1035" t="str">
        <f>IFERROR(VLOOKUP(logos[[#This Row],[Cell_ID]],'registe maintenance'!A:B,2,FALSE)," non répertoriées")</f>
        <v xml:space="preserve"> non répertoriées</v>
      </c>
      <c r="F1035" t="str">
        <f>IFERROR(VLOOKUP(logos[[#This Row],[Cell_ID]],'registe maintenance'!A:C,3,FALSE)," non répertoriées")</f>
        <v xml:space="preserve"> non répertoriées</v>
      </c>
      <c r="G1035" t="str">
        <f>IFERROR(VLOOKUP(logos[[#This Row],[Cell_ID]],'registe maintenance'!A:D,4,FALSE)," non répertoriées")</f>
        <v xml:space="preserve"> non répertoriées</v>
      </c>
      <c r="H1035" t="str">
        <f>IFERROR(VLOOKUP(logos[[#This Row],[Cell_ID]],'registe maintenance'!A:E,5,FALSE)," non répertoriées")</f>
        <v xml:space="preserve"> non répertoriées</v>
      </c>
      <c r="I1035" t="str">
        <f>IFERROR(VLOOKUP(logos[[#This Row],[Cell_ID]],'registe maintenance'!A:F,6,FALSE)," non répertoriées")</f>
        <v xml:space="preserve"> non répertoriées</v>
      </c>
      <c r="J1035">
        <f>IFERROR(VLOOKUP(B1035,'logos transformer '!A:B,2,FALSE),"na")</f>
        <v>1</v>
      </c>
      <c r="K1035">
        <f>IFERROR(VLOOKUP(B1035,'logos transformer '!A:C,3,FALSE),"na")</f>
        <v>29</v>
      </c>
      <c r="L1035" s="1">
        <f>IFERROR(VLOOKUP(B1035,'logos transformer '!A:D,4,FALSE),"na")</f>
        <v>45226.072222222225</v>
      </c>
    </row>
    <row r="1036" spans="1:12" x14ac:dyDescent="0.3">
      <c r="A1036" s="1">
        <v>45225.384027777778</v>
      </c>
      <c r="B1036" t="s">
        <v>546</v>
      </c>
      <c r="C1036">
        <v>42</v>
      </c>
      <c r="D1036" t="s">
        <v>5</v>
      </c>
      <c r="E1036" t="str">
        <f>IFERROR(VLOOKUP(logos[[#This Row],[Cell_ID]],'registe maintenance'!A:B,2,FALSE)," non répertoriées")</f>
        <v xml:space="preserve"> non répertoriées</v>
      </c>
      <c r="F1036" t="str">
        <f>IFERROR(VLOOKUP(logos[[#This Row],[Cell_ID]],'registe maintenance'!A:C,3,FALSE)," non répertoriées")</f>
        <v xml:space="preserve"> non répertoriées</v>
      </c>
      <c r="G1036" t="str">
        <f>IFERROR(VLOOKUP(logos[[#This Row],[Cell_ID]],'registe maintenance'!A:D,4,FALSE)," non répertoriées")</f>
        <v xml:space="preserve"> non répertoriées</v>
      </c>
      <c r="H1036" t="str">
        <f>IFERROR(VLOOKUP(logos[[#This Row],[Cell_ID]],'registe maintenance'!A:E,5,FALSE)," non répertoriées")</f>
        <v xml:space="preserve"> non répertoriées</v>
      </c>
      <c r="I1036" t="str">
        <f>IFERROR(VLOOKUP(logos[[#This Row],[Cell_ID]],'registe maintenance'!A:F,6,FALSE)," non répertoriées")</f>
        <v xml:space="preserve"> non répertoriées</v>
      </c>
      <c r="J1036">
        <f>IFERROR(VLOOKUP(B1036,'logos transformer '!A:B,2,FALSE),"na")</f>
        <v>2</v>
      </c>
      <c r="K1036">
        <f>IFERROR(VLOOKUP(B1036,'logos transformer '!A:C,3,FALSE),"na")</f>
        <v>75</v>
      </c>
      <c r="L1036" s="1">
        <f>IFERROR(VLOOKUP(B1036,'logos transformer '!A:D,4,FALSE),"na")</f>
        <v>45230.537499999999</v>
      </c>
    </row>
    <row r="1037" spans="1:12" x14ac:dyDescent="0.3">
      <c r="A1037" s="1">
        <v>45224.709722222222</v>
      </c>
      <c r="B1037" t="s">
        <v>653</v>
      </c>
      <c r="C1037">
        <v>62</v>
      </c>
      <c r="D1037" t="s">
        <v>8</v>
      </c>
      <c r="E1037" t="str">
        <f>IFERROR(VLOOKUP(logos[[#This Row],[Cell_ID]],'registe maintenance'!A:B,2,FALSE)," non répertoriées")</f>
        <v xml:space="preserve"> non répertoriées</v>
      </c>
      <c r="F1037" t="str">
        <f>IFERROR(VLOOKUP(logos[[#This Row],[Cell_ID]],'registe maintenance'!A:C,3,FALSE)," non répertoriées")</f>
        <v xml:space="preserve"> non répertoriées</v>
      </c>
      <c r="G1037" t="str">
        <f>IFERROR(VLOOKUP(logos[[#This Row],[Cell_ID]],'registe maintenance'!A:D,4,FALSE)," non répertoriées")</f>
        <v xml:space="preserve"> non répertoriées</v>
      </c>
      <c r="H1037" t="str">
        <f>IFERROR(VLOOKUP(logos[[#This Row],[Cell_ID]],'registe maintenance'!A:E,5,FALSE)," non répertoriées")</f>
        <v xml:space="preserve"> non répertoriées</v>
      </c>
      <c r="I1037" t="str">
        <f>IFERROR(VLOOKUP(logos[[#This Row],[Cell_ID]],'registe maintenance'!A:F,6,FALSE)," non répertoriées")</f>
        <v xml:space="preserve"> non répertoriées</v>
      </c>
      <c r="J1037">
        <f>IFERROR(VLOOKUP(B1037,'logos transformer '!A:B,2,FALSE),"na")</f>
        <v>1</v>
      </c>
      <c r="K1037">
        <f>IFERROR(VLOOKUP(B1037,'logos transformer '!A:C,3,FALSE),"na")</f>
        <v>62</v>
      </c>
      <c r="L1037" s="1">
        <f>IFERROR(VLOOKUP(B1037,'logos transformer '!A:D,4,FALSE),"na")</f>
        <v>45224.709722222222</v>
      </c>
    </row>
    <row r="1038" spans="1:12" x14ac:dyDescent="0.3">
      <c r="A1038" s="1">
        <v>45211.587500000001</v>
      </c>
      <c r="B1038" t="s">
        <v>654</v>
      </c>
      <c r="C1038">
        <v>27</v>
      </c>
      <c r="D1038" t="s">
        <v>10</v>
      </c>
      <c r="E1038" t="str">
        <f>IFERROR(VLOOKUP(logos[[#This Row],[Cell_ID]],'registe maintenance'!A:B,2,FALSE)," non répertoriées")</f>
        <v>Equateur</v>
      </c>
      <c r="F1038">
        <f>IFERROR(VLOOKUP(logos[[#This Row],[Cell_ID]],'registe maintenance'!A:C,3,FALSE)," non répertoriées")</f>
        <v>-7.8215969999999997</v>
      </c>
      <c r="G1038">
        <f>IFERROR(VLOOKUP(logos[[#This Row],[Cell_ID]],'registe maintenance'!A:D,4,FALSE)," non répertoriées")</f>
        <v>26.797349000000001</v>
      </c>
      <c r="H1038" t="str">
        <f>IFERROR(VLOOKUP(logos[[#This Row],[Cell_ID]],'registe maintenance'!A:E,5,FALSE)," non répertoriées")</f>
        <v>3G</v>
      </c>
      <c r="I1038" t="str">
        <f>IFERROR(VLOOKUP(logos[[#This Row],[Cell_ID]],'registe maintenance'!A:F,6,FALSE)," non répertoriées")</f>
        <v>Ericsson</v>
      </c>
      <c r="J1038">
        <f>IFERROR(VLOOKUP(B1038,'logos transformer '!A:B,2,FALSE),"na")</f>
        <v>1</v>
      </c>
      <c r="K1038">
        <f>IFERROR(VLOOKUP(B1038,'logos transformer '!A:C,3,FALSE),"na")</f>
        <v>27</v>
      </c>
      <c r="L1038" s="1">
        <f>IFERROR(VLOOKUP(B1038,'logos transformer '!A:D,4,FALSE),"na")</f>
        <v>45211.587500000001</v>
      </c>
    </row>
    <row r="1039" spans="1:12" x14ac:dyDescent="0.3">
      <c r="A1039" s="1">
        <v>45219.907638888893</v>
      </c>
      <c r="B1039" t="s">
        <v>655</v>
      </c>
      <c r="C1039">
        <v>92</v>
      </c>
      <c r="D1039" t="s">
        <v>8</v>
      </c>
      <c r="E1039" t="str">
        <f>IFERROR(VLOOKUP(logos[[#This Row],[Cell_ID]],'registe maintenance'!A:B,2,FALSE)," non répertoriées")</f>
        <v xml:space="preserve"> non répertoriées</v>
      </c>
      <c r="F1039" t="str">
        <f>IFERROR(VLOOKUP(logos[[#This Row],[Cell_ID]],'registe maintenance'!A:C,3,FALSE)," non répertoriées")</f>
        <v xml:space="preserve"> non répertoriées</v>
      </c>
      <c r="G1039" t="str">
        <f>IFERROR(VLOOKUP(logos[[#This Row],[Cell_ID]],'registe maintenance'!A:D,4,FALSE)," non répertoriées")</f>
        <v xml:space="preserve"> non répertoriées</v>
      </c>
      <c r="H1039" t="str">
        <f>IFERROR(VLOOKUP(logos[[#This Row],[Cell_ID]],'registe maintenance'!A:E,5,FALSE)," non répertoriées")</f>
        <v xml:space="preserve"> non répertoriées</v>
      </c>
      <c r="I1039" t="str">
        <f>IFERROR(VLOOKUP(logos[[#This Row],[Cell_ID]],'registe maintenance'!A:F,6,FALSE)," non répertoriées")</f>
        <v xml:space="preserve"> non répertoriées</v>
      </c>
      <c r="J1039">
        <f>IFERROR(VLOOKUP(B1039,'logos transformer '!A:B,2,FALSE),"na")</f>
        <v>1</v>
      </c>
      <c r="K1039">
        <f>IFERROR(VLOOKUP(B1039,'logos transformer '!A:C,3,FALSE),"na")</f>
        <v>92</v>
      </c>
      <c r="L1039" s="1">
        <f>IFERROR(VLOOKUP(B1039,'logos transformer '!A:D,4,FALSE),"na")</f>
        <v>45219.907638888886</v>
      </c>
    </row>
    <row r="1040" spans="1:12" x14ac:dyDescent="0.3">
      <c r="A1040" s="1">
        <v>45217.324305555558</v>
      </c>
      <c r="B1040" t="s">
        <v>656</v>
      </c>
      <c r="C1040">
        <v>14</v>
      </c>
      <c r="D1040" t="s">
        <v>8</v>
      </c>
      <c r="E1040" t="str">
        <f>IFERROR(VLOOKUP(logos[[#This Row],[Cell_ID]],'registe maintenance'!A:B,2,FALSE)," non répertoriées")</f>
        <v xml:space="preserve"> non répertoriées</v>
      </c>
      <c r="F1040" t="str">
        <f>IFERROR(VLOOKUP(logos[[#This Row],[Cell_ID]],'registe maintenance'!A:C,3,FALSE)," non répertoriées")</f>
        <v xml:space="preserve"> non répertoriées</v>
      </c>
      <c r="G1040" t="str">
        <f>IFERROR(VLOOKUP(logos[[#This Row],[Cell_ID]],'registe maintenance'!A:D,4,FALSE)," non répertoriées")</f>
        <v xml:space="preserve"> non répertoriées</v>
      </c>
      <c r="H1040" t="str">
        <f>IFERROR(VLOOKUP(logos[[#This Row],[Cell_ID]],'registe maintenance'!A:E,5,FALSE)," non répertoriées")</f>
        <v xml:space="preserve"> non répertoriées</v>
      </c>
      <c r="I1040" t="str">
        <f>IFERROR(VLOOKUP(logos[[#This Row],[Cell_ID]],'registe maintenance'!A:F,6,FALSE)," non répertoriées")</f>
        <v xml:space="preserve"> non répertoriées</v>
      </c>
      <c r="J1040">
        <f>IFERROR(VLOOKUP(B1040,'logos transformer '!A:B,2,FALSE),"na")</f>
        <v>1</v>
      </c>
      <c r="K1040">
        <f>IFERROR(VLOOKUP(B1040,'logos transformer '!A:C,3,FALSE),"na")</f>
        <v>14</v>
      </c>
      <c r="L1040" s="1">
        <f>IFERROR(VLOOKUP(B1040,'logos transformer '!A:D,4,FALSE),"na")</f>
        <v>45217.324305555558</v>
      </c>
    </row>
    <row r="1041" spans="1:12" x14ac:dyDescent="0.3">
      <c r="A1041" s="1">
        <v>45220.724999999999</v>
      </c>
      <c r="B1041" t="s">
        <v>123</v>
      </c>
      <c r="C1041">
        <v>28</v>
      </c>
      <c r="D1041" t="s">
        <v>10</v>
      </c>
      <c r="E1041" t="str">
        <f>IFERROR(VLOOKUP(logos[[#This Row],[Cell_ID]],'registe maintenance'!A:B,2,FALSE)," non répertoriées")</f>
        <v>Tanganyika</v>
      </c>
      <c r="F1041">
        <f>IFERROR(VLOOKUP(logos[[#This Row],[Cell_ID]],'registe maintenance'!A:C,3,FALSE)," non répertoriées")</f>
        <v>-9.002459</v>
      </c>
      <c r="G1041">
        <f>IFERROR(VLOOKUP(logos[[#This Row],[Cell_ID]],'registe maintenance'!A:D,4,FALSE)," non répertoriées")</f>
        <v>25.182109000000001</v>
      </c>
      <c r="H1041" t="str">
        <f>IFERROR(VLOOKUP(logos[[#This Row],[Cell_ID]],'registe maintenance'!A:E,5,FALSE)," non répertoriées")</f>
        <v>5G</v>
      </c>
      <c r="I1041" t="str">
        <f>IFERROR(VLOOKUP(logos[[#This Row],[Cell_ID]],'registe maintenance'!A:F,6,FALSE)," non répertoriées")</f>
        <v>Huawei</v>
      </c>
      <c r="J1041">
        <f>IFERROR(VLOOKUP(B1041,'logos transformer '!A:B,2,FALSE),"na")</f>
        <v>2</v>
      </c>
      <c r="K1041">
        <f>IFERROR(VLOOKUP(B1041,'logos transformer '!A:C,3,FALSE),"na")</f>
        <v>64</v>
      </c>
      <c r="L1041" s="1">
        <f>IFERROR(VLOOKUP(B1041,'logos transformer '!A:D,4,FALSE),"na")</f>
        <v>45225.965277777781</v>
      </c>
    </row>
    <row r="1042" spans="1:12" x14ac:dyDescent="0.3">
      <c r="A1042" s="1">
        <v>45207.701388888891</v>
      </c>
      <c r="B1042" t="s">
        <v>657</v>
      </c>
      <c r="C1042">
        <v>27</v>
      </c>
      <c r="D1042" t="s">
        <v>10</v>
      </c>
      <c r="E1042" t="str">
        <f>IFERROR(VLOOKUP(logos[[#This Row],[Cell_ID]],'registe maintenance'!A:B,2,FALSE)," non répertoriées")</f>
        <v>Sankuru</v>
      </c>
      <c r="F1042">
        <f>IFERROR(VLOOKUP(logos[[#This Row],[Cell_ID]],'registe maintenance'!A:C,3,FALSE)," non répertoriées")</f>
        <v>-10.764815</v>
      </c>
      <c r="G1042">
        <f>IFERROR(VLOOKUP(logos[[#This Row],[Cell_ID]],'registe maintenance'!A:D,4,FALSE)," non répertoriées")</f>
        <v>14.602039</v>
      </c>
      <c r="H1042" t="str">
        <f>IFERROR(VLOOKUP(logos[[#This Row],[Cell_ID]],'registe maintenance'!A:E,5,FALSE)," non répertoriées")</f>
        <v>4G</v>
      </c>
      <c r="I1042" t="str">
        <f>IFERROR(VLOOKUP(logos[[#This Row],[Cell_ID]],'registe maintenance'!A:F,6,FALSE)," non répertoriées")</f>
        <v>Nokia</v>
      </c>
      <c r="J1042">
        <f>IFERROR(VLOOKUP(B1042,'logos transformer '!A:B,2,FALSE),"na")</f>
        <v>1</v>
      </c>
      <c r="K1042">
        <f>IFERROR(VLOOKUP(B1042,'logos transformer '!A:C,3,FALSE),"na")</f>
        <v>27</v>
      </c>
      <c r="L1042" s="1">
        <f>IFERROR(VLOOKUP(B1042,'logos transformer '!A:D,4,FALSE),"na")</f>
        <v>45207.701388888891</v>
      </c>
    </row>
    <row r="1043" spans="1:12" x14ac:dyDescent="0.3">
      <c r="A1043" s="1">
        <v>45219.929166666669</v>
      </c>
      <c r="B1043" t="s">
        <v>645</v>
      </c>
      <c r="C1043">
        <v>115</v>
      </c>
      <c r="D1043" t="s">
        <v>5</v>
      </c>
      <c r="E1043" t="str">
        <f>IFERROR(VLOOKUP(logos[[#This Row],[Cell_ID]],'registe maintenance'!A:B,2,FALSE)," non répertoriées")</f>
        <v xml:space="preserve"> non répertoriées</v>
      </c>
      <c r="F1043" t="str">
        <f>IFERROR(VLOOKUP(logos[[#This Row],[Cell_ID]],'registe maintenance'!A:C,3,FALSE)," non répertoriées")</f>
        <v xml:space="preserve"> non répertoriées</v>
      </c>
      <c r="G1043" t="str">
        <f>IFERROR(VLOOKUP(logos[[#This Row],[Cell_ID]],'registe maintenance'!A:D,4,FALSE)," non répertoriées")</f>
        <v xml:space="preserve"> non répertoriées</v>
      </c>
      <c r="H1043" t="str">
        <f>IFERROR(VLOOKUP(logos[[#This Row],[Cell_ID]],'registe maintenance'!A:E,5,FALSE)," non répertoriées")</f>
        <v xml:space="preserve"> non répertoriées</v>
      </c>
      <c r="I1043" t="str">
        <f>IFERROR(VLOOKUP(logos[[#This Row],[Cell_ID]],'registe maintenance'!A:F,6,FALSE)," non répertoriées")</f>
        <v xml:space="preserve"> non répertoriées</v>
      </c>
      <c r="J1043">
        <f>IFERROR(VLOOKUP(B1043,'logos transformer '!A:B,2,FALSE),"na")</f>
        <v>2</v>
      </c>
      <c r="K1043">
        <f>IFERROR(VLOOKUP(B1043,'logos transformer '!A:C,3,FALSE),"na")</f>
        <v>230</v>
      </c>
      <c r="L1043" s="1">
        <f>IFERROR(VLOOKUP(B1043,'logos transformer '!A:D,4,FALSE),"na")</f>
        <v>45219.929166666669</v>
      </c>
    </row>
    <row r="1044" spans="1:12" x14ac:dyDescent="0.3">
      <c r="A1044" s="1">
        <v>45230.731944444437</v>
      </c>
      <c r="B1044" t="s">
        <v>295</v>
      </c>
      <c r="C1044">
        <v>52</v>
      </c>
      <c r="D1044" t="s">
        <v>5</v>
      </c>
      <c r="E1044" t="str">
        <f>IFERROR(VLOOKUP(logos[[#This Row],[Cell_ID]],'registe maintenance'!A:B,2,FALSE)," non répertoriées")</f>
        <v xml:space="preserve"> non répertoriées</v>
      </c>
      <c r="F1044" t="str">
        <f>IFERROR(VLOOKUP(logos[[#This Row],[Cell_ID]],'registe maintenance'!A:C,3,FALSE)," non répertoriées")</f>
        <v xml:space="preserve"> non répertoriées</v>
      </c>
      <c r="G1044" t="str">
        <f>IFERROR(VLOOKUP(logos[[#This Row],[Cell_ID]],'registe maintenance'!A:D,4,FALSE)," non répertoriées")</f>
        <v xml:space="preserve"> non répertoriées</v>
      </c>
      <c r="H1044" t="str">
        <f>IFERROR(VLOOKUP(logos[[#This Row],[Cell_ID]],'registe maintenance'!A:E,5,FALSE)," non répertoriées")</f>
        <v xml:space="preserve"> non répertoriées</v>
      </c>
      <c r="I1044" t="str">
        <f>IFERROR(VLOOKUP(logos[[#This Row],[Cell_ID]],'registe maintenance'!A:F,6,FALSE)," non répertoriées")</f>
        <v xml:space="preserve"> non répertoriées</v>
      </c>
      <c r="J1044">
        <f>IFERROR(VLOOKUP(B1044,'logos transformer '!A:B,2,FALSE),"na")</f>
        <v>2</v>
      </c>
      <c r="K1044">
        <f>IFERROR(VLOOKUP(B1044,'logos transformer '!A:C,3,FALSE),"na")</f>
        <v>61</v>
      </c>
      <c r="L1044" s="1">
        <f>IFERROR(VLOOKUP(B1044,'logos transformer '!A:D,4,FALSE),"na")</f>
        <v>45230.731944444444</v>
      </c>
    </row>
    <row r="1045" spans="1:12" x14ac:dyDescent="0.3">
      <c r="A1045" s="1">
        <v>45200.836111111108</v>
      </c>
      <c r="B1045" t="s">
        <v>265</v>
      </c>
      <c r="C1045">
        <v>6</v>
      </c>
      <c r="D1045" t="s">
        <v>5</v>
      </c>
      <c r="E1045" t="str">
        <f>IFERROR(VLOOKUP(logos[[#This Row],[Cell_ID]],'registe maintenance'!A:B,2,FALSE)," non répertoriées")</f>
        <v xml:space="preserve"> non répertoriées</v>
      </c>
      <c r="F1045" t="str">
        <f>IFERROR(VLOOKUP(logos[[#This Row],[Cell_ID]],'registe maintenance'!A:C,3,FALSE)," non répertoriées")</f>
        <v xml:space="preserve"> non répertoriées</v>
      </c>
      <c r="G1045" t="str">
        <f>IFERROR(VLOOKUP(logos[[#This Row],[Cell_ID]],'registe maintenance'!A:D,4,FALSE)," non répertoriées")</f>
        <v xml:space="preserve"> non répertoriées</v>
      </c>
      <c r="H1045" t="str">
        <f>IFERROR(VLOOKUP(logos[[#This Row],[Cell_ID]],'registe maintenance'!A:E,5,FALSE)," non répertoriées")</f>
        <v xml:space="preserve"> non répertoriées</v>
      </c>
      <c r="I1045" t="str">
        <f>IFERROR(VLOOKUP(logos[[#This Row],[Cell_ID]],'registe maintenance'!A:F,6,FALSE)," non répertoriées")</f>
        <v xml:space="preserve"> non répertoriées</v>
      </c>
      <c r="J1045">
        <f>IFERROR(VLOOKUP(B1045,'logos transformer '!A:B,2,FALSE),"na")</f>
        <v>3</v>
      </c>
      <c r="K1045">
        <f>IFERROR(VLOOKUP(B1045,'logos transformer '!A:C,3,FALSE),"na")</f>
        <v>167</v>
      </c>
      <c r="L1045" s="1">
        <f>IFERROR(VLOOKUP(B1045,'logos transformer '!A:D,4,FALSE),"na")</f>
        <v>45210.007638888892</v>
      </c>
    </row>
    <row r="1046" spans="1:12" x14ac:dyDescent="0.3">
      <c r="A1046" s="1">
        <v>45206.902777777781</v>
      </c>
      <c r="B1046" t="s">
        <v>658</v>
      </c>
      <c r="C1046">
        <v>75</v>
      </c>
      <c r="D1046" t="s">
        <v>10</v>
      </c>
      <c r="E1046" t="str">
        <f>IFERROR(VLOOKUP(logos[[#This Row],[Cell_ID]],'registe maintenance'!A:B,2,FALSE)," non répertoriées")</f>
        <v xml:space="preserve"> non répertoriées</v>
      </c>
      <c r="F1046" t="str">
        <f>IFERROR(VLOOKUP(logos[[#This Row],[Cell_ID]],'registe maintenance'!A:C,3,FALSE)," non répertoriées")</f>
        <v xml:space="preserve"> non répertoriées</v>
      </c>
      <c r="G1046" t="str">
        <f>IFERROR(VLOOKUP(logos[[#This Row],[Cell_ID]],'registe maintenance'!A:D,4,FALSE)," non répertoriées")</f>
        <v xml:space="preserve"> non répertoriées</v>
      </c>
      <c r="H1046" t="str">
        <f>IFERROR(VLOOKUP(logos[[#This Row],[Cell_ID]],'registe maintenance'!A:E,5,FALSE)," non répertoriées")</f>
        <v xml:space="preserve"> non répertoriées</v>
      </c>
      <c r="I1046" t="str">
        <f>IFERROR(VLOOKUP(logos[[#This Row],[Cell_ID]],'registe maintenance'!A:F,6,FALSE)," non répertoriées")</f>
        <v xml:space="preserve"> non répertoriées</v>
      </c>
      <c r="J1046">
        <f>IFERROR(VLOOKUP(B1046,'logos transformer '!A:B,2,FALSE),"na")</f>
        <v>1</v>
      </c>
      <c r="K1046">
        <f>IFERROR(VLOOKUP(B1046,'logos transformer '!A:C,3,FALSE),"na")</f>
        <v>75</v>
      </c>
      <c r="L1046" s="1">
        <f>IFERROR(VLOOKUP(B1046,'logos transformer '!A:D,4,FALSE),"na")</f>
        <v>45206.902777777781</v>
      </c>
    </row>
    <row r="1047" spans="1:12" x14ac:dyDescent="0.3">
      <c r="A1047" s="1">
        <v>45224.288194444453</v>
      </c>
      <c r="B1047" t="s">
        <v>335</v>
      </c>
      <c r="C1047">
        <v>116</v>
      </c>
      <c r="D1047" t="s">
        <v>10</v>
      </c>
      <c r="E1047" t="str">
        <f>IFERROR(VLOOKUP(logos[[#This Row],[Cell_ID]],'registe maintenance'!A:B,2,FALSE)," non répertoriées")</f>
        <v xml:space="preserve"> non répertoriées</v>
      </c>
      <c r="F1047" t="str">
        <f>IFERROR(VLOOKUP(logos[[#This Row],[Cell_ID]],'registe maintenance'!A:C,3,FALSE)," non répertoriées")</f>
        <v xml:space="preserve"> non répertoriées</v>
      </c>
      <c r="G1047" t="str">
        <f>IFERROR(VLOOKUP(logos[[#This Row],[Cell_ID]],'registe maintenance'!A:D,4,FALSE)," non répertoriées")</f>
        <v xml:space="preserve"> non répertoriées</v>
      </c>
      <c r="H1047" t="str">
        <f>IFERROR(VLOOKUP(logos[[#This Row],[Cell_ID]],'registe maintenance'!A:E,5,FALSE)," non répertoriées")</f>
        <v xml:space="preserve"> non répertoriées</v>
      </c>
      <c r="I1047" t="str">
        <f>IFERROR(VLOOKUP(logos[[#This Row],[Cell_ID]],'registe maintenance'!A:F,6,FALSE)," non répertoriées")</f>
        <v xml:space="preserve"> non répertoriées</v>
      </c>
      <c r="J1047">
        <f>IFERROR(VLOOKUP(B1047,'logos transformer '!A:B,2,FALSE),"na")</f>
        <v>5</v>
      </c>
      <c r="K1047">
        <f>IFERROR(VLOOKUP(B1047,'logos transformer '!A:C,3,FALSE),"na")</f>
        <v>312</v>
      </c>
      <c r="L1047" s="1">
        <f>IFERROR(VLOOKUP(B1047,'logos transformer '!A:D,4,FALSE),"na")</f>
        <v>45224.288194444445</v>
      </c>
    </row>
    <row r="1048" spans="1:12" x14ac:dyDescent="0.3">
      <c r="A1048" s="1">
        <v>45221.578472222223</v>
      </c>
      <c r="B1048" t="s">
        <v>206</v>
      </c>
      <c r="C1048">
        <v>76</v>
      </c>
      <c r="D1048" t="s">
        <v>10</v>
      </c>
      <c r="E1048" t="str">
        <f>IFERROR(VLOOKUP(logos[[#This Row],[Cell_ID]],'registe maintenance'!A:B,2,FALSE)," non répertoriées")</f>
        <v xml:space="preserve"> non répertoriées</v>
      </c>
      <c r="F1048" t="str">
        <f>IFERROR(VLOOKUP(logos[[#This Row],[Cell_ID]],'registe maintenance'!A:C,3,FALSE)," non répertoriées")</f>
        <v xml:space="preserve"> non répertoriées</v>
      </c>
      <c r="G1048" t="str">
        <f>IFERROR(VLOOKUP(logos[[#This Row],[Cell_ID]],'registe maintenance'!A:D,4,FALSE)," non répertoriées")</f>
        <v xml:space="preserve"> non répertoriées</v>
      </c>
      <c r="H1048" t="str">
        <f>IFERROR(VLOOKUP(logos[[#This Row],[Cell_ID]],'registe maintenance'!A:E,5,FALSE)," non répertoriées")</f>
        <v xml:space="preserve"> non répertoriées</v>
      </c>
      <c r="I1048" t="str">
        <f>IFERROR(VLOOKUP(logos[[#This Row],[Cell_ID]],'registe maintenance'!A:F,6,FALSE)," non répertoriées")</f>
        <v xml:space="preserve"> non répertoriées</v>
      </c>
      <c r="J1048">
        <f>IFERROR(VLOOKUP(B1048,'logos transformer '!A:B,2,FALSE),"na")</f>
        <v>2</v>
      </c>
      <c r="K1048">
        <f>IFERROR(VLOOKUP(B1048,'logos transformer '!A:C,3,FALSE),"na")</f>
        <v>85</v>
      </c>
      <c r="L1048" s="1">
        <f>IFERROR(VLOOKUP(B1048,'logos transformer '!A:D,4,FALSE),"na")</f>
        <v>45221.578472222223</v>
      </c>
    </row>
    <row r="1049" spans="1:12" x14ac:dyDescent="0.3">
      <c r="A1049" s="1">
        <v>45203.273611111108</v>
      </c>
      <c r="B1049" t="s">
        <v>50</v>
      </c>
      <c r="C1049">
        <v>23</v>
      </c>
      <c r="D1049" t="s">
        <v>10</v>
      </c>
      <c r="E1049" t="str">
        <f>IFERROR(VLOOKUP(logos[[#This Row],[Cell_ID]],'registe maintenance'!A:B,2,FALSE)," non répertoriées")</f>
        <v xml:space="preserve"> non répertoriées</v>
      </c>
      <c r="F1049" t="str">
        <f>IFERROR(VLOOKUP(logos[[#This Row],[Cell_ID]],'registe maintenance'!A:C,3,FALSE)," non répertoriées")</f>
        <v xml:space="preserve"> non répertoriées</v>
      </c>
      <c r="G1049" t="str">
        <f>IFERROR(VLOOKUP(logos[[#This Row],[Cell_ID]],'registe maintenance'!A:D,4,FALSE)," non répertoriées")</f>
        <v xml:space="preserve"> non répertoriées</v>
      </c>
      <c r="H1049" t="str">
        <f>IFERROR(VLOOKUP(logos[[#This Row],[Cell_ID]],'registe maintenance'!A:E,5,FALSE)," non répertoriées")</f>
        <v xml:space="preserve"> non répertoriées</v>
      </c>
      <c r="I1049" t="str">
        <f>IFERROR(VLOOKUP(logos[[#This Row],[Cell_ID]],'registe maintenance'!A:F,6,FALSE)," non répertoriées")</f>
        <v xml:space="preserve"> non répertoriées</v>
      </c>
      <c r="J1049">
        <f>IFERROR(VLOOKUP(B1049,'logos transformer '!A:B,2,FALSE),"na")</f>
        <v>2</v>
      </c>
      <c r="K1049">
        <f>IFERROR(VLOOKUP(B1049,'logos transformer '!A:C,3,FALSE),"na")</f>
        <v>83</v>
      </c>
      <c r="L1049" s="1">
        <f>IFERROR(VLOOKUP(B1049,'logos transformer '!A:D,4,FALSE),"na")</f>
        <v>45204.338888888888</v>
      </c>
    </row>
    <row r="1050" spans="1:12" x14ac:dyDescent="0.3">
      <c r="A1050" s="1">
        <v>45226.955555555563</v>
      </c>
      <c r="B1050" t="s">
        <v>659</v>
      </c>
      <c r="C1050">
        <v>20</v>
      </c>
      <c r="D1050" t="s">
        <v>8</v>
      </c>
      <c r="E1050" t="str">
        <f>IFERROR(VLOOKUP(logos[[#This Row],[Cell_ID]],'registe maintenance'!A:B,2,FALSE)," non répertoriées")</f>
        <v xml:space="preserve"> non répertoriées</v>
      </c>
      <c r="F1050" t="str">
        <f>IFERROR(VLOOKUP(logos[[#This Row],[Cell_ID]],'registe maintenance'!A:C,3,FALSE)," non répertoriées")</f>
        <v xml:space="preserve"> non répertoriées</v>
      </c>
      <c r="G1050" t="str">
        <f>IFERROR(VLOOKUP(logos[[#This Row],[Cell_ID]],'registe maintenance'!A:D,4,FALSE)," non répertoriées")</f>
        <v xml:space="preserve"> non répertoriées</v>
      </c>
      <c r="H1050" t="str">
        <f>IFERROR(VLOOKUP(logos[[#This Row],[Cell_ID]],'registe maintenance'!A:E,5,FALSE)," non répertoriées")</f>
        <v xml:space="preserve"> non répertoriées</v>
      </c>
      <c r="I1050" t="str">
        <f>IFERROR(VLOOKUP(logos[[#This Row],[Cell_ID]],'registe maintenance'!A:F,6,FALSE)," non répertoriées")</f>
        <v xml:space="preserve"> non répertoriées</v>
      </c>
      <c r="J1050">
        <f>IFERROR(VLOOKUP(B1050,'logos transformer '!A:B,2,FALSE),"na")</f>
        <v>1</v>
      </c>
      <c r="K1050">
        <f>IFERROR(VLOOKUP(B1050,'logos transformer '!A:C,3,FALSE),"na")</f>
        <v>20</v>
      </c>
      <c r="L1050" s="1">
        <f>IFERROR(VLOOKUP(B1050,'logos transformer '!A:D,4,FALSE),"na")</f>
        <v>45226.955555555556</v>
      </c>
    </row>
    <row r="1051" spans="1:12" x14ac:dyDescent="0.3">
      <c r="A1051" s="1">
        <v>45223.570138888892</v>
      </c>
      <c r="B1051" t="s">
        <v>186</v>
      </c>
      <c r="C1051">
        <v>10</v>
      </c>
      <c r="D1051" t="s">
        <v>8</v>
      </c>
      <c r="E1051" t="str">
        <f>IFERROR(VLOOKUP(logos[[#This Row],[Cell_ID]],'registe maintenance'!A:B,2,FALSE)," non répertoriées")</f>
        <v>Mai-Ndombe</v>
      </c>
      <c r="F1051">
        <f>IFERROR(VLOOKUP(logos[[#This Row],[Cell_ID]],'registe maintenance'!A:C,3,FALSE)," non répertoriées")</f>
        <v>-9.3652280000000001</v>
      </c>
      <c r="G1051">
        <f>IFERROR(VLOOKUP(logos[[#This Row],[Cell_ID]],'registe maintenance'!A:D,4,FALSE)," non répertoriées")</f>
        <v>18.674116000000001</v>
      </c>
      <c r="H1051" t="str">
        <f>IFERROR(VLOOKUP(logos[[#This Row],[Cell_ID]],'registe maintenance'!A:E,5,FALSE)," non répertoriées")</f>
        <v>4G</v>
      </c>
      <c r="I1051" t="str">
        <f>IFERROR(VLOOKUP(logos[[#This Row],[Cell_ID]],'registe maintenance'!A:F,6,FALSE)," non répertoriées")</f>
        <v>Huawei</v>
      </c>
      <c r="J1051">
        <f>IFERROR(VLOOKUP(B1051,'logos transformer '!A:B,2,FALSE),"na")</f>
        <v>4</v>
      </c>
      <c r="K1051">
        <f>IFERROR(VLOOKUP(B1051,'logos transformer '!A:C,3,FALSE),"na")</f>
        <v>177</v>
      </c>
      <c r="L1051" s="1">
        <f>IFERROR(VLOOKUP(B1051,'logos transformer '!A:D,4,FALSE),"na")</f>
        <v>45224.98333333333</v>
      </c>
    </row>
    <row r="1052" spans="1:12" x14ac:dyDescent="0.3">
      <c r="A1052" s="1">
        <v>45226.115972222222</v>
      </c>
      <c r="B1052" t="s">
        <v>320</v>
      </c>
      <c r="C1052">
        <v>5</v>
      </c>
      <c r="D1052" t="s">
        <v>10</v>
      </c>
      <c r="E1052" t="str">
        <f>IFERROR(VLOOKUP(logos[[#This Row],[Cell_ID]],'registe maintenance'!A:B,2,FALSE)," non répertoriées")</f>
        <v>Kasai-Oriental</v>
      </c>
      <c r="F1052">
        <f>IFERROR(VLOOKUP(logos[[#This Row],[Cell_ID]],'registe maintenance'!A:C,3,FALSE)," non répertoriées")</f>
        <v>2.486888</v>
      </c>
      <c r="G1052">
        <f>IFERROR(VLOOKUP(logos[[#This Row],[Cell_ID]],'registe maintenance'!A:D,4,FALSE)," non répertoriées")</f>
        <v>23.798074</v>
      </c>
      <c r="H1052" t="str">
        <f>IFERROR(VLOOKUP(logos[[#This Row],[Cell_ID]],'registe maintenance'!A:E,5,FALSE)," non répertoriées")</f>
        <v>5G</v>
      </c>
      <c r="I1052" t="str">
        <f>IFERROR(VLOOKUP(logos[[#This Row],[Cell_ID]],'registe maintenance'!A:F,6,FALSE)," non répertoriées")</f>
        <v>ZTE</v>
      </c>
      <c r="J1052">
        <f>IFERROR(VLOOKUP(B1052,'logos transformer '!A:B,2,FALSE),"na")</f>
        <v>2</v>
      </c>
      <c r="K1052">
        <f>IFERROR(VLOOKUP(B1052,'logos transformer '!A:C,3,FALSE),"na")</f>
        <v>39</v>
      </c>
      <c r="L1052" s="1">
        <f>IFERROR(VLOOKUP(B1052,'logos transformer '!A:D,4,FALSE),"na")</f>
        <v>45230.633333333331</v>
      </c>
    </row>
    <row r="1053" spans="1:12" x14ac:dyDescent="0.3">
      <c r="A1053" s="1">
        <v>45221.167361111111</v>
      </c>
      <c r="B1053" t="s">
        <v>118</v>
      </c>
      <c r="C1053">
        <v>78</v>
      </c>
      <c r="D1053" t="s">
        <v>8</v>
      </c>
      <c r="E1053" t="str">
        <f>IFERROR(VLOOKUP(logos[[#This Row],[Cell_ID]],'registe maintenance'!A:B,2,FALSE)," non répertoriées")</f>
        <v>Kwilu</v>
      </c>
      <c r="F1053">
        <f>IFERROR(VLOOKUP(logos[[#This Row],[Cell_ID]],'registe maintenance'!A:C,3,FALSE)," non répertoriées")</f>
        <v>2.4741019999999998</v>
      </c>
      <c r="G1053">
        <f>IFERROR(VLOOKUP(logos[[#This Row],[Cell_ID]],'registe maintenance'!A:D,4,FALSE)," non répertoriées")</f>
        <v>29.297391000000001</v>
      </c>
      <c r="H1053" t="str">
        <f>IFERROR(VLOOKUP(logos[[#This Row],[Cell_ID]],'registe maintenance'!A:E,5,FALSE)," non répertoriées")</f>
        <v>4G</v>
      </c>
      <c r="I1053" t="str">
        <f>IFERROR(VLOOKUP(logos[[#This Row],[Cell_ID]],'registe maintenance'!A:F,6,FALSE)," non répertoriées")</f>
        <v>Ericsson</v>
      </c>
      <c r="J1053">
        <f>IFERROR(VLOOKUP(B1053,'logos transformer '!A:B,2,FALSE),"na")</f>
        <v>3</v>
      </c>
      <c r="K1053">
        <f>IFERROR(VLOOKUP(B1053,'logos transformer '!A:C,3,FALSE),"na")</f>
        <v>217</v>
      </c>
      <c r="L1053" s="1">
        <f>IFERROR(VLOOKUP(B1053,'logos transformer '!A:D,4,FALSE),"na")</f>
        <v>45221.167361111111</v>
      </c>
    </row>
    <row r="1054" spans="1:12" x14ac:dyDescent="0.3">
      <c r="A1054" s="1">
        <v>45214.931250000001</v>
      </c>
      <c r="B1054" t="s">
        <v>460</v>
      </c>
      <c r="C1054">
        <v>81</v>
      </c>
      <c r="D1054" t="s">
        <v>8</v>
      </c>
      <c r="E1054" t="str">
        <f>IFERROR(VLOOKUP(logos[[#This Row],[Cell_ID]],'registe maintenance'!A:B,2,FALSE)," non répertoriées")</f>
        <v xml:space="preserve"> non répertoriées</v>
      </c>
      <c r="F1054" t="str">
        <f>IFERROR(VLOOKUP(logos[[#This Row],[Cell_ID]],'registe maintenance'!A:C,3,FALSE)," non répertoriées")</f>
        <v xml:space="preserve"> non répertoriées</v>
      </c>
      <c r="G1054" t="str">
        <f>IFERROR(VLOOKUP(logos[[#This Row],[Cell_ID]],'registe maintenance'!A:D,4,FALSE)," non répertoriées")</f>
        <v xml:space="preserve"> non répertoriées</v>
      </c>
      <c r="H1054" t="str">
        <f>IFERROR(VLOOKUP(logos[[#This Row],[Cell_ID]],'registe maintenance'!A:E,5,FALSE)," non répertoriées")</f>
        <v xml:space="preserve"> non répertoriées</v>
      </c>
      <c r="I1054" t="str">
        <f>IFERROR(VLOOKUP(logos[[#This Row],[Cell_ID]],'registe maintenance'!A:F,6,FALSE)," non répertoriées")</f>
        <v xml:space="preserve"> non répertoriées</v>
      </c>
      <c r="J1054">
        <f>IFERROR(VLOOKUP(B1054,'logos transformer '!A:B,2,FALSE),"na")</f>
        <v>3</v>
      </c>
      <c r="K1054">
        <f>IFERROR(VLOOKUP(B1054,'logos transformer '!A:C,3,FALSE),"na")</f>
        <v>214</v>
      </c>
      <c r="L1054" s="1">
        <f>IFERROR(VLOOKUP(B1054,'logos transformer '!A:D,4,FALSE),"na")</f>
        <v>45220.368055555555</v>
      </c>
    </row>
    <row r="1055" spans="1:12" x14ac:dyDescent="0.3">
      <c r="A1055" s="1">
        <v>45201.086111111108</v>
      </c>
      <c r="B1055" t="s">
        <v>196</v>
      </c>
      <c r="C1055">
        <v>55</v>
      </c>
      <c r="D1055" t="s">
        <v>5</v>
      </c>
      <c r="E1055" t="str">
        <f>IFERROR(VLOOKUP(logos[[#This Row],[Cell_ID]],'registe maintenance'!A:B,2,FALSE)," non répertoriées")</f>
        <v>Nord-Kivu</v>
      </c>
      <c r="F1055">
        <f>IFERROR(VLOOKUP(logos[[#This Row],[Cell_ID]],'registe maintenance'!A:C,3,FALSE)," non répertoriées")</f>
        <v>-1.8555980000000001</v>
      </c>
      <c r="G1055">
        <f>IFERROR(VLOOKUP(logos[[#This Row],[Cell_ID]],'registe maintenance'!A:D,4,FALSE)," non répertoriées")</f>
        <v>30.421918000000002</v>
      </c>
      <c r="H1055" t="str">
        <f>IFERROR(VLOOKUP(logos[[#This Row],[Cell_ID]],'registe maintenance'!A:E,5,FALSE)," non répertoriées")</f>
        <v>3G</v>
      </c>
      <c r="I1055" t="str">
        <f>IFERROR(VLOOKUP(logos[[#This Row],[Cell_ID]],'registe maintenance'!A:F,6,FALSE)," non répertoriées")</f>
        <v>ZTE</v>
      </c>
      <c r="J1055">
        <f>IFERROR(VLOOKUP(B1055,'logos transformer '!A:B,2,FALSE),"na")</f>
        <v>5</v>
      </c>
      <c r="K1055">
        <f>IFERROR(VLOOKUP(B1055,'logos transformer '!A:C,3,FALSE),"na")</f>
        <v>226</v>
      </c>
      <c r="L1055" s="1">
        <f>IFERROR(VLOOKUP(B1055,'logos transformer '!A:D,4,FALSE),"na")</f>
        <v>45222.597222222219</v>
      </c>
    </row>
    <row r="1056" spans="1:12" x14ac:dyDescent="0.3">
      <c r="A1056" s="1">
        <v>45201.243055555547</v>
      </c>
      <c r="B1056" t="s">
        <v>299</v>
      </c>
      <c r="C1056">
        <v>73</v>
      </c>
      <c r="D1056" t="s">
        <v>8</v>
      </c>
      <c r="E1056" t="str">
        <f>IFERROR(VLOOKUP(logos[[#This Row],[Cell_ID]],'registe maintenance'!A:B,2,FALSE)," non répertoriées")</f>
        <v xml:space="preserve"> non répertoriées</v>
      </c>
      <c r="F1056" t="str">
        <f>IFERROR(VLOOKUP(logos[[#This Row],[Cell_ID]],'registe maintenance'!A:C,3,FALSE)," non répertoriées")</f>
        <v xml:space="preserve"> non répertoriées</v>
      </c>
      <c r="G1056" t="str">
        <f>IFERROR(VLOOKUP(logos[[#This Row],[Cell_ID]],'registe maintenance'!A:D,4,FALSE)," non répertoriées")</f>
        <v xml:space="preserve"> non répertoriées</v>
      </c>
      <c r="H1056" t="str">
        <f>IFERROR(VLOOKUP(logos[[#This Row],[Cell_ID]],'registe maintenance'!A:E,5,FALSE)," non répertoriées")</f>
        <v xml:space="preserve"> non répertoriées</v>
      </c>
      <c r="I1056" t="str">
        <f>IFERROR(VLOOKUP(logos[[#This Row],[Cell_ID]],'registe maintenance'!A:F,6,FALSE)," non répertoriées")</f>
        <v xml:space="preserve"> non répertoriées</v>
      </c>
      <c r="J1056">
        <f>IFERROR(VLOOKUP(B1056,'logos transformer '!A:B,2,FALSE),"na")</f>
        <v>3</v>
      </c>
      <c r="K1056">
        <f>IFERROR(VLOOKUP(B1056,'logos transformer '!A:C,3,FALSE),"na")</f>
        <v>209</v>
      </c>
      <c r="L1056" s="1">
        <f>IFERROR(VLOOKUP(B1056,'logos transformer '!A:D,4,FALSE),"na")</f>
        <v>45202.695138888892</v>
      </c>
    </row>
    <row r="1057" spans="1:12" x14ac:dyDescent="0.3">
      <c r="A1057" s="1">
        <v>45208.711111111108</v>
      </c>
      <c r="B1057" t="s">
        <v>350</v>
      </c>
      <c r="C1057">
        <v>75</v>
      </c>
      <c r="D1057" t="s">
        <v>8</v>
      </c>
      <c r="E1057" t="str">
        <f>IFERROR(VLOOKUP(logos[[#This Row],[Cell_ID]],'registe maintenance'!A:B,2,FALSE)," non répertoriées")</f>
        <v xml:space="preserve"> non répertoriées</v>
      </c>
      <c r="F1057" t="str">
        <f>IFERROR(VLOOKUP(logos[[#This Row],[Cell_ID]],'registe maintenance'!A:C,3,FALSE)," non répertoriées")</f>
        <v xml:space="preserve"> non répertoriées</v>
      </c>
      <c r="G1057" t="str">
        <f>IFERROR(VLOOKUP(logos[[#This Row],[Cell_ID]],'registe maintenance'!A:D,4,FALSE)," non répertoriées")</f>
        <v xml:space="preserve"> non répertoriées</v>
      </c>
      <c r="H1057" t="str">
        <f>IFERROR(VLOOKUP(logos[[#This Row],[Cell_ID]],'registe maintenance'!A:E,5,FALSE)," non répertoriées")</f>
        <v xml:space="preserve"> non répertoriées</v>
      </c>
      <c r="I1057" t="str">
        <f>IFERROR(VLOOKUP(logos[[#This Row],[Cell_ID]],'registe maintenance'!A:F,6,FALSE)," non répertoriées")</f>
        <v xml:space="preserve"> non répertoriées</v>
      </c>
      <c r="J1057">
        <f>IFERROR(VLOOKUP(B1057,'logos transformer '!A:B,2,FALSE),"na")</f>
        <v>2</v>
      </c>
      <c r="K1057">
        <f>IFERROR(VLOOKUP(B1057,'logos transformer '!A:C,3,FALSE),"na")</f>
        <v>168</v>
      </c>
      <c r="L1057" s="1">
        <f>IFERROR(VLOOKUP(B1057,'logos transformer '!A:D,4,FALSE),"na")</f>
        <v>45208.711111111108</v>
      </c>
    </row>
    <row r="1058" spans="1:12" x14ac:dyDescent="0.3">
      <c r="A1058" s="1">
        <v>45218.331944444442</v>
      </c>
      <c r="B1058" t="s">
        <v>196</v>
      </c>
      <c r="C1058">
        <v>15</v>
      </c>
      <c r="D1058" t="s">
        <v>10</v>
      </c>
      <c r="E1058" t="str">
        <f>IFERROR(VLOOKUP(logos[[#This Row],[Cell_ID]],'registe maintenance'!A:B,2,FALSE)," non répertoriées")</f>
        <v>Nord-Kivu</v>
      </c>
      <c r="F1058">
        <f>IFERROR(VLOOKUP(logos[[#This Row],[Cell_ID]],'registe maintenance'!A:C,3,FALSE)," non répertoriées")</f>
        <v>-1.8555980000000001</v>
      </c>
      <c r="G1058">
        <f>IFERROR(VLOOKUP(logos[[#This Row],[Cell_ID]],'registe maintenance'!A:D,4,FALSE)," non répertoriées")</f>
        <v>30.421918000000002</v>
      </c>
      <c r="H1058" t="str">
        <f>IFERROR(VLOOKUP(logos[[#This Row],[Cell_ID]],'registe maintenance'!A:E,5,FALSE)," non répertoriées")</f>
        <v>3G</v>
      </c>
      <c r="I1058" t="str">
        <f>IFERROR(VLOOKUP(logos[[#This Row],[Cell_ID]],'registe maintenance'!A:F,6,FALSE)," non répertoriées")</f>
        <v>ZTE</v>
      </c>
      <c r="J1058">
        <f>IFERROR(VLOOKUP(B1058,'logos transformer '!A:B,2,FALSE),"na")</f>
        <v>5</v>
      </c>
      <c r="K1058">
        <f>IFERROR(VLOOKUP(B1058,'logos transformer '!A:C,3,FALSE),"na")</f>
        <v>226</v>
      </c>
      <c r="L1058" s="1">
        <f>IFERROR(VLOOKUP(B1058,'logos transformer '!A:D,4,FALSE),"na")</f>
        <v>45222.597222222219</v>
      </c>
    </row>
    <row r="1059" spans="1:12" x14ac:dyDescent="0.3">
      <c r="A1059" s="1">
        <v>45208.558333333327</v>
      </c>
      <c r="B1059" t="s">
        <v>651</v>
      </c>
      <c r="C1059">
        <v>44</v>
      </c>
      <c r="D1059" t="s">
        <v>10</v>
      </c>
      <c r="E1059" t="str">
        <f>IFERROR(VLOOKUP(logos[[#This Row],[Cell_ID]],'registe maintenance'!A:B,2,FALSE)," non répertoriées")</f>
        <v>Kasai-Central</v>
      </c>
      <c r="F1059">
        <f>IFERROR(VLOOKUP(logos[[#This Row],[Cell_ID]],'registe maintenance'!A:C,3,FALSE)," non répertoriées")</f>
        <v>-8.0800809999999998</v>
      </c>
      <c r="G1059">
        <f>IFERROR(VLOOKUP(logos[[#This Row],[Cell_ID]],'registe maintenance'!A:D,4,FALSE)," non répertoriées")</f>
        <v>30.147970999999998</v>
      </c>
      <c r="H1059" t="str">
        <f>IFERROR(VLOOKUP(logos[[#This Row],[Cell_ID]],'registe maintenance'!A:E,5,FALSE)," non répertoriées")</f>
        <v>5G</v>
      </c>
      <c r="I1059" t="str">
        <f>IFERROR(VLOOKUP(logos[[#This Row],[Cell_ID]],'registe maintenance'!A:F,6,FALSE)," non répertoriées")</f>
        <v>Huawei</v>
      </c>
      <c r="J1059">
        <f>IFERROR(VLOOKUP(B1059,'logos transformer '!A:B,2,FALSE),"na")</f>
        <v>2</v>
      </c>
      <c r="K1059">
        <f>IFERROR(VLOOKUP(B1059,'logos transformer '!A:C,3,FALSE),"na")</f>
        <v>148</v>
      </c>
      <c r="L1059" s="1">
        <f>IFERROR(VLOOKUP(B1059,'logos transformer '!A:D,4,FALSE),"na")</f>
        <v>45225.220833333333</v>
      </c>
    </row>
    <row r="1060" spans="1:12" x14ac:dyDescent="0.3">
      <c r="A1060" s="1">
        <v>45214.850694444453</v>
      </c>
      <c r="B1060" t="s">
        <v>354</v>
      </c>
      <c r="C1060">
        <v>31</v>
      </c>
      <c r="D1060" t="s">
        <v>10</v>
      </c>
      <c r="E1060" t="str">
        <f>IFERROR(VLOOKUP(logos[[#This Row],[Cell_ID]],'registe maintenance'!A:B,2,FALSE)," non répertoriées")</f>
        <v>Kasai-Oriental</v>
      </c>
      <c r="F1060">
        <f>IFERROR(VLOOKUP(logos[[#This Row],[Cell_ID]],'registe maintenance'!A:C,3,FALSE)," non répertoriées")</f>
        <v>-5.4073029999999997</v>
      </c>
      <c r="G1060">
        <f>IFERROR(VLOOKUP(logos[[#This Row],[Cell_ID]],'registe maintenance'!A:D,4,FALSE)," non répertoriées")</f>
        <v>29.762294000000001</v>
      </c>
      <c r="H1060" t="str">
        <f>IFERROR(VLOOKUP(logos[[#This Row],[Cell_ID]],'registe maintenance'!A:E,5,FALSE)," non répertoriées")</f>
        <v>3G</v>
      </c>
      <c r="I1060" t="str">
        <f>IFERROR(VLOOKUP(logos[[#This Row],[Cell_ID]],'registe maintenance'!A:F,6,FALSE)," non répertoriées")</f>
        <v>Ericsson</v>
      </c>
      <c r="J1060">
        <f>IFERROR(VLOOKUP(B1060,'logos transformer '!A:B,2,FALSE),"na")</f>
        <v>2</v>
      </c>
      <c r="K1060">
        <f>IFERROR(VLOOKUP(B1060,'logos transformer '!A:C,3,FALSE),"na")</f>
        <v>97</v>
      </c>
      <c r="L1060" s="1">
        <f>IFERROR(VLOOKUP(B1060,'logos transformer '!A:D,4,FALSE),"na")</f>
        <v>45214.850694444445</v>
      </c>
    </row>
    <row r="1061" spans="1:12" x14ac:dyDescent="0.3">
      <c r="A1061" s="1">
        <v>45213.417361111111</v>
      </c>
      <c r="B1061" t="s">
        <v>335</v>
      </c>
      <c r="C1061">
        <v>100</v>
      </c>
      <c r="D1061" t="s">
        <v>5</v>
      </c>
      <c r="E1061" t="str">
        <f>IFERROR(VLOOKUP(logos[[#This Row],[Cell_ID]],'registe maintenance'!A:B,2,FALSE)," non répertoriées")</f>
        <v xml:space="preserve"> non répertoriées</v>
      </c>
      <c r="F1061" t="str">
        <f>IFERROR(VLOOKUP(logos[[#This Row],[Cell_ID]],'registe maintenance'!A:C,3,FALSE)," non répertoriées")</f>
        <v xml:space="preserve"> non répertoriées</v>
      </c>
      <c r="G1061" t="str">
        <f>IFERROR(VLOOKUP(logos[[#This Row],[Cell_ID]],'registe maintenance'!A:D,4,FALSE)," non répertoriées")</f>
        <v xml:space="preserve"> non répertoriées</v>
      </c>
      <c r="H1061" t="str">
        <f>IFERROR(VLOOKUP(logos[[#This Row],[Cell_ID]],'registe maintenance'!A:E,5,FALSE)," non répertoriées")</f>
        <v xml:space="preserve"> non répertoriées</v>
      </c>
      <c r="I1061" t="str">
        <f>IFERROR(VLOOKUP(logos[[#This Row],[Cell_ID]],'registe maintenance'!A:F,6,FALSE)," non répertoriées")</f>
        <v xml:space="preserve"> non répertoriées</v>
      </c>
      <c r="J1061">
        <f>IFERROR(VLOOKUP(B1061,'logos transformer '!A:B,2,FALSE),"na")</f>
        <v>5</v>
      </c>
      <c r="K1061">
        <f>IFERROR(VLOOKUP(B1061,'logos transformer '!A:C,3,FALSE),"na")</f>
        <v>312</v>
      </c>
      <c r="L1061" s="1">
        <f>IFERROR(VLOOKUP(B1061,'logos transformer '!A:D,4,FALSE),"na")</f>
        <v>45224.288194444445</v>
      </c>
    </row>
    <row r="1062" spans="1:12" x14ac:dyDescent="0.3">
      <c r="A1062" s="1">
        <v>45212.879861111112</v>
      </c>
      <c r="B1062" t="s">
        <v>348</v>
      </c>
      <c r="C1062">
        <v>99</v>
      </c>
      <c r="D1062" t="s">
        <v>5</v>
      </c>
      <c r="E1062" t="str">
        <f>IFERROR(VLOOKUP(logos[[#This Row],[Cell_ID]],'registe maintenance'!A:B,2,FALSE)," non répertoriées")</f>
        <v xml:space="preserve"> non répertoriées</v>
      </c>
      <c r="F1062" t="str">
        <f>IFERROR(VLOOKUP(logos[[#This Row],[Cell_ID]],'registe maintenance'!A:C,3,FALSE)," non répertoriées")</f>
        <v xml:space="preserve"> non répertoriées</v>
      </c>
      <c r="G1062" t="str">
        <f>IFERROR(VLOOKUP(logos[[#This Row],[Cell_ID]],'registe maintenance'!A:D,4,FALSE)," non répertoriées")</f>
        <v xml:space="preserve"> non répertoriées</v>
      </c>
      <c r="H1062" t="str">
        <f>IFERROR(VLOOKUP(logos[[#This Row],[Cell_ID]],'registe maintenance'!A:E,5,FALSE)," non répertoriées")</f>
        <v xml:space="preserve"> non répertoriées</v>
      </c>
      <c r="I1062" t="str">
        <f>IFERROR(VLOOKUP(logos[[#This Row],[Cell_ID]],'registe maintenance'!A:F,6,FALSE)," non répertoriées")</f>
        <v xml:space="preserve"> non répertoriées</v>
      </c>
      <c r="J1062">
        <f>IFERROR(VLOOKUP(B1062,'logos transformer '!A:B,2,FALSE),"na")</f>
        <v>2</v>
      </c>
      <c r="K1062">
        <f>IFERROR(VLOOKUP(B1062,'logos transformer '!A:C,3,FALSE),"na")</f>
        <v>195</v>
      </c>
      <c r="L1062" s="1">
        <f>IFERROR(VLOOKUP(B1062,'logos transformer '!A:D,4,FALSE),"na")</f>
        <v>45220.262499999997</v>
      </c>
    </row>
    <row r="1063" spans="1:12" x14ac:dyDescent="0.3">
      <c r="A1063" s="1">
        <v>45217.02847222222</v>
      </c>
      <c r="B1063" t="s">
        <v>310</v>
      </c>
      <c r="C1063">
        <v>120</v>
      </c>
      <c r="D1063" t="s">
        <v>10</v>
      </c>
      <c r="E1063" t="str">
        <f>IFERROR(VLOOKUP(logos[[#This Row],[Cell_ID]],'registe maintenance'!A:B,2,FALSE)," non répertoriées")</f>
        <v>Sud-Kivu</v>
      </c>
      <c r="F1063">
        <f>IFERROR(VLOOKUP(logos[[#This Row],[Cell_ID]],'registe maintenance'!A:C,3,FALSE)," non répertoriées")</f>
        <v>-4.1694589999999998</v>
      </c>
      <c r="G1063">
        <f>IFERROR(VLOOKUP(logos[[#This Row],[Cell_ID]],'registe maintenance'!A:D,4,FALSE)," non répertoriées")</f>
        <v>23.376487000000001</v>
      </c>
      <c r="H1063" t="str">
        <f>IFERROR(VLOOKUP(logos[[#This Row],[Cell_ID]],'registe maintenance'!A:E,5,FALSE)," non répertoriées")</f>
        <v>3G</v>
      </c>
      <c r="I1063" t="str">
        <f>IFERROR(VLOOKUP(logos[[#This Row],[Cell_ID]],'registe maintenance'!A:F,6,FALSE)," non répertoriées")</f>
        <v>Nokia</v>
      </c>
      <c r="J1063">
        <f>IFERROR(VLOOKUP(B1063,'logos transformer '!A:B,2,FALSE),"na")</f>
        <v>2</v>
      </c>
      <c r="K1063">
        <f>IFERROR(VLOOKUP(B1063,'logos transformer '!A:C,3,FALSE),"na")</f>
        <v>177</v>
      </c>
      <c r="L1063" s="1">
        <f>IFERROR(VLOOKUP(B1063,'logos transformer '!A:D,4,FALSE),"na")</f>
        <v>45230.863888888889</v>
      </c>
    </row>
    <row r="1064" spans="1:12" x14ac:dyDescent="0.3">
      <c r="A1064" s="1">
        <v>45223.794444444437</v>
      </c>
      <c r="B1064" t="s">
        <v>660</v>
      </c>
      <c r="C1064">
        <v>97</v>
      </c>
      <c r="D1064" t="s">
        <v>5</v>
      </c>
      <c r="E1064" t="str">
        <f>IFERROR(VLOOKUP(logos[[#This Row],[Cell_ID]],'registe maintenance'!A:B,2,FALSE)," non répertoriées")</f>
        <v>Haut-Uele</v>
      </c>
      <c r="F1064">
        <f>IFERROR(VLOOKUP(logos[[#This Row],[Cell_ID]],'registe maintenance'!A:C,3,FALSE)," non répertoriées")</f>
        <v>1.0134879999999999</v>
      </c>
      <c r="G1064">
        <f>IFERROR(VLOOKUP(logos[[#This Row],[Cell_ID]],'registe maintenance'!A:D,4,FALSE)," non répertoriées")</f>
        <v>20.363515</v>
      </c>
      <c r="H1064" t="str">
        <f>IFERROR(VLOOKUP(logos[[#This Row],[Cell_ID]],'registe maintenance'!A:E,5,FALSE)," non répertoriées")</f>
        <v>4G</v>
      </c>
      <c r="I1064" t="str">
        <f>IFERROR(VLOOKUP(logos[[#This Row],[Cell_ID]],'registe maintenance'!A:F,6,FALSE)," non répertoriées")</f>
        <v>Nokia</v>
      </c>
      <c r="J1064">
        <f>IFERROR(VLOOKUP(B1064,'logos transformer '!A:B,2,FALSE),"na")</f>
        <v>1</v>
      </c>
      <c r="K1064">
        <f>IFERROR(VLOOKUP(B1064,'logos transformer '!A:C,3,FALSE),"na")</f>
        <v>97</v>
      </c>
      <c r="L1064" s="1">
        <f>IFERROR(VLOOKUP(B1064,'logos transformer '!A:D,4,FALSE),"na")</f>
        <v>45223.794444444444</v>
      </c>
    </row>
    <row r="1065" spans="1:12" x14ac:dyDescent="0.3">
      <c r="A1065" s="1">
        <v>45224.984027777777</v>
      </c>
      <c r="B1065" t="s">
        <v>661</v>
      </c>
      <c r="C1065">
        <v>49</v>
      </c>
      <c r="D1065" t="s">
        <v>5</v>
      </c>
      <c r="E1065" t="str">
        <f>IFERROR(VLOOKUP(logos[[#This Row],[Cell_ID]],'registe maintenance'!A:B,2,FALSE)," non répertoriées")</f>
        <v xml:space="preserve"> non répertoriées</v>
      </c>
      <c r="F1065" t="str">
        <f>IFERROR(VLOOKUP(logos[[#This Row],[Cell_ID]],'registe maintenance'!A:C,3,FALSE)," non répertoriées")</f>
        <v xml:space="preserve"> non répertoriées</v>
      </c>
      <c r="G1065" t="str">
        <f>IFERROR(VLOOKUP(logos[[#This Row],[Cell_ID]],'registe maintenance'!A:D,4,FALSE)," non répertoriées")</f>
        <v xml:space="preserve"> non répertoriées</v>
      </c>
      <c r="H1065" t="str">
        <f>IFERROR(VLOOKUP(logos[[#This Row],[Cell_ID]],'registe maintenance'!A:E,5,FALSE)," non répertoriées")</f>
        <v xml:space="preserve"> non répertoriées</v>
      </c>
      <c r="I1065" t="str">
        <f>IFERROR(VLOOKUP(logos[[#This Row],[Cell_ID]],'registe maintenance'!A:F,6,FALSE)," non répertoriées")</f>
        <v xml:space="preserve"> non répertoriées</v>
      </c>
      <c r="J1065">
        <f>IFERROR(VLOOKUP(B1065,'logos transformer '!A:B,2,FALSE),"na")</f>
        <v>1</v>
      </c>
      <c r="K1065">
        <f>IFERROR(VLOOKUP(B1065,'logos transformer '!A:C,3,FALSE),"na")</f>
        <v>49</v>
      </c>
      <c r="L1065" s="1">
        <f>IFERROR(VLOOKUP(B1065,'logos transformer '!A:D,4,FALSE),"na")</f>
        <v>45224.984027777777</v>
      </c>
    </row>
    <row r="1066" spans="1:12" x14ac:dyDescent="0.3">
      <c r="A1066" s="1">
        <v>45201.95416666667</v>
      </c>
      <c r="B1066" t="s">
        <v>662</v>
      </c>
      <c r="C1066">
        <v>32</v>
      </c>
      <c r="D1066" t="s">
        <v>8</v>
      </c>
      <c r="E1066" t="str">
        <f>IFERROR(VLOOKUP(logos[[#This Row],[Cell_ID]],'registe maintenance'!A:B,2,FALSE)," non répertoriées")</f>
        <v xml:space="preserve"> non répertoriées</v>
      </c>
      <c r="F1066" t="str">
        <f>IFERROR(VLOOKUP(logos[[#This Row],[Cell_ID]],'registe maintenance'!A:C,3,FALSE)," non répertoriées")</f>
        <v xml:space="preserve"> non répertoriées</v>
      </c>
      <c r="G1066" t="str">
        <f>IFERROR(VLOOKUP(logos[[#This Row],[Cell_ID]],'registe maintenance'!A:D,4,FALSE)," non répertoriées")</f>
        <v xml:space="preserve"> non répertoriées</v>
      </c>
      <c r="H1066" t="str">
        <f>IFERROR(VLOOKUP(logos[[#This Row],[Cell_ID]],'registe maintenance'!A:E,5,FALSE)," non répertoriées")</f>
        <v xml:space="preserve"> non répertoriées</v>
      </c>
      <c r="I1066" t="str">
        <f>IFERROR(VLOOKUP(logos[[#This Row],[Cell_ID]],'registe maintenance'!A:F,6,FALSE)," non répertoriées")</f>
        <v xml:space="preserve"> non répertoriées</v>
      </c>
      <c r="J1066">
        <f>IFERROR(VLOOKUP(B1066,'logos transformer '!A:B,2,FALSE),"na")</f>
        <v>1</v>
      </c>
      <c r="K1066">
        <f>IFERROR(VLOOKUP(B1066,'logos transformer '!A:C,3,FALSE),"na")</f>
        <v>32</v>
      </c>
      <c r="L1066" s="1">
        <f>IFERROR(VLOOKUP(B1066,'logos transformer '!A:D,4,FALSE),"na")</f>
        <v>45201.95416666667</v>
      </c>
    </row>
    <row r="1067" spans="1:12" x14ac:dyDescent="0.3">
      <c r="A1067" s="1">
        <v>45202.499305555553</v>
      </c>
      <c r="B1067" t="s">
        <v>536</v>
      </c>
      <c r="C1067">
        <v>57</v>
      </c>
      <c r="D1067" t="s">
        <v>8</v>
      </c>
      <c r="E1067" t="str">
        <f>IFERROR(VLOOKUP(logos[[#This Row],[Cell_ID]],'registe maintenance'!A:B,2,FALSE)," non répertoriées")</f>
        <v xml:space="preserve"> non répertoriées</v>
      </c>
      <c r="F1067" t="str">
        <f>IFERROR(VLOOKUP(logos[[#This Row],[Cell_ID]],'registe maintenance'!A:C,3,FALSE)," non répertoriées")</f>
        <v xml:space="preserve"> non répertoriées</v>
      </c>
      <c r="G1067" t="str">
        <f>IFERROR(VLOOKUP(logos[[#This Row],[Cell_ID]],'registe maintenance'!A:D,4,FALSE)," non répertoriées")</f>
        <v xml:space="preserve"> non répertoriées</v>
      </c>
      <c r="H1067" t="str">
        <f>IFERROR(VLOOKUP(logos[[#This Row],[Cell_ID]],'registe maintenance'!A:E,5,FALSE)," non répertoriées")</f>
        <v xml:space="preserve"> non répertoriées</v>
      </c>
      <c r="I1067" t="str">
        <f>IFERROR(VLOOKUP(logos[[#This Row],[Cell_ID]],'registe maintenance'!A:F,6,FALSE)," non répertoriées")</f>
        <v xml:space="preserve"> non répertoriées</v>
      </c>
      <c r="J1067">
        <f>IFERROR(VLOOKUP(B1067,'logos transformer '!A:B,2,FALSE),"na")</f>
        <v>2</v>
      </c>
      <c r="K1067">
        <f>IFERROR(VLOOKUP(B1067,'logos transformer '!A:C,3,FALSE),"na")</f>
        <v>131</v>
      </c>
      <c r="L1067" s="1">
        <f>IFERROR(VLOOKUP(B1067,'logos transformer '!A:D,4,FALSE),"na")</f>
        <v>45216.001388888886</v>
      </c>
    </row>
    <row r="1068" spans="1:12" x14ac:dyDescent="0.3">
      <c r="A1068" s="1">
        <v>45216.137499999997</v>
      </c>
      <c r="B1068" t="s">
        <v>663</v>
      </c>
      <c r="C1068">
        <v>120</v>
      </c>
      <c r="D1068" t="s">
        <v>8</v>
      </c>
      <c r="E1068" t="str">
        <f>IFERROR(VLOOKUP(logos[[#This Row],[Cell_ID]],'registe maintenance'!A:B,2,FALSE)," non répertoriées")</f>
        <v>Mongala</v>
      </c>
      <c r="F1068">
        <f>IFERROR(VLOOKUP(logos[[#This Row],[Cell_ID]],'registe maintenance'!A:C,3,FALSE)," non répertoriées")</f>
        <v>-7.2267089999999996</v>
      </c>
      <c r="G1068">
        <f>IFERROR(VLOOKUP(logos[[#This Row],[Cell_ID]],'registe maintenance'!A:D,4,FALSE)," non répertoriées")</f>
        <v>28.421362999999999</v>
      </c>
      <c r="H1068" t="str">
        <f>IFERROR(VLOOKUP(logos[[#This Row],[Cell_ID]],'registe maintenance'!A:E,5,FALSE)," non répertoriées")</f>
        <v>5G</v>
      </c>
      <c r="I1068" t="str">
        <f>IFERROR(VLOOKUP(logos[[#This Row],[Cell_ID]],'registe maintenance'!A:F,6,FALSE)," non répertoriées")</f>
        <v>Ericsson</v>
      </c>
      <c r="J1068">
        <f>IFERROR(VLOOKUP(B1068,'logos transformer '!A:B,2,FALSE),"na")</f>
        <v>1</v>
      </c>
      <c r="K1068">
        <f>IFERROR(VLOOKUP(B1068,'logos transformer '!A:C,3,FALSE),"na")</f>
        <v>120</v>
      </c>
      <c r="L1068" s="1">
        <f>IFERROR(VLOOKUP(B1068,'logos transformer '!A:D,4,FALSE),"na")</f>
        <v>45216.137499999997</v>
      </c>
    </row>
    <row r="1069" spans="1:12" x14ac:dyDescent="0.3">
      <c r="A1069" s="1">
        <v>45225.888194444437</v>
      </c>
      <c r="B1069" t="s">
        <v>664</v>
      </c>
      <c r="C1069">
        <v>87</v>
      </c>
      <c r="D1069" t="s">
        <v>10</v>
      </c>
      <c r="E1069" t="str">
        <f>IFERROR(VLOOKUP(logos[[#This Row],[Cell_ID]],'registe maintenance'!A:B,2,FALSE)," non répertoriées")</f>
        <v>Haut-Lomami</v>
      </c>
      <c r="F1069">
        <f>IFERROR(VLOOKUP(logos[[#This Row],[Cell_ID]],'registe maintenance'!A:C,3,FALSE)," non répertoriées")</f>
        <v>-5.8145569999999998</v>
      </c>
      <c r="G1069">
        <f>IFERROR(VLOOKUP(logos[[#This Row],[Cell_ID]],'registe maintenance'!A:D,4,FALSE)," non répertoriées")</f>
        <v>21.942052</v>
      </c>
      <c r="H1069" t="str">
        <f>IFERROR(VLOOKUP(logos[[#This Row],[Cell_ID]],'registe maintenance'!A:E,5,FALSE)," non répertoriées")</f>
        <v>5G</v>
      </c>
      <c r="I1069" t="str">
        <f>IFERROR(VLOOKUP(logos[[#This Row],[Cell_ID]],'registe maintenance'!A:F,6,FALSE)," non répertoriées")</f>
        <v>Huawei</v>
      </c>
      <c r="J1069">
        <f>IFERROR(VLOOKUP(B1069,'logos transformer '!A:B,2,FALSE),"na")</f>
        <v>1</v>
      </c>
      <c r="K1069">
        <f>IFERROR(VLOOKUP(B1069,'logos transformer '!A:C,3,FALSE),"na")</f>
        <v>87</v>
      </c>
      <c r="L1069" s="1">
        <f>IFERROR(VLOOKUP(B1069,'logos transformer '!A:D,4,FALSE),"na")</f>
        <v>45225.888194444444</v>
      </c>
    </row>
    <row r="1070" spans="1:12" x14ac:dyDescent="0.3">
      <c r="A1070" s="1">
        <v>45219.095833333333</v>
      </c>
      <c r="B1070" t="s">
        <v>171</v>
      </c>
      <c r="C1070">
        <v>113</v>
      </c>
      <c r="D1070" t="s">
        <v>10</v>
      </c>
      <c r="E1070" t="str">
        <f>IFERROR(VLOOKUP(logos[[#This Row],[Cell_ID]],'registe maintenance'!A:B,2,FALSE)," non répertoriées")</f>
        <v>Bas-Uele</v>
      </c>
      <c r="F1070">
        <f>IFERROR(VLOOKUP(logos[[#This Row],[Cell_ID]],'registe maintenance'!A:C,3,FALSE)," non répertoriées")</f>
        <v>-3.6945459999999999</v>
      </c>
      <c r="G1070">
        <f>IFERROR(VLOOKUP(logos[[#This Row],[Cell_ID]],'registe maintenance'!A:D,4,FALSE)," non répertoriées")</f>
        <v>16.809108999999999</v>
      </c>
      <c r="H1070" t="str">
        <f>IFERROR(VLOOKUP(logos[[#This Row],[Cell_ID]],'registe maintenance'!A:E,5,FALSE)," non répertoriées")</f>
        <v>5G</v>
      </c>
      <c r="I1070" t="str">
        <f>IFERROR(VLOOKUP(logos[[#This Row],[Cell_ID]],'registe maintenance'!A:F,6,FALSE)," non répertoriées")</f>
        <v>ZTE</v>
      </c>
      <c r="J1070">
        <f>IFERROR(VLOOKUP(B1070,'logos transformer '!A:B,2,FALSE),"na")</f>
        <v>4</v>
      </c>
      <c r="K1070">
        <f>IFERROR(VLOOKUP(B1070,'logos transformer '!A:C,3,FALSE),"na")</f>
        <v>258</v>
      </c>
      <c r="L1070" s="1">
        <f>IFERROR(VLOOKUP(B1070,'logos transformer '!A:D,4,FALSE),"na")</f>
        <v>45228.614583333336</v>
      </c>
    </row>
    <row r="1071" spans="1:12" x14ac:dyDescent="0.3">
      <c r="A1071" s="1">
        <v>45224.6</v>
      </c>
      <c r="B1071" t="s">
        <v>665</v>
      </c>
      <c r="C1071">
        <v>70</v>
      </c>
      <c r="D1071" t="s">
        <v>10</v>
      </c>
      <c r="E1071" t="str">
        <f>IFERROR(VLOOKUP(logos[[#This Row],[Cell_ID]],'registe maintenance'!A:B,2,FALSE)," non répertoriées")</f>
        <v xml:space="preserve"> non répertoriées</v>
      </c>
      <c r="F1071" t="str">
        <f>IFERROR(VLOOKUP(logos[[#This Row],[Cell_ID]],'registe maintenance'!A:C,3,FALSE)," non répertoriées")</f>
        <v xml:space="preserve"> non répertoriées</v>
      </c>
      <c r="G1071" t="str">
        <f>IFERROR(VLOOKUP(logos[[#This Row],[Cell_ID]],'registe maintenance'!A:D,4,FALSE)," non répertoriées")</f>
        <v xml:space="preserve"> non répertoriées</v>
      </c>
      <c r="H1071" t="str">
        <f>IFERROR(VLOOKUP(logos[[#This Row],[Cell_ID]],'registe maintenance'!A:E,5,FALSE)," non répertoriées")</f>
        <v xml:space="preserve"> non répertoriées</v>
      </c>
      <c r="I1071" t="str">
        <f>IFERROR(VLOOKUP(logos[[#This Row],[Cell_ID]],'registe maintenance'!A:F,6,FALSE)," non répertoriées")</f>
        <v xml:space="preserve"> non répertoriées</v>
      </c>
      <c r="J1071">
        <f>IFERROR(VLOOKUP(B1071,'logos transformer '!A:B,2,FALSE),"na")</f>
        <v>1</v>
      </c>
      <c r="K1071">
        <f>IFERROR(VLOOKUP(B1071,'logos transformer '!A:C,3,FALSE),"na")</f>
        <v>70</v>
      </c>
      <c r="L1071" s="1">
        <f>IFERROR(VLOOKUP(B1071,'logos transformer '!A:D,4,FALSE),"na")</f>
        <v>45224.6</v>
      </c>
    </row>
    <row r="1072" spans="1:12" x14ac:dyDescent="0.3">
      <c r="A1072" s="1">
        <v>45212.875694444447</v>
      </c>
      <c r="B1072" t="s">
        <v>666</v>
      </c>
      <c r="C1072">
        <v>23</v>
      </c>
      <c r="D1072" t="s">
        <v>5</v>
      </c>
      <c r="E1072" t="str">
        <f>IFERROR(VLOOKUP(logos[[#This Row],[Cell_ID]],'registe maintenance'!A:B,2,FALSE)," non répertoriées")</f>
        <v>Kwilu</v>
      </c>
      <c r="F1072">
        <f>IFERROR(VLOOKUP(logos[[#This Row],[Cell_ID]],'registe maintenance'!A:C,3,FALSE)," non répertoriées")</f>
        <v>1.2691650000000001</v>
      </c>
      <c r="G1072">
        <f>IFERROR(VLOOKUP(logos[[#This Row],[Cell_ID]],'registe maintenance'!A:D,4,FALSE)," non répertoriées")</f>
        <v>18.789956</v>
      </c>
      <c r="H1072" t="str">
        <f>IFERROR(VLOOKUP(logos[[#This Row],[Cell_ID]],'registe maintenance'!A:E,5,FALSE)," non répertoriées")</f>
        <v>3G</v>
      </c>
      <c r="I1072" t="str">
        <f>IFERROR(VLOOKUP(logos[[#This Row],[Cell_ID]],'registe maintenance'!A:F,6,FALSE)," non répertoriées")</f>
        <v>Nokia</v>
      </c>
      <c r="J1072">
        <f>IFERROR(VLOOKUP(B1072,'logos transformer '!A:B,2,FALSE),"na")</f>
        <v>1</v>
      </c>
      <c r="K1072">
        <f>IFERROR(VLOOKUP(B1072,'logos transformer '!A:C,3,FALSE),"na")</f>
        <v>23</v>
      </c>
      <c r="L1072" s="1">
        <f>IFERROR(VLOOKUP(B1072,'logos transformer '!A:D,4,FALSE),"na")</f>
        <v>45212.875694444447</v>
      </c>
    </row>
    <row r="1073" spans="1:12" x14ac:dyDescent="0.3">
      <c r="A1073" s="1">
        <v>45215.231944444437</v>
      </c>
      <c r="B1073" t="s">
        <v>335</v>
      </c>
      <c r="C1073">
        <v>25</v>
      </c>
      <c r="D1073" t="s">
        <v>8</v>
      </c>
      <c r="E1073" t="str">
        <f>IFERROR(VLOOKUP(logos[[#This Row],[Cell_ID]],'registe maintenance'!A:B,2,FALSE)," non répertoriées")</f>
        <v xml:space="preserve"> non répertoriées</v>
      </c>
      <c r="F1073" t="str">
        <f>IFERROR(VLOOKUP(logos[[#This Row],[Cell_ID]],'registe maintenance'!A:C,3,FALSE)," non répertoriées")</f>
        <v xml:space="preserve"> non répertoriées</v>
      </c>
      <c r="G1073" t="str">
        <f>IFERROR(VLOOKUP(logos[[#This Row],[Cell_ID]],'registe maintenance'!A:D,4,FALSE)," non répertoriées")</f>
        <v xml:space="preserve"> non répertoriées</v>
      </c>
      <c r="H1073" t="str">
        <f>IFERROR(VLOOKUP(logos[[#This Row],[Cell_ID]],'registe maintenance'!A:E,5,FALSE)," non répertoriées")</f>
        <v xml:space="preserve"> non répertoriées</v>
      </c>
      <c r="I1073" t="str">
        <f>IFERROR(VLOOKUP(logos[[#This Row],[Cell_ID]],'registe maintenance'!A:F,6,FALSE)," non répertoriées")</f>
        <v xml:space="preserve"> non répertoriées</v>
      </c>
      <c r="J1073">
        <f>IFERROR(VLOOKUP(B1073,'logos transformer '!A:B,2,FALSE),"na")</f>
        <v>5</v>
      </c>
      <c r="K1073">
        <f>IFERROR(VLOOKUP(B1073,'logos transformer '!A:C,3,FALSE),"na")</f>
        <v>312</v>
      </c>
      <c r="L1073" s="1">
        <f>IFERROR(VLOOKUP(B1073,'logos transformer '!A:D,4,FALSE),"na")</f>
        <v>45224.288194444445</v>
      </c>
    </row>
    <row r="1074" spans="1:12" x14ac:dyDescent="0.3">
      <c r="A1074" s="1">
        <v>45207.199305555558</v>
      </c>
      <c r="B1074" t="s">
        <v>596</v>
      </c>
      <c r="C1074">
        <v>28</v>
      </c>
      <c r="D1074" t="s">
        <v>8</v>
      </c>
      <c r="E1074" t="str">
        <f>IFERROR(VLOOKUP(logos[[#This Row],[Cell_ID]],'registe maintenance'!A:B,2,FALSE)," non répertoriées")</f>
        <v xml:space="preserve"> non répertoriées</v>
      </c>
      <c r="F1074" t="str">
        <f>IFERROR(VLOOKUP(logos[[#This Row],[Cell_ID]],'registe maintenance'!A:C,3,FALSE)," non répertoriées")</f>
        <v xml:space="preserve"> non répertoriées</v>
      </c>
      <c r="G1074" t="str">
        <f>IFERROR(VLOOKUP(logos[[#This Row],[Cell_ID]],'registe maintenance'!A:D,4,FALSE)," non répertoriées")</f>
        <v xml:space="preserve"> non répertoriées</v>
      </c>
      <c r="H1074" t="str">
        <f>IFERROR(VLOOKUP(logos[[#This Row],[Cell_ID]],'registe maintenance'!A:E,5,FALSE)," non répertoriées")</f>
        <v xml:space="preserve"> non répertoriées</v>
      </c>
      <c r="I1074" t="str">
        <f>IFERROR(VLOOKUP(logos[[#This Row],[Cell_ID]],'registe maintenance'!A:F,6,FALSE)," non répertoriées")</f>
        <v xml:space="preserve"> non répertoriées</v>
      </c>
      <c r="J1074">
        <f>IFERROR(VLOOKUP(B1074,'logos transformer '!A:B,2,FALSE),"na")</f>
        <v>2</v>
      </c>
      <c r="K1074">
        <f>IFERROR(VLOOKUP(B1074,'logos transformer '!A:C,3,FALSE),"na")</f>
        <v>115</v>
      </c>
      <c r="L1074" s="1">
        <f>IFERROR(VLOOKUP(B1074,'logos transformer '!A:D,4,FALSE),"na")</f>
        <v>45214.081944444442</v>
      </c>
    </row>
    <row r="1075" spans="1:12" x14ac:dyDescent="0.3">
      <c r="A1075" s="1">
        <v>45212.720833333333</v>
      </c>
      <c r="B1075" t="s">
        <v>667</v>
      </c>
      <c r="C1075">
        <v>33</v>
      </c>
      <c r="D1075" t="s">
        <v>10</v>
      </c>
      <c r="E1075" t="str">
        <f>IFERROR(VLOOKUP(logos[[#This Row],[Cell_ID]],'registe maintenance'!A:B,2,FALSE)," non répertoriées")</f>
        <v>Tshuapa</v>
      </c>
      <c r="F1075">
        <f>IFERROR(VLOOKUP(logos[[#This Row],[Cell_ID]],'registe maintenance'!A:C,3,FALSE)," non répertoriées")</f>
        <v>-5.7957599999999996</v>
      </c>
      <c r="G1075">
        <f>IFERROR(VLOOKUP(logos[[#This Row],[Cell_ID]],'registe maintenance'!A:D,4,FALSE)," non répertoriées")</f>
        <v>14.078258</v>
      </c>
      <c r="H1075" t="str">
        <f>IFERROR(VLOOKUP(logos[[#This Row],[Cell_ID]],'registe maintenance'!A:E,5,FALSE)," non répertoriées")</f>
        <v>5G</v>
      </c>
      <c r="I1075" t="str">
        <f>IFERROR(VLOOKUP(logos[[#This Row],[Cell_ID]],'registe maintenance'!A:F,6,FALSE)," non répertoriées")</f>
        <v>Ericsson</v>
      </c>
      <c r="J1075">
        <f>IFERROR(VLOOKUP(B1075,'logos transformer '!A:B,2,FALSE),"na")</f>
        <v>1</v>
      </c>
      <c r="K1075">
        <f>IFERROR(VLOOKUP(B1075,'logos transformer '!A:C,3,FALSE),"na")</f>
        <v>33</v>
      </c>
      <c r="L1075" s="1">
        <f>IFERROR(VLOOKUP(B1075,'logos transformer '!A:D,4,FALSE),"na")</f>
        <v>45212.720833333333</v>
      </c>
    </row>
    <row r="1076" spans="1:12" x14ac:dyDescent="0.3">
      <c r="A1076" s="1">
        <v>45230.839583333327</v>
      </c>
      <c r="B1076" t="s">
        <v>384</v>
      </c>
      <c r="C1076">
        <v>83</v>
      </c>
      <c r="D1076" t="s">
        <v>10</v>
      </c>
      <c r="E1076" t="str">
        <f>IFERROR(VLOOKUP(logos[[#This Row],[Cell_ID]],'registe maintenance'!A:B,2,FALSE)," non répertoriées")</f>
        <v>Equateur</v>
      </c>
      <c r="F1076">
        <f>IFERROR(VLOOKUP(logos[[#This Row],[Cell_ID]],'registe maintenance'!A:C,3,FALSE)," non répertoriées")</f>
        <v>-0.79459900000000006</v>
      </c>
      <c r="G1076">
        <f>IFERROR(VLOOKUP(logos[[#This Row],[Cell_ID]],'registe maintenance'!A:D,4,FALSE)," non répertoriées")</f>
        <v>26.775570999999999</v>
      </c>
      <c r="H1076" t="str">
        <f>IFERROR(VLOOKUP(logos[[#This Row],[Cell_ID]],'registe maintenance'!A:E,5,FALSE)," non répertoriées")</f>
        <v>5G</v>
      </c>
      <c r="I1076" t="str">
        <f>IFERROR(VLOOKUP(logos[[#This Row],[Cell_ID]],'registe maintenance'!A:F,6,FALSE)," non répertoriées")</f>
        <v>Huawei</v>
      </c>
      <c r="J1076">
        <f>IFERROR(VLOOKUP(B1076,'logos transformer '!A:B,2,FALSE),"na")</f>
        <v>3</v>
      </c>
      <c r="K1076">
        <f>IFERROR(VLOOKUP(B1076,'logos transformer '!A:C,3,FALSE),"na")</f>
        <v>222</v>
      </c>
      <c r="L1076" s="1">
        <f>IFERROR(VLOOKUP(B1076,'logos transformer '!A:D,4,FALSE),"na")</f>
        <v>45230.839583333334</v>
      </c>
    </row>
    <row r="1077" spans="1:12" x14ac:dyDescent="0.3">
      <c r="A1077" s="1">
        <v>45209.913888888892</v>
      </c>
      <c r="B1077" t="s">
        <v>322</v>
      </c>
      <c r="C1077">
        <v>111</v>
      </c>
      <c r="D1077" t="s">
        <v>10</v>
      </c>
      <c r="E1077" t="str">
        <f>IFERROR(VLOOKUP(logos[[#This Row],[Cell_ID]],'registe maintenance'!A:B,2,FALSE)," non répertoriées")</f>
        <v>Bas-Uele</v>
      </c>
      <c r="F1077">
        <f>IFERROR(VLOOKUP(logos[[#This Row],[Cell_ID]],'registe maintenance'!A:C,3,FALSE)," non répertoriées")</f>
        <v>-6.4197189999999997</v>
      </c>
      <c r="G1077">
        <f>IFERROR(VLOOKUP(logos[[#This Row],[Cell_ID]],'registe maintenance'!A:D,4,FALSE)," non répertoriées")</f>
        <v>22.287264</v>
      </c>
      <c r="H1077" t="str">
        <f>IFERROR(VLOOKUP(logos[[#This Row],[Cell_ID]],'registe maintenance'!A:E,5,FALSE)," non répertoriées")</f>
        <v>3G</v>
      </c>
      <c r="I1077" t="str">
        <f>IFERROR(VLOOKUP(logos[[#This Row],[Cell_ID]],'registe maintenance'!A:F,6,FALSE)," non répertoriées")</f>
        <v>Ericsson</v>
      </c>
      <c r="J1077">
        <f>IFERROR(VLOOKUP(B1077,'logos transformer '!A:B,2,FALSE),"na")</f>
        <v>3</v>
      </c>
      <c r="K1077">
        <f>IFERROR(VLOOKUP(B1077,'logos transformer '!A:C,3,FALSE),"na")</f>
        <v>159</v>
      </c>
      <c r="L1077" s="1">
        <f>IFERROR(VLOOKUP(B1077,'logos transformer '!A:D,4,FALSE),"na")</f>
        <v>45216.970138888886</v>
      </c>
    </row>
    <row r="1078" spans="1:12" x14ac:dyDescent="0.3">
      <c r="A1078" s="1">
        <v>45229.986805555563</v>
      </c>
      <c r="B1078" t="s">
        <v>442</v>
      </c>
      <c r="C1078">
        <v>37</v>
      </c>
      <c r="D1078" t="s">
        <v>10</v>
      </c>
      <c r="E1078" t="str">
        <f>IFERROR(VLOOKUP(logos[[#This Row],[Cell_ID]],'registe maintenance'!A:B,2,FALSE)," non répertoriées")</f>
        <v xml:space="preserve"> non répertoriées</v>
      </c>
      <c r="F1078" t="str">
        <f>IFERROR(VLOOKUP(logos[[#This Row],[Cell_ID]],'registe maintenance'!A:C,3,FALSE)," non répertoriées")</f>
        <v xml:space="preserve"> non répertoriées</v>
      </c>
      <c r="G1078" t="str">
        <f>IFERROR(VLOOKUP(logos[[#This Row],[Cell_ID]],'registe maintenance'!A:D,4,FALSE)," non répertoriées")</f>
        <v xml:space="preserve"> non répertoriées</v>
      </c>
      <c r="H1078" t="str">
        <f>IFERROR(VLOOKUP(logos[[#This Row],[Cell_ID]],'registe maintenance'!A:E,5,FALSE)," non répertoriées")</f>
        <v xml:space="preserve"> non répertoriées</v>
      </c>
      <c r="I1078" t="str">
        <f>IFERROR(VLOOKUP(logos[[#This Row],[Cell_ID]],'registe maintenance'!A:F,6,FALSE)," non répertoriées")</f>
        <v xml:space="preserve"> non répertoriées</v>
      </c>
      <c r="J1078">
        <f>IFERROR(VLOOKUP(B1078,'logos transformer '!A:B,2,FALSE),"na")</f>
        <v>3</v>
      </c>
      <c r="K1078">
        <f>IFERROR(VLOOKUP(B1078,'logos transformer '!A:C,3,FALSE),"na")</f>
        <v>114</v>
      </c>
      <c r="L1078" s="1">
        <f>IFERROR(VLOOKUP(B1078,'logos transformer '!A:D,4,FALSE),"na")</f>
        <v>45229.986805555556</v>
      </c>
    </row>
  </sheetData>
  <conditionalFormatting sqref="A2:L107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6E57-0AFC-4ADF-9410-68E16869E9FA}">
  <dimension ref="A1:K751"/>
  <sheetViews>
    <sheetView zoomScale="89" workbookViewId="0">
      <selection activeCell="E9" sqref="E9"/>
    </sheetView>
  </sheetViews>
  <sheetFormatPr baseColWidth="10" defaultRowHeight="14.4" x14ac:dyDescent="0.3"/>
  <cols>
    <col min="1" max="1" width="11" bestFit="1" customWidth="1"/>
    <col min="2" max="2" width="16.6640625" bestFit="1" customWidth="1"/>
    <col min="3" max="3" width="18.21875" bestFit="1" customWidth="1"/>
    <col min="4" max="4" width="16.77734375" bestFit="1" customWidth="1"/>
    <col min="5" max="5" width="27.21875" style="2" bestFit="1" customWidth="1"/>
    <col min="6" max="6" width="19.5546875" customWidth="1"/>
    <col min="7" max="7" width="23.21875" bestFit="1" customWidth="1"/>
    <col min="8" max="8" width="20" bestFit="1" customWidth="1"/>
    <col min="9" max="9" width="13.6640625" style="3" bestFit="1" customWidth="1"/>
  </cols>
  <sheetData>
    <row r="1" spans="1:11" x14ac:dyDescent="0.3">
      <c r="A1" s="5" t="s">
        <v>887</v>
      </c>
      <c r="B1" s="5" t="s">
        <v>888</v>
      </c>
      <c r="C1" s="5" t="s">
        <v>889</v>
      </c>
      <c r="D1" s="5" t="s">
        <v>890</v>
      </c>
      <c r="E1" s="5" t="s">
        <v>1647</v>
      </c>
      <c r="F1" s="6" t="s">
        <v>891</v>
      </c>
      <c r="G1" s="5" t="s">
        <v>892</v>
      </c>
      <c r="H1" s="5" t="s">
        <v>1649</v>
      </c>
      <c r="I1" s="5" t="s">
        <v>1648</v>
      </c>
      <c r="J1" s="5" t="s">
        <v>1651</v>
      </c>
      <c r="K1" s="5" t="s">
        <v>1650</v>
      </c>
    </row>
    <row r="2" spans="1:11" x14ac:dyDescent="0.3">
      <c r="A2" t="s">
        <v>893</v>
      </c>
      <c r="B2" t="s">
        <v>710</v>
      </c>
      <c r="C2">
        <v>29</v>
      </c>
      <c r="D2" t="s">
        <v>894</v>
      </c>
      <c r="E2">
        <v>3.57</v>
      </c>
      <c r="F2" s="2">
        <v>74.7</v>
      </c>
      <c r="G2">
        <v>3</v>
      </c>
      <c r="H2">
        <v>2</v>
      </c>
      <c r="I2" t="str">
        <f t="shared" ref="I2:I65" si="0">IF(F2&lt;80,"B2B","-")</f>
        <v>B2B</v>
      </c>
      <c r="J2" s="3">
        <f t="shared" ref="J2:J65" si="1">IF(AND(E2&gt;12,H2&gt;5),70%,
IF(OR(AND(E2&gt;=4,E2&lt;=12),AND(H2&lt;5,ISNUMBER(SEARCH("Premium",D2)))),45%,
IF(I2="B2B",10%,0%)))</f>
        <v>0.45</v>
      </c>
      <c r="K2" s="2">
        <f t="shared" ref="K2:K65" si="2">F2*J2</f>
        <v>33.615000000000002</v>
      </c>
    </row>
    <row r="3" spans="1:11" x14ac:dyDescent="0.3">
      <c r="A3" t="s">
        <v>895</v>
      </c>
      <c r="B3" t="s">
        <v>692</v>
      </c>
      <c r="C3">
        <v>63</v>
      </c>
      <c r="D3" t="s">
        <v>896</v>
      </c>
      <c r="E3">
        <v>3.42</v>
      </c>
      <c r="F3" s="2">
        <v>89.19</v>
      </c>
      <c r="G3">
        <v>0</v>
      </c>
      <c r="H3">
        <v>5</v>
      </c>
      <c r="I3" t="str">
        <f t="shared" si="0"/>
        <v>-</v>
      </c>
      <c r="J3" s="3">
        <f t="shared" si="1"/>
        <v>0</v>
      </c>
      <c r="K3" s="2">
        <f t="shared" si="2"/>
        <v>0</v>
      </c>
    </row>
    <row r="4" spans="1:11" x14ac:dyDescent="0.3">
      <c r="A4" t="s">
        <v>897</v>
      </c>
      <c r="B4" t="s">
        <v>737</v>
      </c>
      <c r="C4">
        <v>34</v>
      </c>
      <c r="D4" t="s">
        <v>896</v>
      </c>
      <c r="E4">
        <v>7.55</v>
      </c>
      <c r="F4" s="2">
        <v>56.84</v>
      </c>
      <c r="G4">
        <v>0</v>
      </c>
      <c r="H4">
        <v>3</v>
      </c>
      <c r="I4" t="str">
        <f t="shared" si="0"/>
        <v>B2B</v>
      </c>
      <c r="J4" s="3">
        <f t="shared" si="1"/>
        <v>0.45</v>
      </c>
      <c r="K4" s="2">
        <f t="shared" si="2"/>
        <v>25.578000000000003</v>
      </c>
    </row>
    <row r="5" spans="1:11" x14ac:dyDescent="0.3">
      <c r="A5" t="s">
        <v>898</v>
      </c>
      <c r="B5" t="s">
        <v>718</v>
      </c>
      <c r="C5">
        <v>44</v>
      </c>
      <c r="D5" t="s">
        <v>899</v>
      </c>
      <c r="E5">
        <v>5.8</v>
      </c>
      <c r="F5" s="2">
        <v>58.67</v>
      </c>
      <c r="G5">
        <v>0</v>
      </c>
      <c r="H5">
        <v>4</v>
      </c>
      <c r="I5" t="str">
        <f t="shared" si="0"/>
        <v>B2B</v>
      </c>
      <c r="J5" s="3">
        <f t="shared" si="1"/>
        <v>0.45</v>
      </c>
      <c r="K5" s="2">
        <f t="shared" si="2"/>
        <v>26.401500000000002</v>
      </c>
    </row>
    <row r="6" spans="1:11" x14ac:dyDescent="0.3">
      <c r="A6" t="s">
        <v>900</v>
      </c>
      <c r="B6" t="s">
        <v>699</v>
      </c>
      <c r="C6">
        <v>101</v>
      </c>
      <c r="D6" t="s">
        <v>901</v>
      </c>
      <c r="E6">
        <v>5.97</v>
      </c>
      <c r="F6" s="2">
        <v>29.24</v>
      </c>
      <c r="G6">
        <v>3</v>
      </c>
      <c r="H6">
        <v>8</v>
      </c>
      <c r="I6" t="str">
        <f t="shared" si="0"/>
        <v>B2B</v>
      </c>
      <c r="J6" s="3">
        <f t="shared" si="1"/>
        <v>0.45</v>
      </c>
      <c r="K6" s="2">
        <f t="shared" si="2"/>
        <v>13.157999999999999</v>
      </c>
    </row>
    <row r="7" spans="1:11" x14ac:dyDescent="0.3">
      <c r="A7" t="s">
        <v>902</v>
      </c>
      <c r="B7" t="s">
        <v>721</v>
      </c>
      <c r="C7">
        <v>46</v>
      </c>
      <c r="D7" t="s">
        <v>894</v>
      </c>
      <c r="E7">
        <v>4.72</v>
      </c>
      <c r="F7" s="2">
        <v>56.05</v>
      </c>
      <c r="G7">
        <v>1</v>
      </c>
      <c r="H7">
        <v>4</v>
      </c>
      <c r="I7" t="str">
        <f t="shared" si="0"/>
        <v>B2B</v>
      </c>
      <c r="J7" s="3">
        <f t="shared" si="1"/>
        <v>0.45</v>
      </c>
      <c r="K7" s="2">
        <f t="shared" si="2"/>
        <v>25.2225</v>
      </c>
    </row>
    <row r="8" spans="1:11" x14ac:dyDescent="0.3">
      <c r="A8" t="s">
        <v>903</v>
      </c>
      <c r="B8" t="s">
        <v>706</v>
      </c>
      <c r="C8">
        <v>99</v>
      </c>
      <c r="D8" t="s">
        <v>894</v>
      </c>
      <c r="E8">
        <v>7.45</v>
      </c>
      <c r="F8" s="2">
        <v>38.1</v>
      </c>
      <c r="G8">
        <v>3</v>
      </c>
      <c r="H8">
        <v>8</v>
      </c>
      <c r="I8" t="str">
        <f t="shared" si="0"/>
        <v>B2B</v>
      </c>
      <c r="J8" s="3">
        <f t="shared" si="1"/>
        <v>0.45</v>
      </c>
      <c r="K8" s="2">
        <f t="shared" si="2"/>
        <v>17.145</v>
      </c>
    </row>
    <row r="9" spans="1:11" x14ac:dyDescent="0.3">
      <c r="A9" t="s">
        <v>904</v>
      </c>
      <c r="B9" t="s">
        <v>721</v>
      </c>
      <c r="C9">
        <v>6</v>
      </c>
      <c r="D9" t="s">
        <v>901</v>
      </c>
      <c r="E9">
        <v>2.58</v>
      </c>
      <c r="F9" s="2">
        <v>40.659999999999997</v>
      </c>
      <c r="G9">
        <v>1</v>
      </c>
      <c r="H9">
        <v>0</v>
      </c>
      <c r="I9" t="str">
        <f t="shared" si="0"/>
        <v>B2B</v>
      </c>
      <c r="J9" s="3">
        <f t="shared" si="1"/>
        <v>0.1</v>
      </c>
      <c r="K9" s="2">
        <f t="shared" si="2"/>
        <v>4.0659999999999998</v>
      </c>
    </row>
    <row r="10" spans="1:11" x14ac:dyDescent="0.3">
      <c r="A10" t="s">
        <v>905</v>
      </c>
      <c r="B10" t="s">
        <v>702</v>
      </c>
      <c r="C10">
        <v>99</v>
      </c>
      <c r="D10" t="s">
        <v>899</v>
      </c>
      <c r="E10">
        <v>6.15</v>
      </c>
      <c r="F10" s="2">
        <v>67.209999999999994</v>
      </c>
      <c r="G10">
        <v>3</v>
      </c>
      <c r="H10">
        <v>8</v>
      </c>
      <c r="I10" t="str">
        <f t="shared" si="0"/>
        <v>B2B</v>
      </c>
      <c r="J10" s="3">
        <f t="shared" si="1"/>
        <v>0.45</v>
      </c>
      <c r="K10" s="2">
        <f t="shared" si="2"/>
        <v>30.244499999999999</v>
      </c>
    </row>
    <row r="11" spans="1:11" x14ac:dyDescent="0.3">
      <c r="A11" t="s">
        <v>906</v>
      </c>
      <c r="B11" t="s">
        <v>700</v>
      </c>
      <c r="C11">
        <v>113</v>
      </c>
      <c r="D11" t="s">
        <v>901</v>
      </c>
      <c r="E11">
        <v>6.33</v>
      </c>
      <c r="F11" s="2">
        <v>12.11</v>
      </c>
      <c r="G11">
        <v>0</v>
      </c>
      <c r="H11">
        <v>9</v>
      </c>
      <c r="I11" t="str">
        <f t="shared" si="0"/>
        <v>B2B</v>
      </c>
      <c r="J11" s="3">
        <f t="shared" si="1"/>
        <v>0.45</v>
      </c>
      <c r="K11" s="2">
        <f t="shared" si="2"/>
        <v>5.4494999999999996</v>
      </c>
    </row>
    <row r="12" spans="1:11" x14ac:dyDescent="0.3">
      <c r="A12" t="s">
        <v>907</v>
      </c>
      <c r="B12" t="s">
        <v>693</v>
      </c>
      <c r="C12">
        <v>72</v>
      </c>
      <c r="D12" t="s">
        <v>896</v>
      </c>
      <c r="E12">
        <v>2.67</v>
      </c>
      <c r="F12" s="2">
        <v>90.13</v>
      </c>
      <c r="G12">
        <v>2</v>
      </c>
      <c r="H12">
        <v>6</v>
      </c>
      <c r="I12" t="str">
        <f t="shared" si="0"/>
        <v>-</v>
      </c>
      <c r="J12" s="3">
        <f t="shared" si="1"/>
        <v>0</v>
      </c>
      <c r="K12" s="2">
        <f t="shared" si="2"/>
        <v>0</v>
      </c>
    </row>
    <row r="13" spans="1:11" x14ac:dyDescent="0.3">
      <c r="A13" t="s">
        <v>908</v>
      </c>
      <c r="B13" t="s">
        <v>736</v>
      </c>
      <c r="C13">
        <v>35</v>
      </c>
      <c r="D13" t="s">
        <v>896</v>
      </c>
      <c r="E13">
        <v>7.75</v>
      </c>
      <c r="F13" s="2">
        <v>58.59</v>
      </c>
      <c r="G13">
        <v>5</v>
      </c>
      <c r="H13">
        <v>3</v>
      </c>
      <c r="I13" t="str">
        <f t="shared" si="0"/>
        <v>B2B</v>
      </c>
      <c r="J13" s="3">
        <f t="shared" si="1"/>
        <v>0.45</v>
      </c>
      <c r="K13" s="2">
        <f t="shared" si="2"/>
        <v>26.365500000000001</v>
      </c>
    </row>
    <row r="14" spans="1:11" x14ac:dyDescent="0.3">
      <c r="A14" t="s">
        <v>909</v>
      </c>
      <c r="B14" t="s">
        <v>681</v>
      </c>
      <c r="C14">
        <v>115</v>
      </c>
      <c r="D14" t="s">
        <v>899</v>
      </c>
      <c r="E14">
        <v>2.93</v>
      </c>
      <c r="F14" s="2">
        <v>33.28</v>
      </c>
      <c r="G14">
        <v>4</v>
      </c>
      <c r="H14">
        <v>10</v>
      </c>
      <c r="I14" t="str">
        <f t="shared" si="0"/>
        <v>B2B</v>
      </c>
      <c r="J14" s="3">
        <f t="shared" si="1"/>
        <v>0.1</v>
      </c>
      <c r="K14" s="2">
        <f t="shared" si="2"/>
        <v>3.3280000000000003</v>
      </c>
    </row>
    <row r="15" spans="1:11" x14ac:dyDescent="0.3">
      <c r="A15" t="s">
        <v>910</v>
      </c>
      <c r="B15" t="s">
        <v>718</v>
      </c>
      <c r="C15">
        <v>20</v>
      </c>
      <c r="D15" t="s">
        <v>901</v>
      </c>
      <c r="E15">
        <v>7.0000000000000007E-2</v>
      </c>
      <c r="F15" s="2">
        <v>84.9</v>
      </c>
      <c r="G15">
        <v>3</v>
      </c>
      <c r="H15">
        <v>2</v>
      </c>
      <c r="I15" t="str">
        <f t="shared" si="0"/>
        <v>-</v>
      </c>
      <c r="J15" s="3">
        <f t="shared" si="1"/>
        <v>0</v>
      </c>
      <c r="K15" s="2">
        <f t="shared" si="2"/>
        <v>0</v>
      </c>
    </row>
    <row r="16" spans="1:11" x14ac:dyDescent="0.3">
      <c r="A16" t="s">
        <v>911</v>
      </c>
      <c r="B16" t="s">
        <v>725</v>
      </c>
      <c r="C16">
        <v>110</v>
      </c>
      <c r="D16" t="s">
        <v>896</v>
      </c>
      <c r="E16">
        <v>7.05</v>
      </c>
      <c r="F16" s="2">
        <v>37.35</v>
      </c>
      <c r="G16">
        <v>4</v>
      </c>
      <c r="H16">
        <v>9</v>
      </c>
      <c r="I16" t="str">
        <f t="shared" si="0"/>
        <v>B2B</v>
      </c>
      <c r="J16" s="3">
        <f t="shared" si="1"/>
        <v>0.45</v>
      </c>
      <c r="K16" s="2">
        <f t="shared" si="2"/>
        <v>16.807500000000001</v>
      </c>
    </row>
    <row r="17" spans="1:11" x14ac:dyDescent="0.3">
      <c r="A17" t="s">
        <v>912</v>
      </c>
      <c r="B17" t="s">
        <v>692</v>
      </c>
      <c r="C17">
        <v>89</v>
      </c>
      <c r="D17" t="s">
        <v>894</v>
      </c>
      <c r="E17">
        <v>2.38</v>
      </c>
      <c r="F17" s="2">
        <v>48.05</v>
      </c>
      <c r="G17">
        <v>4</v>
      </c>
      <c r="H17">
        <v>7</v>
      </c>
      <c r="I17" t="str">
        <f t="shared" si="0"/>
        <v>B2B</v>
      </c>
      <c r="J17" s="3">
        <f t="shared" si="1"/>
        <v>0.1</v>
      </c>
      <c r="K17" s="2">
        <f t="shared" si="2"/>
        <v>4.8049999999999997</v>
      </c>
    </row>
    <row r="18" spans="1:11" x14ac:dyDescent="0.3">
      <c r="A18" t="s">
        <v>913</v>
      </c>
      <c r="B18" t="s">
        <v>706</v>
      </c>
      <c r="C18">
        <v>112</v>
      </c>
      <c r="D18" t="s">
        <v>894</v>
      </c>
      <c r="E18">
        <v>7.67</v>
      </c>
      <c r="F18" s="2">
        <v>55.47</v>
      </c>
      <c r="G18">
        <v>4</v>
      </c>
      <c r="H18">
        <v>9</v>
      </c>
      <c r="I18" t="str">
        <f t="shared" si="0"/>
        <v>B2B</v>
      </c>
      <c r="J18" s="3">
        <f t="shared" si="1"/>
        <v>0.45</v>
      </c>
      <c r="K18" s="2">
        <f t="shared" si="2"/>
        <v>24.961500000000001</v>
      </c>
    </row>
    <row r="19" spans="1:11" x14ac:dyDescent="0.3">
      <c r="A19" t="s">
        <v>914</v>
      </c>
      <c r="B19" t="s">
        <v>715</v>
      </c>
      <c r="C19">
        <v>66</v>
      </c>
      <c r="D19" t="s">
        <v>901</v>
      </c>
      <c r="E19">
        <v>4.5</v>
      </c>
      <c r="F19" s="2">
        <v>75.88</v>
      </c>
      <c r="G19">
        <v>3</v>
      </c>
      <c r="H19">
        <v>6</v>
      </c>
      <c r="I19" t="str">
        <f t="shared" si="0"/>
        <v>B2B</v>
      </c>
      <c r="J19" s="3">
        <f t="shared" si="1"/>
        <v>0.45</v>
      </c>
      <c r="K19" s="2">
        <f t="shared" si="2"/>
        <v>34.146000000000001</v>
      </c>
    </row>
    <row r="20" spans="1:11" x14ac:dyDescent="0.3">
      <c r="A20" t="s">
        <v>915</v>
      </c>
      <c r="B20" t="s">
        <v>702</v>
      </c>
      <c r="C20">
        <v>78</v>
      </c>
      <c r="D20" t="s">
        <v>899</v>
      </c>
      <c r="E20">
        <v>5.2</v>
      </c>
      <c r="F20" s="2">
        <v>85.74</v>
      </c>
      <c r="G20">
        <v>2</v>
      </c>
      <c r="H20">
        <v>6</v>
      </c>
      <c r="I20" t="str">
        <f t="shared" si="0"/>
        <v>-</v>
      </c>
      <c r="J20" s="3">
        <f t="shared" si="1"/>
        <v>0.45</v>
      </c>
      <c r="K20" s="2">
        <f t="shared" si="2"/>
        <v>38.582999999999998</v>
      </c>
    </row>
    <row r="21" spans="1:11" x14ac:dyDescent="0.3">
      <c r="A21" t="s">
        <v>916</v>
      </c>
      <c r="B21" t="s">
        <v>693</v>
      </c>
      <c r="C21">
        <v>86</v>
      </c>
      <c r="D21" t="s">
        <v>894</v>
      </c>
      <c r="E21">
        <v>7.85</v>
      </c>
      <c r="F21" s="2">
        <v>33.380000000000003</v>
      </c>
      <c r="G21">
        <v>4</v>
      </c>
      <c r="H21">
        <v>7</v>
      </c>
      <c r="I21" t="str">
        <f t="shared" si="0"/>
        <v>B2B</v>
      </c>
      <c r="J21" s="3">
        <f t="shared" si="1"/>
        <v>0.45</v>
      </c>
      <c r="K21" s="2">
        <f t="shared" si="2"/>
        <v>15.021000000000001</v>
      </c>
    </row>
    <row r="22" spans="1:11" x14ac:dyDescent="0.3">
      <c r="A22" t="s">
        <v>917</v>
      </c>
      <c r="B22" t="s">
        <v>702</v>
      </c>
      <c r="C22">
        <v>14</v>
      </c>
      <c r="D22" t="s">
        <v>894</v>
      </c>
      <c r="E22">
        <v>1.25</v>
      </c>
      <c r="F22" s="2">
        <v>55.67</v>
      </c>
      <c r="G22">
        <v>3</v>
      </c>
      <c r="H22">
        <v>1</v>
      </c>
      <c r="I22" t="str">
        <f t="shared" si="0"/>
        <v>B2B</v>
      </c>
      <c r="J22" s="3">
        <f t="shared" si="1"/>
        <v>0.45</v>
      </c>
      <c r="K22" s="2">
        <f t="shared" si="2"/>
        <v>25.051500000000001</v>
      </c>
    </row>
    <row r="23" spans="1:11" x14ac:dyDescent="0.3">
      <c r="A23" t="s">
        <v>918</v>
      </c>
      <c r="B23" t="s">
        <v>700</v>
      </c>
      <c r="C23">
        <v>91</v>
      </c>
      <c r="D23" t="s">
        <v>896</v>
      </c>
      <c r="E23">
        <v>5.97</v>
      </c>
      <c r="F23" s="2">
        <v>21.14</v>
      </c>
      <c r="G23">
        <v>5</v>
      </c>
      <c r="H23">
        <v>8</v>
      </c>
      <c r="I23" t="str">
        <f t="shared" si="0"/>
        <v>B2B</v>
      </c>
      <c r="J23" s="3">
        <f t="shared" si="1"/>
        <v>0.45</v>
      </c>
      <c r="K23" s="2">
        <f t="shared" si="2"/>
        <v>9.5129999999999999</v>
      </c>
    </row>
    <row r="24" spans="1:11" x14ac:dyDescent="0.3">
      <c r="A24" t="s">
        <v>919</v>
      </c>
      <c r="B24" t="s">
        <v>706</v>
      </c>
      <c r="C24">
        <v>7</v>
      </c>
      <c r="D24" t="s">
        <v>894</v>
      </c>
      <c r="E24">
        <v>3.43</v>
      </c>
      <c r="F24" s="2">
        <v>78.09</v>
      </c>
      <c r="G24">
        <v>3</v>
      </c>
      <c r="H24">
        <v>1</v>
      </c>
      <c r="I24" t="str">
        <f t="shared" si="0"/>
        <v>B2B</v>
      </c>
      <c r="J24" s="3">
        <f t="shared" si="1"/>
        <v>0.45</v>
      </c>
      <c r="K24" s="2">
        <f t="shared" si="2"/>
        <v>35.140500000000003</v>
      </c>
    </row>
    <row r="25" spans="1:11" x14ac:dyDescent="0.3">
      <c r="A25" t="s">
        <v>920</v>
      </c>
      <c r="B25" t="s">
        <v>678</v>
      </c>
      <c r="C25">
        <v>119</v>
      </c>
      <c r="D25" t="s">
        <v>901</v>
      </c>
      <c r="E25">
        <v>3.8</v>
      </c>
      <c r="F25" s="2">
        <v>94.72</v>
      </c>
      <c r="G25">
        <v>3</v>
      </c>
      <c r="H25">
        <v>10</v>
      </c>
      <c r="I25" t="str">
        <f t="shared" si="0"/>
        <v>-</v>
      </c>
      <c r="J25" s="3">
        <f t="shared" si="1"/>
        <v>0</v>
      </c>
      <c r="K25" s="2">
        <f t="shared" si="2"/>
        <v>0</v>
      </c>
    </row>
    <row r="26" spans="1:11" x14ac:dyDescent="0.3">
      <c r="A26" t="s">
        <v>921</v>
      </c>
      <c r="B26" t="s">
        <v>721</v>
      </c>
      <c r="C26">
        <v>57</v>
      </c>
      <c r="D26" t="s">
        <v>901</v>
      </c>
      <c r="E26">
        <v>5.48</v>
      </c>
      <c r="F26" s="2">
        <v>50.39</v>
      </c>
      <c r="G26">
        <v>5</v>
      </c>
      <c r="H26">
        <v>5</v>
      </c>
      <c r="I26" t="str">
        <f t="shared" si="0"/>
        <v>B2B</v>
      </c>
      <c r="J26" s="3">
        <f t="shared" si="1"/>
        <v>0.45</v>
      </c>
      <c r="K26" s="2">
        <f t="shared" si="2"/>
        <v>22.6755</v>
      </c>
    </row>
    <row r="27" spans="1:11" x14ac:dyDescent="0.3">
      <c r="A27" t="s">
        <v>922</v>
      </c>
      <c r="B27" t="s">
        <v>710</v>
      </c>
      <c r="C27">
        <v>103</v>
      </c>
      <c r="D27" t="s">
        <v>896</v>
      </c>
      <c r="E27">
        <v>1.75</v>
      </c>
      <c r="F27" s="2">
        <v>61.52</v>
      </c>
      <c r="G27">
        <v>3</v>
      </c>
      <c r="H27">
        <v>9</v>
      </c>
      <c r="I27" t="str">
        <f t="shared" si="0"/>
        <v>B2B</v>
      </c>
      <c r="J27" s="3">
        <f t="shared" si="1"/>
        <v>0.1</v>
      </c>
      <c r="K27" s="2">
        <f t="shared" si="2"/>
        <v>6.152000000000001</v>
      </c>
    </row>
    <row r="28" spans="1:11" x14ac:dyDescent="0.3">
      <c r="A28" t="s">
        <v>923</v>
      </c>
      <c r="B28" t="s">
        <v>706</v>
      </c>
      <c r="C28">
        <v>59</v>
      </c>
      <c r="D28" t="s">
        <v>901</v>
      </c>
      <c r="E28">
        <v>7.57</v>
      </c>
      <c r="F28" s="2">
        <v>10.47</v>
      </c>
      <c r="G28">
        <v>5</v>
      </c>
      <c r="H28">
        <v>5</v>
      </c>
      <c r="I28" t="str">
        <f t="shared" si="0"/>
        <v>B2B</v>
      </c>
      <c r="J28" s="3">
        <f t="shared" si="1"/>
        <v>0.45</v>
      </c>
      <c r="K28" s="2">
        <f t="shared" si="2"/>
        <v>4.7115</v>
      </c>
    </row>
    <row r="29" spans="1:11" x14ac:dyDescent="0.3">
      <c r="A29" t="s">
        <v>924</v>
      </c>
      <c r="B29" t="s">
        <v>736</v>
      </c>
      <c r="C29">
        <v>108</v>
      </c>
      <c r="D29" t="s">
        <v>901</v>
      </c>
      <c r="E29">
        <v>4.63</v>
      </c>
      <c r="F29" s="2">
        <v>40.51</v>
      </c>
      <c r="G29">
        <v>3</v>
      </c>
      <c r="H29">
        <v>9</v>
      </c>
      <c r="I29" t="str">
        <f t="shared" si="0"/>
        <v>B2B</v>
      </c>
      <c r="J29" s="3">
        <f t="shared" si="1"/>
        <v>0.45</v>
      </c>
      <c r="K29" s="2">
        <f t="shared" si="2"/>
        <v>18.229499999999998</v>
      </c>
    </row>
    <row r="30" spans="1:11" x14ac:dyDescent="0.3">
      <c r="A30" t="s">
        <v>925</v>
      </c>
      <c r="B30" t="s">
        <v>705</v>
      </c>
      <c r="C30">
        <v>97</v>
      </c>
      <c r="D30" t="s">
        <v>896</v>
      </c>
      <c r="E30">
        <v>5.32</v>
      </c>
      <c r="F30" s="2">
        <v>31.25</v>
      </c>
      <c r="G30">
        <v>1</v>
      </c>
      <c r="H30">
        <v>8</v>
      </c>
      <c r="I30" t="str">
        <f t="shared" si="0"/>
        <v>B2B</v>
      </c>
      <c r="J30" s="3">
        <f t="shared" si="1"/>
        <v>0.45</v>
      </c>
      <c r="K30" s="2">
        <f t="shared" si="2"/>
        <v>14.0625</v>
      </c>
    </row>
    <row r="31" spans="1:11" x14ac:dyDescent="0.3">
      <c r="A31" t="s">
        <v>926</v>
      </c>
      <c r="B31" t="s">
        <v>693</v>
      </c>
      <c r="C31">
        <v>15</v>
      </c>
      <c r="D31" t="s">
        <v>896</v>
      </c>
      <c r="E31">
        <v>6.72</v>
      </c>
      <c r="F31" s="2">
        <v>77.12</v>
      </c>
      <c r="G31">
        <v>1</v>
      </c>
      <c r="H31">
        <v>1</v>
      </c>
      <c r="I31" t="str">
        <f t="shared" si="0"/>
        <v>B2B</v>
      </c>
      <c r="J31" s="3">
        <f t="shared" si="1"/>
        <v>0.45</v>
      </c>
      <c r="K31" s="2">
        <f t="shared" si="2"/>
        <v>34.704000000000001</v>
      </c>
    </row>
    <row r="32" spans="1:11" x14ac:dyDescent="0.3">
      <c r="A32" t="s">
        <v>927</v>
      </c>
      <c r="B32" t="s">
        <v>703</v>
      </c>
      <c r="C32">
        <v>14</v>
      </c>
      <c r="D32" t="s">
        <v>896</v>
      </c>
      <c r="E32">
        <v>5.27</v>
      </c>
      <c r="F32" s="2">
        <v>62.34</v>
      </c>
      <c r="G32">
        <v>4</v>
      </c>
      <c r="H32">
        <v>1</v>
      </c>
      <c r="I32" t="str">
        <f t="shared" si="0"/>
        <v>B2B</v>
      </c>
      <c r="J32" s="3">
        <f t="shared" si="1"/>
        <v>0.45</v>
      </c>
      <c r="K32" s="2">
        <f t="shared" si="2"/>
        <v>28.053000000000001</v>
      </c>
    </row>
    <row r="33" spans="1:11" x14ac:dyDescent="0.3">
      <c r="A33" t="s">
        <v>928</v>
      </c>
      <c r="B33" t="s">
        <v>724</v>
      </c>
      <c r="C33">
        <v>101</v>
      </c>
      <c r="D33" t="s">
        <v>896</v>
      </c>
      <c r="E33">
        <v>5.55</v>
      </c>
      <c r="F33" s="2">
        <v>74.319999999999993</v>
      </c>
      <c r="G33">
        <v>1</v>
      </c>
      <c r="H33">
        <v>8</v>
      </c>
      <c r="I33" t="str">
        <f t="shared" si="0"/>
        <v>B2B</v>
      </c>
      <c r="J33" s="3">
        <f t="shared" si="1"/>
        <v>0.45</v>
      </c>
      <c r="K33" s="2">
        <f t="shared" si="2"/>
        <v>33.443999999999996</v>
      </c>
    </row>
    <row r="34" spans="1:11" x14ac:dyDescent="0.3">
      <c r="A34" t="s">
        <v>929</v>
      </c>
      <c r="B34" t="s">
        <v>689</v>
      </c>
      <c r="C34">
        <v>79</v>
      </c>
      <c r="D34" t="s">
        <v>894</v>
      </c>
      <c r="E34">
        <v>3.77</v>
      </c>
      <c r="F34" s="2">
        <v>94.38</v>
      </c>
      <c r="G34">
        <v>3</v>
      </c>
      <c r="H34">
        <v>7</v>
      </c>
      <c r="I34" t="str">
        <f t="shared" si="0"/>
        <v>-</v>
      </c>
      <c r="J34" s="3">
        <f t="shared" si="1"/>
        <v>0</v>
      </c>
      <c r="K34" s="2">
        <f t="shared" si="2"/>
        <v>0</v>
      </c>
    </row>
    <row r="35" spans="1:11" x14ac:dyDescent="0.3">
      <c r="A35" t="s">
        <v>930</v>
      </c>
      <c r="B35" t="s">
        <v>699</v>
      </c>
      <c r="C35">
        <v>79</v>
      </c>
      <c r="D35" t="s">
        <v>899</v>
      </c>
      <c r="E35">
        <v>5.95</v>
      </c>
      <c r="F35" s="2">
        <v>69.900000000000006</v>
      </c>
      <c r="G35">
        <v>5</v>
      </c>
      <c r="H35">
        <v>7</v>
      </c>
      <c r="I35" t="str">
        <f t="shared" si="0"/>
        <v>B2B</v>
      </c>
      <c r="J35" s="3">
        <f t="shared" si="1"/>
        <v>0.45</v>
      </c>
      <c r="K35" s="2">
        <f t="shared" si="2"/>
        <v>31.455000000000002</v>
      </c>
    </row>
    <row r="36" spans="1:11" x14ac:dyDescent="0.3">
      <c r="A36" t="s">
        <v>931</v>
      </c>
      <c r="B36" t="s">
        <v>701</v>
      </c>
      <c r="C36">
        <v>101</v>
      </c>
      <c r="D36" t="s">
        <v>896</v>
      </c>
      <c r="E36">
        <v>2.93</v>
      </c>
      <c r="F36" s="2">
        <v>86</v>
      </c>
      <c r="G36">
        <v>3</v>
      </c>
      <c r="H36">
        <v>8</v>
      </c>
      <c r="I36" t="str">
        <f t="shared" si="0"/>
        <v>-</v>
      </c>
      <c r="J36" s="3">
        <f t="shared" si="1"/>
        <v>0</v>
      </c>
      <c r="K36" s="2">
        <f t="shared" si="2"/>
        <v>0</v>
      </c>
    </row>
    <row r="37" spans="1:11" x14ac:dyDescent="0.3">
      <c r="A37" t="s">
        <v>932</v>
      </c>
      <c r="B37" t="s">
        <v>699</v>
      </c>
      <c r="C37">
        <v>110</v>
      </c>
      <c r="D37" t="s">
        <v>901</v>
      </c>
      <c r="E37">
        <v>7.57</v>
      </c>
      <c r="F37" s="2">
        <v>31.05</v>
      </c>
      <c r="G37">
        <v>1</v>
      </c>
      <c r="H37">
        <v>9</v>
      </c>
      <c r="I37" t="str">
        <f t="shared" si="0"/>
        <v>B2B</v>
      </c>
      <c r="J37" s="3">
        <f t="shared" si="1"/>
        <v>0.45</v>
      </c>
      <c r="K37" s="2">
        <f t="shared" si="2"/>
        <v>13.9725</v>
      </c>
    </row>
    <row r="38" spans="1:11" x14ac:dyDescent="0.3">
      <c r="A38" t="s">
        <v>933</v>
      </c>
      <c r="B38" t="s">
        <v>692</v>
      </c>
      <c r="C38">
        <v>14</v>
      </c>
      <c r="D38" t="s">
        <v>899</v>
      </c>
      <c r="E38">
        <v>6.92</v>
      </c>
      <c r="F38" s="2">
        <v>36.93</v>
      </c>
      <c r="G38">
        <v>5</v>
      </c>
      <c r="H38">
        <v>1</v>
      </c>
      <c r="I38" t="str">
        <f t="shared" si="0"/>
        <v>B2B</v>
      </c>
      <c r="J38" s="3">
        <f t="shared" si="1"/>
        <v>0.45</v>
      </c>
      <c r="K38" s="2">
        <f t="shared" si="2"/>
        <v>16.618500000000001</v>
      </c>
    </row>
    <row r="39" spans="1:11" x14ac:dyDescent="0.3">
      <c r="A39" t="s">
        <v>934</v>
      </c>
      <c r="B39" t="s">
        <v>702</v>
      </c>
      <c r="C39">
        <v>106</v>
      </c>
      <c r="D39" t="s">
        <v>899</v>
      </c>
      <c r="E39">
        <v>6.67</v>
      </c>
      <c r="F39" s="2">
        <v>70.02</v>
      </c>
      <c r="G39">
        <v>4</v>
      </c>
      <c r="H39">
        <v>9</v>
      </c>
      <c r="I39" t="str">
        <f t="shared" si="0"/>
        <v>B2B</v>
      </c>
      <c r="J39" s="3">
        <f t="shared" si="1"/>
        <v>0.45</v>
      </c>
      <c r="K39" s="2">
        <f t="shared" si="2"/>
        <v>31.509</v>
      </c>
    </row>
    <row r="40" spans="1:11" x14ac:dyDescent="0.3">
      <c r="A40" t="s">
        <v>935</v>
      </c>
      <c r="B40" t="s">
        <v>702</v>
      </c>
      <c r="C40">
        <v>72</v>
      </c>
      <c r="D40" t="s">
        <v>899</v>
      </c>
      <c r="E40">
        <v>5.53</v>
      </c>
      <c r="F40" s="2">
        <v>83.36</v>
      </c>
      <c r="G40">
        <v>4</v>
      </c>
      <c r="H40">
        <v>6</v>
      </c>
      <c r="I40" t="str">
        <f t="shared" si="0"/>
        <v>-</v>
      </c>
      <c r="J40" s="3">
        <f t="shared" si="1"/>
        <v>0.45</v>
      </c>
      <c r="K40" s="2">
        <f t="shared" si="2"/>
        <v>37.512</v>
      </c>
    </row>
    <row r="41" spans="1:11" x14ac:dyDescent="0.3">
      <c r="A41" t="s">
        <v>936</v>
      </c>
      <c r="B41" t="s">
        <v>684</v>
      </c>
      <c r="C41">
        <v>6</v>
      </c>
      <c r="D41" t="s">
        <v>894</v>
      </c>
      <c r="E41">
        <v>3.45</v>
      </c>
      <c r="F41" s="2">
        <v>61.55</v>
      </c>
      <c r="G41">
        <v>0</v>
      </c>
      <c r="H41">
        <v>0</v>
      </c>
      <c r="I41" t="str">
        <f t="shared" si="0"/>
        <v>B2B</v>
      </c>
      <c r="J41" s="3">
        <f t="shared" si="1"/>
        <v>0.45</v>
      </c>
      <c r="K41" s="2">
        <f t="shared" si="2"/>
        <v>27.697499999999998</v>
      </c>
    </row>
    <row r="42" spans="1:11" x14ac:dyDescent="0.3">
      <c r="A42" t="s">
        <v>937</v>
      </c>
      <c r="B42" t="s">
        <v>724</v>
      </c>
      <c r="C42">
        <v>65</v>
      </c>
      <c r="D42" t="s">
        <v>894</v>
      </c>
      <c r="E42">
        <v>6.62</v>
      </c>
      <c r="F42" s="2">
        <v>22.6</v>
      </c>
      <c r="G42">
        <v>5</v>
      </c>
      <c r="H42">
        <v>5</v>
      </c>
      <c r="I42" t="str">
        <f t="shared" si="0"/>
        <v>B2B</v>
      </c>
      <c r="J42" s="3">
        <f t="shared" si="1"/>
        <v>0.45</v>
      </c>
      <c r="K42" s="2">
        <f t="shared" si="2"/>
        <v>10.170000000000002</v>
      </c>
    </row>
    <row r="43" spans="1:11" x14ac:dyDescent="0.3">
      <c r="A43" t="s">
        <v>938</v>
      </c>
      <c r="B43" t="s">
        <v>721</v>
      </c>
      <c r="C43">
        <v>14</v>
      </c>
      <c r="D43" t="s">
        <v>896</v>
      </c>
      <c r="E43">
        <v>1.68</v>
      </c>
      <c r="F43" s="2">
        <v>43.99</v>
      </c>
      <c r="G43">
        <v>1</v>
      </c>
      <c r="H43">
        <v>1</v>
      </c>
      <c r="I43" t="str">
        <f t="shared" si="0"/>
        <v>B2B</v>
      </c>
      <c r="J43" s="3">
        <f t="shared" si="1"/>
        <v>0.1</v>
      </c>
      <c r="K43" s="2">
        <f t="shared" si="2"/>
        <v>4.399</v>
      </c>
    </row>
    <row r="44" spans="1:11" x14ac:dyDescent="0.3">
      <c r="A44" t="s">
        <v>939</v>
      </c>
      <c r="B44" t="s">
        <v>725</v>
      </c>
      <c r="C44">
        <v>22</v>
      </c>
      <c r="D44" t="s">
        <v>901</v>
      </c>
      <c r="E44">
        <v>7.52</v>
      </c>
      <c r="F44" s="2">
        <v>76.38</v>
      </c>
      <c r="G44">
        <v>3</v>
      </c>
      <c r="H44">
        <v>2</v>
      </c>
      <c r="I44" t="str">
        <f t="shared" si="0"/>
        <v>B2B</v>
      </c>
      <c r="J44" s="3">
        <f t="shared" si="1"/>
        <v>0.45</v>
      </c>
      <c r="K44" s="2">
        <f t="shared" si="2"/>
        <v>34.371000000000002</v>
      </c>
    </row>
    <row r="45" spans="1:11" x14ac:dyDescent="0.3">
      <c r="A45" t="s">
        <v>940</v>
      </c>
      <c r="B45" t="s">
        <v>687</v>
      </c>
      <c r="C45">
        <v>81</v>
      </c>
      <c r="D45" t="s">
        <v>896</v>
      </c>
      <c r="E45">
        <v>2.57</v>
      </c>
      <c r="F45" s="2">
        <v>19.47</v>
      </c>
      <c r="G45">
        <v>3</v>
      </c>
      <c r="H45">
        <v>7</v>
      </c>
      <c r="I45" t="str">
        <f t="shared" si="0"/>
        <v>B2B</v>
      </c>
      <c r="J45" s="3">
        <f t="shared" si="1"/>
        <v>0.1</v>
      </c>
      <c r="K45" s="2">
        <f t="shared" si="2"/>
        <v>1.9470000000000001</v>
      </c>
    </row>
    <row r="46" spans="1:11" x14ac:dyDescent="0.3">
      <c r="A46" t="s">
        <v>941</v>
      </c>
      <c r="B46" t="s">
        <v>710</v>
      </c>
      <c r="C46">
        <v>16</v>
      </c>
      <c r="D46" t="s">
        <v>899</v>
      </c>
      <c r="E46">
        <v>0.72</v>
      </c>
      <c r="F46" s="2">
        <v>56.48</v>
      </c>
      <c r="G46">
        <v>0</v>
      </c>
      <c r="H46">
        <v>1</v>
      </c>
      <c r="I46" t="str">
        <f t="shared" si="0"/>
        <v>B2B</v>
      </c>
      <c r="J46" s="3">
        <f t="shared" si="1"/>
        <v>0.1</v>
      </c>
      <c r="K46" s="2">
        <f t="shared" si="2"/>
        <v>5.6479999999999997</v>
      </c>
    </row>
    <row r="47" spans="1:11" x14ac:dyDescent="0.3">
      <c r="A47" t="s">
        <v>942</v>
      </c>
      <c r="B47" t="s">
        <v>678</v>
      </c>
      <c r="C47">
        <v>112</v>
      </c>
      <c r="D47" t="s">
        <v>896</v>
      </c>
      <c r="E47">
        <v>0.3</v>
      </c>
      <c r="F47" s="2">
        <v>27.33</v>
      </c>
      <c r="G47">
        <v>5</v>
      </c>
      <c r="H47">
        <v>9</v>
      </c>
      <c r="I47" t="str">
        <f t="shared" si="0"/>
        <v>B2B</v>
      </c>
      <c r="J47" s="3">
        <f t="shared" si="1"/>
        <v>0.1</v>
      </c>
      <c r="K47" s="2">
        <f t="shared" si="2"/>
        <v>2.7330000000000001</v>
      </c>
    </row>
    <row r="48" spans="1:11" x14ac:dyDescent="0.3">
      <c r="A48" t="s">
        <v>943</v>
      </c>
      <c r="B48" t="s">
        <v>700</v>
      </c>
      <c r="C48">
        <v>27</v>
      </c>
      <c r="D48" t="s">
        <v>899</v>
      </c>
      <c r="E48">
        <v>4.58</v>
      </c>
      <c r="F48" s="2">
        <v>80.069999999999993</v>
      </c>
      <c r="G48">
        <v>1</v>
      </c>
      <c r="H48">
        <v>2</v>
      </c>
      <c r="I48" t="str">
        <f t="shared" si="0"/>
        <v>-</v>
      </c>
      <c r="J48" s="3">
        <f t="shared" si="1"/>
        <v>0.45</v>
      </c>
      <c r="K48" s="2">
        <f t="shared" si="2"/>
        <v>36.031500000000001</v>
      </c>
    </row>
    <row r="49" spans="1:11" x14ac:dyDescent="0.3">
      <c r="A49" t="s">
        <v>944</v>
      </c>
      <c r="B49" t="s">
        <v>705</v>
      </c>
      <c r="C49">
        <v>117</v>
      </c>
      <c r="D49" t="s">
        <v>901</v>
      </c>
      <c r="E49">
        <v>2.85</v>
      </c>
      <c r="F49" s="2">
        <v>50.89</v>
      </c>
      <c r="G49">
        <v>4</v>
      </c>
      <c r="H49">
        <v>10</v>
      </c>
      <c r="I49" t="str">
        <f t="shared" si="0"/>
        <v>B2B</v>
      </c>
      <c r="J49" s="3">
        <f t="shared" si="1"/>
        <v>0.1</v>
      </c>
      <c r="K49" s="2">
        <f t="shared" si="2"/>
        <v>5.0890000000000004</v>
      </c>
    </row>
    <row r="50" spans="1:11" x14ac:dyDescent="0.3">
      <c r="A50" t="s">
        <v>945</v>
      </c>
      <c r="B50" t="s">
        <v>678</v>
      </c>
      <c r="C50">
        <v>47</v>
      </c>
      <c r="D50" t="s">
        <v>899</v>
      </c>
      <c r="E50">
        <v>3.32</v>
      </c>
      <c r="F50" s="2">
        <v>23.19</v>
      </c>
      <c r="G50">
        <v>2</v>
      </c>
      <c r="H50">
        <v>4</v>
      </c>
      <c r="I50" t="str">
        <f t="shared" si="0"/>
        <v>B2B</v>
      </c>
      <c r="J50" s="3">
        <f t="shared" si="1"/>
        <v>0.1</v>
      </c>
      <c r="K50" s="2">
        <f t="shared" si="2"/>
        <v>2.3190000000000004</v>
      </c>
    </row>
    <row r="51" spans="1:11" x14ac:dyDescent="0.3">
      <c r="A51" t="s">
        <v>946</v>
      </c>
      <c r="B51" t="s">
        <v>703</v>
      </c>
      <c r="C51">
        <v>21</v>
      </c>
      <c r="D51" t="s">
        <v>894</v>
      </c>
      <c r="E51">
        <v>6.18</v>
      </c>
      <c r="F51" s="2">
        <v>48.31</v>
      </c>
      <c r="G51">
        <v>0</v>
      </c>
      <c r="H51">
        <v>2</v>
      </c>
      <c r="I51" t="str">
        <f t="shared" si="0"/>
        <v>B2B</v>
      </c>
      <c r="J51" s="3">
        <f t="shared" si="1"/>
        <v>0.45</v>
      </c>
      <c r="K51" s="2">
        <f t="shared" si="2"/>
        <v>21.739500000000003</v>
      </c>
    </row>
    <row r="52" spans="1:11" x14ac:dyDescent="0.3">
      <c r="A52" t="s">
        <v>947</v>
      </c>
      <c r="B52" t="s">
        <v>678</v>
      </c>
      <c r="C52">
        <v>82</v>
      </c>
      <c r="D52" t="s">
        <v>899</v>
      </c>
      <c r="E52">
        <v>2.2000000000000002</v>
      </c>
      <c r="F52" s="2">
        <v>50.14</v>
      </c>
      <c r="G52">
        <v>5</v>
      </c>
      <c r="H52">
        <v>7</v>
      </c>
      <c r="I52" t="str">
        <f t="shared" si="0"/>
        <v>B2B</v>
      </c>
      <c r="J52" s="3">
        <f t="shared" si="1"/>
        <v>0.1</v>
      </c>
      <c r="K52" s="2">
        <f t="shared" si="2"/>
        <v>5.0140000000000002</v>
      </c>
    </row>
    <row r="53" spans="1:11" x14ac:dyDescent="0.3">
      <c r="A53" t="s">
        <v>948</v>
      </c>
      <c r="B53" t="s">
        <v>699</v>
      </c>
      <c r="C53">
        <v>59</v>
      </c>
      <c r="D53" t="s">
        <v>901</v>
      </c>
      <c r="E53">
        <v>3.2</v>
      </c>
      <c r="F53" s="2">
        <v>86.17</v>
      </c>
      <c r="G53">
        <v>1</v>
      </c>
      <c r="H53">
        <v>5</v>
      </c>
      <c r="I53" t="str">
        <f t="shared" si="0"/>
        <v>-</v>
      </c>
      <c r="J53" s="3">
        <f t="shared" si="1"/>
        <v>0</v>
      </c>
      <c r="K53" s="2">
        <f t="shared" si="2"/>
        <v>0</v>
      </c>
    </row>
    <row r="54" spans="1:11" x14ac:dyDescent="0.3">
      <c r="A54" t="s">
        <v>949</v>
      </c>
      <c r="B54" t="s">
        <v>698</v>
      </c>
      <c r="C54">
        <v>98</v>
      </c>
      <c r="D54" t="s">
        <v>896</v>
      </c>
      <c r="E54">
        <v>8.0299999999999994</v>
      </c>
      <c r="F54" s="2">
        <v>55.04</v>
      </c>
      <c r="G54">
        <v>5</v>
      </c>
      <c r="H54">
        <v>8</v>
      </c>
      <c r="I54" t="str">
        <f t="shared" si="0"/>
        <v>B2B</v>
      </c>
      <c r="J54" s="3">
        <f t="shared" si="1"/>
        <v>0.45</v>
      </c>
      <c r="K54" s="2">
        <f t="shared" si="2"/>
        <v>24.768000000000001</v>
      </c>
    </row>
    <row r="55" spans="1:11" x14ac:dyDescent="0.3">
      <c r="A55" t="s">
        <v>950</v>
      </c>
      <c r="B55" t="s">
        <v>736</v>
      </c>
      <c r="C55">
        <v>58</v>
      </c>
      <c r="D55" t="s">
        <v>899</v>
      </c>
      <c r="E55">
        <v>7.05</v>
      </c>
      <c r="F55" s="2">
        <v>80.459999999999994</v>
      </c>
      <c r="G55">
        <v>0</v>
      </c>
      <c r="H55">
        <v>5</v>
      </c>
      <c r="I55" t="str">
        <f t="shared" si="0"/>
        <v>-</v>
      </c>
      <c r="J55" s="3">
        <f t="shared" si="1"/>
        <v>0.45</v>
      </c>
      <c r="K55" s="2">
        <f t="shared" si="2"/>
        <v>36.207000000000001</v>
      </c>
    </row>
    <row r="56" spans="1:11" x14ac:dyDescent="0.3">
      <c r="A56" t="s">
        <v>951</v>
      </c>
      <c r="B56" t="s">
        <v>724</v>
      </c>
      <c r="C56">
        <v>86</v>
      </c>
      <c r="D56" t="s">
        <v>899</v>
      </c>
      <c r="E56">
        <v>7.67</v>
      </c>
      <c r="F56" s="2">
        <v>22.81</v>
      </c>
      <c r="G56">
        <v>4</v>
      </c>
      <c r="H56">
        <v>7</v>
      </c>
      <c r="I56" t="str">
        <f t="shared" si="0"/>
        <v>B2B</v>
      </c>
      <c r="J56" s="3">
        <f t="shared" si="1"/>
        <v>0.45</v>
      </c>
      <c r="K56" s="2">
        <f t="shared" si="2"/>
        <v>10.2645</v>
      </c>
    </row>
    <row r="57" spans="1:11" x14ac:dyDescent="0.3">
      <c r="A57" t="s">
        <v>952</v>
      </c>
      <c r="B57" t="s">
        <v>684</v>
      </c>
      <c r="C57">
        <v>58</v>
      </c>
      <c r="D57" t="s">
        <v>901</v>
      </c>
      <c r="E57">
        <v>1.02</v>
      </c>
      <c r="F57" s="2">
        <v>58.64</v>
      </c>
      <c r="G57">
        <v>3</v>
      </c>
      <c r="H57">
        <v>5</v>
      </c>
      <c r="I57" t="str">
        <f t="shared" si="0"/>
        <v>B2B</v>
      </c>
      <c r="J57" s="3">
        <f t="shared" si="1"/>
        <v>0.1</v>
      </c>
      <c r="K57" s="2">
        <f t="shared" si="2"/>
        <v>5.8640000000000008</v>
      </c>
    </row>
    <row r="58" spans="1:11" x14ac:dyDescent="0.3">
      <c r="A58" t="s">
        <v>953</v>
      </c>
      <c r="B58" t="s">
        <v>715</v>
      </c>
      <c r="C58">
        <v>20</v>
      </c>
      <c r="D58" t="s">
        <v>899</v>
      </c>
      <c r="E58">
        <v>0.43</v>
      </c>
      <c r="F58" s="2">
        <v>25.14</v>
      </c>
      <c r="G58">
        <v>0</v>
      </c>
      <c r="H58">
        <v>2</v>
      </c>
      <c r="I58" t="str">
        <f t="shared" si="0"/>
        <v>B2B</v>
      </c>
      <c r="J58" s="3">
        <f t="shared" si="1"/>
        <v>0.1</v>
      </c>
      <c r="K58" s="2">
        <f t="shared" si="2"/>
        <v>2.5140000000000002</v>
      </c>
    </row>
    <row r="59" spans="1:11" x14ac:dyDescent="0.3">
      <c r="A59" t="s">
        <v>954</v>
      </c>
      <c r="B59" t="s">
        <v>678</v>
      </c>
      <c r="C59">
        <v>111</v>
      </c>
      <c r="D59" t="s">
        <v>894</v>
      </c>
      <c r="E59">
        <v>1.72</v>
      </c>
      <c r="F59" s="2">
        <v>32.06</v>
      </c>
      <c r="G59">
        <v>0</v>
      </c>
      <c r="H59">
        <v>9</v>
      </c>
      <c r="I59" t="str">
        <f t="shared" si="0"/>
        <v>B2B</v>
      </c>
      <c r="J59" s="3">
        <f t="shared" si="1"/>
        <v>0.1</v>
      </c>
      <c r="K59" s="2">
        <f t="shared" si="2"/>
        <v>3.2060000000000004</v>
      </c>
    </row>
    <row r="60" spans="1:11" x14ac:dyDescent="0.3">
      <c r="A60" t="s">
        <v>955</v>
      </c>
      <c r="B60" t="s">
        <v>699</v>
      </c>
      <c r="C60">
        <v>94</v>
      </c>
      <c r="D60" t="s">
        <v>901</v>
      </c>
      <c r="E60">
        <v>2.0299999999999998</v>
      </c>
      <c r="F60" s="2">
        <v>95.74</v>
      </c>
      <c r="G60">
        <v>5</v>
      </c>
      <c r="H60">
        <v>8</v>
      </c>
      <c r="I60" t="str">
        <f t="shared" si="0"/>
        <v>-</v>
      </c>
      <c r="J60" s="3">
        <f t="shared" si="1"/>
        <v>0</v>
      </c>
      <c r="K60" s="2">
        <f t="shared" si="2"/>
        <v>0</v>
      </c>
    </row>
    <row r="61" spans="1:11" x14ac:dyDescent="0.3">
      <c r="A61" t="s">
        <v>956</v>
      </c>
      <c r="B61" t="s">
        <v>736</v>
      </c>
      <c r="C61">
        <v>42</v>
      </c>
      <c r="D61" t="s">
        <v>901</v>
      </c>
      <c r="E61">
        <v>6.42</v>
      </c>
      <c r="F61" s="2">
        <v>96.52</v>
      </c>
      <c r="G61">
        <v>1</v>
      </c>
      <c r="H61">
        <v>4</v>
      </c>
      <c r="I61" t="str">
        <f t="shared" si="0"/>
        <v>-</v>
      </c>
      <c r="J61" s="3">
        <f t="shared" si="1"/>
        <v>0.45</v>
      </c>
      <c r="K61" s="2">
        <f t="shared" si="2"/>
        <v>43.433999999999997</v>
      </c>
    </row>
    <row r="62" spans="1:11" x14ac:dyDescent="0.3">
      <c r="A62" t="s">
        <v>957</v>
      </c>
      <c r="B62" t="s">
        <v>699</v>
      </c>
      <c r="C62">
        <v>12</v>
      </c>
      <c r="D62" t="s">
        <v>896</v>
      </c>
      <c r="E62">
        <v>5.08</v>
      </c>
      <c r="F62" s="2">
        <v>59.96</v>
      </c>
      <c r="G62">
        <v>3</v>
      </c>
      <c r="H62">
        <v>1</v>
      </c>
      <c r="I62" t="str">
        <f t="shared" si="0"/>
        <v>B2B</v>
      </c>
      <c r="J62" s="3">
        <f t="shared" si="1"/>
        <v>0.45</v>
      </c>
      <c r="K62" s="2">
        <f t="shared" si="2"/>
        <v>26.981999999999999</v>
      </c>
    </row>
    <row r="63" spans="1:11" x14ac:dyDescent="0.3">
      <c r="A63" t="s">
        <v>958</v>
      </c>
      <c r="B63" t="s">
        <v>736</v>
      </c>
      <c r="C63">
        <v>103</v>
      </c>
      <c r="D63" t="s">
        <v>899</v>
      </c>
      <c r="E63">
        <v>5</v>
      </c>
      <c r="F63" s="2">
        <v>13.76</v>
      </c>
      <c r="G63">
        <v>4</v>
      </c>
      <c r="H63">
        <v>9</v>
      </c>
      <c r="I63" t="str">
        <f t="shared" si="0"/>
        <v>B2B</v>
      </c>
      <c r="J63" s="3">
        <f t="shared" si="1"/>
        <v>0.45</v>
      </c>
      <c r="K63" s="2">
        <f t="shared" si="2"/>
        <v>6.1920000000000002</v>
      </c>
    </row>
    <row r="64" spans="1:11" x14ac:dyDescent="0.3">
      <c r="A64" t="s">
        <v>959</v>
      </c>
      <c r="B64" t="s">
        <v>736</v>
      </c>
      <c r="C64">
        <v>80</v>
      </c>
      <c r="D64" t="s">
        <v>894</v>
      </c>
      <c r="E64">
        <v>2.02</v>
      </c>
      <c r="F64" s="2">
        <v>83.14</v>
      </c>
      <c r="G64">
        <v>5</v>
      </c>
      <c r="H64">
        <v>7</v>
      </c>
      <c r="I64" t="str">
        <f t="shared" si="0"/>
        <v>-</v>
      </c>
      <c r="J64" s="3">
        <f t="shared" si="1"/>
        <v>0</v>
      </c>
      <c r="K64" s="2">
        <f t="shared" si="2"/>
        <v>0</v>
      </c>
    </row>
    <row r="65" spans="1:11" x14ac:dyDescent="0.3">
      <c r="A65" t="s">
        <v>960</v>
      </c>
      <c r="B65" t="s">
        <v>706</v>
      </c>
      <c r="C65">
        <v>86</v>
      </c>
      <c r="D65" t="s">
        <v>896</v>
      </c>
      <c r="E65">
        <v>4.2</v>
      </c>
      <c r="F65" s="2">
        <v>96.5</v>
      </c>
      <c r="G65">
        <v>5</v>
      </c>
      <c r="H65">
        <v>7</v>
      </c>
      <c r="I65" t="str">
        <f t="shared" si="0"/>
        <v>-</v>
      </c>
      <c r="J65" s="3">
        <f t="shared" si="1"/>
        <v>0.45</v>
      </c>
      <c r="K65" s="2">
        <f t="shared" si="2"/>
        <v>43.425000000000004</v>
      </c>
    </row>
    <row r="66" spans="1:11" x14ac:dyDescent="0.3">
      <c r="A66" t="s">
        <v>961</v>
      </c>
      <c r="B66" t="s">
        <v>689</v>
      </c>
      <c r="C66">
        <v>80</v>
      </c>
      <c r="D66" t="s">
        <v>899</v>
      </c>
      <c r="E66">
        <v>4.33</v>
      </c>
      <c r="F66" s="2">
        <v>65.87</v>
      </c>
      <c r="G66">
        <v>3</v>
      </c>
      <c r="H66">
        <v>7</v>
      </c>
      <c r="I66" t="str">
        <f t="shared" ref="I66:I129" si="3">IF(F66&lt;80,"B2B","-")</f>
        <v>B2B</v>
      </c>
      <c r="J66" s="3">
        <f t="shared" ref="J66:J129" si="4">IF(AND(E66&gt;12,H66&gt;5),70%,
IF(OR(AND(E66&gt;=4,E66&lt;=12),AND(H66&lt;5,ISNUMBER(SEARCH("Premium",D66)))),45%,
IF(I66="B2B",10%,0%)))</f>
        <v>0.45</v>
      </c>
      <c r="K66" s="2">
        <f t="shared" ref="K66:K129" si="5">F66*J66</f>
        <v>29.641500000000004</v>
      </c>
    </row>
    <row r="67" spans="1:11" x14ac:dyDescent="0.3">
      <c r="A67" t="s">
        <v>962</v>
      </c>
      <c r="B67" t="s">
        <v>721</v>
      </c>
      <c r="C67">
        <v>53</v>
      </c>
      <c r="D67" t="s">
        <v>896</v>
      </c>
      <c r="E67">
        <v>6.42</v>
      </c>
      <c r="F67" s="2">
        <v>68.78</v>
      </c>
      <c r="G67">
        <v>3</v>
      </c>
      <c r="H67">
        <v>4</v>
      </c>
      <c r="I67" t="str">
        <f t="shared" si="3"/>
        <v>B2B</v>
      </c>
      <c r="J67" s="3">
        <f t="shared" si="4"/>
        <v>0.45</v>
      </c>
      <c r="K67" s="2">
        <f t="shared" si="5"/>
        <v>30.951000000000001</v>
      </c>
    </row>
    <row r="68" spans="1:11" x14ac:dyDescent="0.3">
      <c r="A68" t="s">
        <v>963</v>
      </c>
      <c r="B68" t="s">
        <v>715</v>
      </c>
      <c r="C68">
        <v>50</v>
      </c>
      <c r="D68" t="s">
        <v>899</v>
      </c>
      <c r="E68">
        <v>4.3</v>
      </c>
      <c r="F68" s="2">
        <v>25.06</v>
      </c>
      <c r="G68">
        <v>4</v>
      </c>
      <c r="H68">
        <v>4</v>
      </c>
      <c r="I68" t="str">
        <f t="shared" si="3"/>
        <v>B2B</v>
      </c>
      <c r="J68" s="3">
        <f t="shared" si="4"/>
        <v>0.45</v>
      </c>
      <c r="K68" s="2">
        <f t="shared" si="5"/>
        <v>11.276999999999999</v>
      </c>
    </row>
    <row r="69" spans="1:11" x14ac:dyDescent="0.3">
      <c r="A69" t="s">
        <v>964</v>
      </c>
      <c r="B69" t="s">
        <v>715</v>
      </c>
      <c r="C69">
        <v>30</v>
      </c>
      <c r="D69" t="s">
        <v>894</v>
      </c>
      <c r="E69">
        <v>3.28</v>
      </c>
      <c r="F69" s="2">
        <v>15.42</v>
      </c>
      <c r="G69">
        <v>0</v>
      </c>
      <c r="H69">
        <v>2</v>
      </c>
      <c r="I69" t="str">
        <f t="shared" si="3"/>
        <v>B2B</v>
      </c>
      <c r="J69" s="3">
        <f t="shared" si="4"/>
        <v>0.45</v>
      </c>
      <c r="K69" s="2">
        <f t="shared" si="5"/>
        <v>6.9390000000000001</v>
      </c>
    </row>
    <row r="70" spans="1:11" x14ac:dyDescent="0.3">
      <c r="A70" t="s">
        <v>965</v>
      </c>
      <c r="B70" t="s">
        <v>721</v>
      </c>
      <c r="C70">
        <v>116</v>
      </c>
      <c r="D70" t="s">
        <v>896</v>
      </c>
      <c r="E70">
        <v>8.1</v>
      </c>
      <c r="F70" s="2">
        <v>92.96</v>
      </c>
      <c r="G70">
        <v>5</v>
      </c>
      <c r="H70">
        <v>10</v>
      </c>
      <c r="I70" t="str">
        <f t="shared" si="3"/>
        <v>-</v>
      </c>
      <c r="J70" s="3">
        <f t="shared" si="4"/>
        <v>0.45</v>
      </c>
      <c r="K70" s="2">
        <f t="shared" si="5"/>
        <v>41.832000000000001</v>
      </c>
    </row>
    <row r="71" spans="1:11" x14ac:dyDescent="0.3">
      <c r="A71" t="s">
        <v>966</v>
      </c>
      <c r="B71" t="s">
        <v>698</v>
      </c>
      <c r="C71">
        <v>51</v>
      </c>
      <c r="D71" t="s">
        <v>901</v>
      </c>
      <c r="E71">
        <v>0.97</v>
      </c>
      <c r="F71" s="2">
        <v>34.6</v>
      </c>
      <c r="G71">
        <v>5</v>
      </c>
      <c r="H71">
        <v>4</v>
      </c>
      <c r="I71" t="str">
        <f t="shared" si="3"/>
        <v>B2B</v>
      </c>
      <c r="J71" s="3">
        <f t="shared" si="4"/>
        <v>0.1</v>
      </c>
      <c r="K71" s="2">
        <f t="shared" si="5"/>
        <v>3.4600000000000004</v>
      </c>
    </row>
    <row r="72" spans="1:11" x14ac:dyDescent="0.3">
      <c r="A72" t="s">
        <v>967</v>
      </c>
      <c r="B72" t="s">
        <v>710</v>
      </c>
      <c r="C72">
        <v>44</v>
      </c>
      <c r="D72" t="s">
        <v>896</v>
      </c>
      <c r="E72">
        <v>2.2799999999999998</v>
      </c>
      <c r="F72" s="2">
        <v>32.58</v>
      </c>
      <c r="G72">
        <v>0</v>
      </c>
      <c r="H72">
        <v>4</v>
      </c>
      <c r="I72" t="str">
        <f t="shared" si="3"/>
        <v>B2B</v>
      </c>
      <c r="J72" s="3">
        <f t="shared" si="4"/>
        <v>0.1</v>
      </c>
      <c r="K72" s="2">
        <f t="shared" si="5"/>
        <v>3.258</v>
      </c>
    </row>
    <row r="73" spans="1:11" x14ac:dyDescent="0.3">
      <c r="A73" t="s">
        <v>968</v>
      </c>
      <c r="B73" t="s">
        <v>724</v>
      </c>
      <c r="C73">
        <v>70</v>
      </c>
      <c r="D73" t="s">
        <v>899</v>
      </c>
      <c r="E73">
        <v>0.52</v>
      </c>
      <c r="F73" s="2">
        <v>71.2</v>
      </c>
      <c r="G73">
        <v>4</v>
      </c>
      <c r="H73">
        <v>6</v>
      </c>
      <c r="I73" t="str">
        <f t="shared" si="3"/>
        <v>B2B</v>
      </c>
      <c r="J73" s="3">
        <f t="shared" si="4"/>
        <v>0.1</v>
      </c>
      <c r="K73" s="2">
        <f t="shared" si="5"/>
        <v>7.120000000000001</v>
      </c>
    </row>
    <row r="74" spans="1:11" x14ac:dyDescent="0.3">
      <c r="A74" t="s">
        <v>969</v>
      </c>
      <c r="B74" t="s">
        <v>736</v>
      </c>
      <c r="C74">
        <v>6</v>
      </c>
      <c r="D74" t="s">
        <v>894</v>
      </c>
      <c r="E74">
        <v>2.7</v>
      </c>
      <c r="F74" s="2">
        <v>99.93</v>
      </c>
      <c r="G74">
        <v>0</v>
      </c>
      <c r="H74">
        <v>0</v>
      </c>
      <c r="I74" t="str">
        <f t="shared" si="3"/>
        <v>-</v>
      </c>
      <c r="J74" s="3">
        <f t="shared" si="4"/>
        <v>0.45</v>
      </c>
      <c r="K74" s="2">
        <f t="shared" si="5"/>
        <v>44.968500000000006</v>
      </c>
    </row>
    <row r="75" spans="1:11" x14ac:dyDescent="0.3">
      <c r="A75" t="s">
        <v>970</v>
      </c>
      <c r="B75" t="s">
        <v>736</v>
      </c>
      <c r="C75">
        <v>86</v>
      </c>
      <c r="D75" t="s">
        <v>896</v>
      </c>
      <c r="E75">
        <v>3.95</v>
      </c>
      <c r="F75" s="2">
        <v>85.82</v>
      </c>
      <c r="G75">
        <v>5</v>
      </c>
      <c r="H75">
        <v>7</v>
      </c>
      <c r="I75" t="str">
        <f t="shared" si="3"/>
        <v>-</v>
      </c>
      <c r="J75" s="3">
        <f t="shared" si="4"/>
        <v>0</v>
      </c>
      <c r="K75" s="2">
        <f t="shared" si="5"/>
        <v>0</v>
      </c>
    </row>
    <row r="76" spans="1:11" x14ac:dyDescent="0.3">
      <c r="A76" t="s">
        <v>971</v>
      </c>
      <c r="B76" t="s">
        <v>693</v>
      </c>
      <c r="C76">
        <v>114</v>
      </c>
      <c r="D76" t="s">
        <v>894</v>
      </c>
      <c r="E76">
        <v>4.72</v>
      </c>
      <c r="F76" s="2">
        <v>29.15</v>
      </c>
      <c r="G76">
        <v>3</v>
      </c>
      <c r="H76">
        <v>10</v>
      </c>
      <c r="I76" t="str">
        <f t="shared" si="3"/>
        <v>B2B</v>
      </c>
      <c r="J76" s="3">
        <f t="shared" si="4"/>
        <v>0.45</v>
      </c>
      <c r="K76" s="2">
        <f t="shared" si="5"/>
        <v>13.1175</v>
      </c>
    </row>
    <row r="77" spans="1:11" x14ac:dyDescent="0.3">
      <c r="A77" t="s">
        <v>972</v>
      </c>
      <c r="B77" t="s">
        <v>702</v>
      </c>
      <c r="C77">
        <v>57</v>
      </c>
      <c r="D77" t="s">
        <v>899</v>
      </c>
      <c r="E77">
        <v>3.47</v>
      </c>
      <c r="F77" s="2">
        <v>85.66</v>
      </c>
      <c r="G77">
        <v>5</v>
      </c>
      <c r="H77">
        <v>5</v>
      </c>
      <c r="I77" t="str">
        <f t="shared" si="3"/>
        <v>-</v>
      </c>
      <c r="J77" s="3">
        <f t="shared" si="4"/>
        <v>0</v>
      </c>
      <c r="K77" s="2">
        <f t="shared" si="5"/>
        <v>0</v>
      </c>
    </row>
    <row r="78" spans="1:11" x14ac:dyDescent="0.3">
      <c r="A78" t="s">
        <v>973</v>
      </c>
      <c r="B78" t="s">
        <v>718</v>
      </c>
      <c r="C78">
        <v>95</v>
      </c>
      <c r="D78" t="s">
        <v>899</v>
      </c>
      <c r="E78">
        <v>0.55000000000000004</v>
      </c>
      <c r="F78" s="2">
        <v>35.32</v>
      </c>
      <c r="G78">
        <v>0</v>
      </c>
      <c r="H78">
        <v>8</v>
      </c>
      <c r="I78" t="str">
        <f t="shared" si="3"/>
        <v>B2B</v>
      </c>
      <c r="J78" s="3">
        <f t="shared" si="4"/>
        <v>0.1</v>
      </c>
      <c r="K78" s="2">
        <f t="shared" si="5"/>
        <v>3.532</v>
      </c>
    </row>
    <row r="79" spans="1:11" x14ac:dyDescent="0.3">
      <c r="A79" t="s">
        <v>974</v>
      </c>
      <c r="B79" t="s">
        <v>706</v>
      </c>
      <c r="C79">
        <v>36</v>
      </c>
      <c r="D79" t="s">
        <v>899</v>
      </c>
      <c r="E79">
        <v>4.12</v>
      </c>
      <c r="F79" s="2">
        <v>24.53</v>
      </c>
      <c r="G79">
        <v>2</v>
      </c>
      <c r="H79">
        <v>3</v>
      </c>
      <c r="I79" t="str">
        <f t="shared" si="3"/>
        <v>B2B</v>
      </c>
      <c r="J79" s="3">
        <f t="shared" si="4"/>
        <v>0.45</v>
      </c>
      <c r="K79" s="2">
        <f t="shared" si="5"/>
        <v>11.038500000000001</v>
      </c>
    </row>
    <row r="80" spans="1:11" x14ac:dyDescent="0.3">
      <c r="A80" t="s">
        <v>975</v>
      </c>
      <c r="B80" t="s">
        <v>689</v>
      </c>
      <c r="C80">
        <v>83</v>
      </c>
      <c r="D80" t="s">
        <v>901</v>
      </c>
      <c r="E80">
        <v>0.23</v>
      </c>
      <c r="F80" s="2">
        <v>58.07</v>
      </c>
      <c r="G80">
        <v>3</v>
      </c>
      <c r="H80">
        <v>7</v>
      </c>
      <c r="I80" t="str">
        <f t="shared" si="3"/>
        <v>B2B</v>
      </c>
      <c r="J80" s="3">
        <f t="shared" si="4"/>
        <v>0.1</v>
      </c>
      <c r="K80" s="2">
        <f t="shared" si="5"/>
        <v>5.8070000000000004</v>
      </c>
    </row>
    <row r="81" spans="1:11" x14ac:dyDescent="0.3">
      <c r="A81" t="s">
        <v>976</v>
      </c>
      <c r="B81" t="s">
        <v>678</v>
      </c>
      <c r="C81">
        <v>12</v>
      </c>
      <c r="D81" t="s">
        <v>894</v>
      </c>
      <c r="E81">
        <v>3.47</v>
      </c>
      <c r="F81" s="2">
        <v>16.29</v>
      </c>
      <c r="G81">
        <v>4</v>
      </c>
      <c r="H81">
        <v>1</v>
      </c>
      <c r="I81" t="str">
        <f t="shared" si="3"/>
        <v>B2B</v>
      </c>
      <c r="J81" s="3">
        <f t="shared" si="4"/>
        <v>0.45</v>
      </c>
      <c r="K81" s="2">
        <f t="shared" si="5"/>
        <v>7.3304999999999998</v>
      </c>
    </row>
    <row r="82" spans="1:11" x14ac:dyDescent="0.3">
      <c r="A82" t="s">
        <v>977</v>
      </c>
      <c r="B82" t="s">
        <v>703</v>
      </c>
      <c r="C82">
        <v>111</v>
      </c>
      <c r="D82" t="s">
        <v>901</v>
      </c>
      <c r="E82">
        <v>5.4</v>
      </c>
      <c r="F82" s="2">
        <v>18.07</v>
      </c>
      <c r="G82">
        <v>2</v>
      </c>
      <c r="H82">
        <v>9</v>
      </c>
      <c r="I82" t="str">
        <f t="shared" si="3"/>
        <v>B2B</v>
      </c>
      <c r="J82" s="3">
        <f t="shared" si="4"/>
        <v>0.45</v>
      </c>
      <c r="K82" s="2">
        <f t="shared" si="5"/>
        <v>8.1315000000000008</v>
      </c>
    </row>
    <row r="83" spans="1:11" x14ac:dyDescent="0.3">
      <c r="A83" t="s">
        <v>978</v>
      </c>
      <c r="B83" t="s">
        <v>699</v>
      </c>
      <c r="C83">
        <v>22</v>
      </c>
      <c r="D83" t="s">
        <v>901</v>
      </c>
      <c r="E83">
        <v>1.98</v>
      </c>
      <c r="F83" s="2">
        <v>72.86</v>
      </c>
      <c r="G83">
        <v>3</v>
      </c>
      <c r="H83">
        <v>2</v>
      </c>
      <c r="I83" t="str">
        <f t="shared" si="3"/>
        <v>B2B</v>
      </c>
      <c r="J83" s="3">
        <f t="shared" si="4"/>
        <v>0.1</v>
      </c>
      <c r="K83" s="2">
        <f t="shared" si="5"/>
        <v>7.2860000000000005</v>
      </c>
    </row>
    <row r="84" spans="1:11" x14ac:dyDescent="0.3">
      <c r="A84" t="s">
        <v>979</v>
      </c>
      <c r="B84" t="s">
        <v>725</v>
      </c>
      <c r="C84">
        <v>91</v>
      </c>
      <c r="D84" t="s">
        <v>894</v>
      </c>
      <c r="E84">
        <v>7.78</v>
      </c>
      <c r="F84" s="2">
        <v>84.74</v>
      </c>
      <c r="G84">
        <v>1</v>
      </c>
      <c r="H84">
        <v>8</v>
      </c>
      <c r="I84" t="str">
        <f t="shared" si="3"/>
        <v>-</v>
      </c>
      <c r="J84" s="3">
        <f t="shared" si="4"/>
        <v>0.45</v>
      </c>
      <c r="K84" s="2">
        <f t="shared" si="5"/>
        <v>38.132999999999996</v>
      </c>
    </row>
    <row r="85" spans="1:11" x14ac:dyDescent="0.3">
      <c r="A85" t="s">
        <v>980</v>
      </c>
      <c r="B85" t="s">
        <v>724</v>
      </c>
      <c r="C85">
        <v>4</v>
      </c>
      <c r="D85" t="s">
        <v>899</v>
      </c>
      <c r="E85">
        <v>7.55</v>
      </c>
      <c r="F85" s="2">
        <v>75.260000000000005</v>
      </c>
      <c r="G85">
        <v>5</v>
      </c>
      <c r="H85">
        <v>0</v>
      </c>
      <c r="I85" t="str">
        <f t="shared" si="3"/>
        <v>B2B</v>
      </c>
      <c r="J85" s="3">
        <f t="shared" si="4"/>
        <v>0.45</v>
      </c>
      <c r="K85" s="2">
        <f t="shared" si="5"/>
        <v>33.867000000000004</v>
      </c>
    </row>
    <row r="86" spans="1:11" x14ac:dyDescent="0.3">
      <c r="A86" t="s">
        <v>981</v>
      </c>
      <c r="B86" t="s">
        <v>710</v>
      </c>
      <c r="C86">
        <v>74</v>
      </c>
      <c r="D86" t="s">
        <v>901</v>
      </c>
      <c r="E86">
        <v>0.15</v>
      </c>
      <c r="F86" s="2">
        <v>99.89</v>
      </c>
      <c r="G86">
        <v>0</v>
      </c>
      <c r="H86">
        <v>6</v>
      </c>
      <c r="I86" t="str">
        <f t="shared" si="3"/>
        <v>-</v>
      </c>
      <c r="J86" s="3">
        <f t="shared" si="4"/>
        <v>0</v>
      </c>
      <c r="K86" s="2">
        <f t="shared" si="5"/>
        <v>0</v>
      </c>
    </row>
    <row r="87" spans="1:11" x14ac:dyDescent="0.3">
      <c r="A87" t="s">
        <v>982</v>
      </c>
      <c r="B87" t="s">
        <v>706</v>
      </c>
      <c r="C87">
        <v>81</v>
      </c>
      <c r="D87" t="s">
        <v>894</v>
      </c>
      <c r="E87">
        <v>2.2799999999999998</v>
      </c>
      <c r="F87" s="2">
        <v>89.05</v>
      </c>
      <c r="G87">
        <v>0</v>
      </c>
      <c r="H87">
        <v>7</v>
      </c>
      <c r="I87" t="str">
        <f t="shared" si="3"/>
        <v>-</v>
      </c>
      <c r="J87" s="3">
        <f t="shared" si="4"/>
        <v>0</v>
      </c>
      <c r="K87" s="2">
        <f t="shared" si="5"/>
        <v>0</v>
      </c>
    </row>
    <row r="88" spans="1:11" x14ac:dyDescent="0.3">
      <c r="A88" t="s">
        <v>983</v>
      </c>
      <c r="B88" t="s">
        <v>698</v>
      </c>
      <c r="C88">
        <v>102</v>
      </c>
      <c r="D88" t="s">
        <v>896</v>
      </c>
      <c r="E88">
        <v>4.72</v>
      </c>
      <c r="F88" s="2">
        <v>28.98</v>
      </c>
      <c r="G88">
        <v>3</v>
      </c>
      <c r="H88">
        <v>8</v>
      </c>
      <c r="I88" t="str">
        <f t="shared" si="3"/>
        <v>B2B</v>
      </c>
      <c r="J88" s="3">
        <f t="shared" si="4"/>
        <v>0.45</v>
      </c>
      <c r="K88" s="2">
        <f t="shared" si="5"/>
        <v>13.041</v>
      </c>
    </row>
    <row r="89" spans="1:11" x14ac:dyDescent="0.3">
      <c r="A89" t="s">
        <v>984</v>
      </c>
      <c r="B89" t="s">
        <v>736</v>
      </c>
      <c r="C89">
        <v>99</v>
      </c>
      <c r="D89" t="s">
        <v>901</v>
      </c>
      <c r="E89">
        <v>8.2200000000000006</v>
      </c>
      <c r="F89" s="2">
        <v>55.43</v>
      </c>
      <c r="G89">
        <v>2</v>
      </c>
      <c r="H89">
        <v>8</v>
      </c>
      <c r="I89" t="str">
        <f t="shared" si="3"/>
        <v>B2B</v>
      </c>
      <c r="J89" s="3">
        <f t="shared" si="4"/>
        <v>0.45</v>
      </c>
      <c r="K89" s="2">
        <f t="shared" si="5"/>
        <v>24.9435</v>
      </c>
    </row>
    <row r="90" spans="1:11" x14ac:dyDescent="0.3">
      <c r="A90" t="s">
        <v>985</v>
      </c>
      <c r="B90" t="s">
        <v>698</v>
      </c>
      <c r="C90">
        <v>91</v>
      </c>
      <c r="D90" t="s">
        <v>899</v>
      </c>
      <c r="E90">
        <v>5</v>
      </c>
      <c r="F90" s="2">
        <v>82.19</v>
      </c>
      <c r="G90">
        <v>1</v>
      </c>
      <c r="H90">
        <v>8</v>
      </c>
      <c r="I90" t="str">
        <f t="shared" si="3"/>
        <v>-</v>
      </c>
      <c r="J90" s="3">
        <f t="shared" si="4"/>
        <v>0.45</v>
      </c>
      <c r="K90" s="2">
        <f t="shared" si="5"/>
        <v>36.985500000000002</v>
      </c>
    </row>
    <row r="91" spans="1:11" x14ac:dyDescent="0.3">
      <c r="A91" t="s">
        <v>986</v>
      </c>
      <c r="B91" t="s">
        <v>674</v>
      </c>
      <c r="C91">
        <v>40</v>
      </c>
      <c r="D91" t="s">
        <v>894</v>
      </c>
      <c r="E91">
        <v>5.75</v>
      </c>
      <c r="F91" s="2">
        <v>89.55</v>
      </c>
      <c r="G91">
        <v>3</v>
      </c>
      <c r="H91">
        <v>3</v>
      </c>
      <c r="I91" t="str">
        <f t="shared" si="3"/>
        <v>-</v>
      </c>
      <c r="J91" s="3">
        <f t="shared" si="4"/>
        <v>0.45</v>
      </c>
      <c r="K91" s="2">
        <f t="shared" si="5"/>
        <v>40.297499999999999</v>
      </c>
    </row>
    <row r="92" spans="1:11" x14ac:dyDescent="0.3">
      <c r="A92" t="s">
        <v>987</v>
      </c>
      <c r="B92" t="s">
        <v>687</v>
      </c>
      <c r="C92">
        <v>72</v>
      </c>
      <c r="D92" t="s">
        <v>901</v>
      </c>
      <c r="E92">
        <v>0.85</v>
      </c>
      <c r="F92" s="2">
        <v>95.09</v>
      </c>
      <c r="G92">
        <v>0</v>
      </c>
      <c r="H92">
        <v>6</v>
      </c>
      <c r="I92" t="str">
        <f t="shared" si="3"/>
        <v>-</v>
      </c>
      <c r="J92" s="3">
        <f t="shared" si="4"/>
        <v>0</v>
      </c>
      <c r="K92" s="2">
        <f t="shared" si="5"/>
        <v>0</v>
      </c>
    </row>
    <row r="93" spans="1:11" x14ac:dyDescent="0.3">
      <c r="A93" t="s">
        <v>988</v>
      </c>
      <c r="B93" t="s">
        <v>721</v>
      </c>
      <c r="C93">
        <v>83</v>
      </c>
      <c r="D93" t="s">
        <v>899</v>
      </c>
      <c r="E93">
        <v>2.1</v>
      </c>
      <c r="F93" s="2">
        <v>67.17</v>
      </c>
      <c r="G93">
        <v>1</v>
      </c>
      <c r="H93">
        <v>7</v>
      </c>
      <c r="I93" t="str">
        <f t="shared" si="3"/>
        <v>B2B</v>
      </c>
      <c r="J93" s="3">
        <f t="shared" si="4"/>
        <v>0.1</v>
      </c>
      <c r="K93" s="2">
        <f t="shared" si="5"/>
        <v>6.7170000000000005</v>
      </c>
    </row>
    <row r="94" spans="1:11" x14ac:dyDescent="0.3">
      <c r="A94" t="s">
        <v>989</v>
      </c>
      <c r="B94" t="s">
        <v>695</v>
      </c>
      <c r="C94">
        <v>16</v>
      </c>
      <c r="D94" t="s">
        <v>899</v>
      </c>
      <c r="E94">
        <v>6.5</v>
      </c>
      <c r="F94" s="2">
        <v>98.17</v>
      </c>
      <c r="G94">
        <v>5</v>
      </c>
      <c r="H94">
        <v>1</v>
      </c>
      <c r="I94" t="str">
        <f t="shared" si="3"/>
        <v>-</v>
      </c>
      <c r="J94" s="3">
        <f t="shared" si="4"/>
        <v>0.45</v>
      </c>
      <c r="K94" s="2">
        <f t="shared" si="5"/>
        <v>44.176500000000004</v>
      </c>
    </row>
    <row r="95" spans="1:11" x14ac:dyDescent="0.3">
      <c r="A95" t="s">
        <v>990</v>
      </c>
      <c r="B95" t="s">
        <v>706</v>
      </c>
      <c r="C95">
        <v>83</v>
      </c>
      <c r="D95" t="s">
        <v>894</v>
      </c>
      <c r="E95">
        <v>4.7300000000000004</v>
      </c>
      <c r="F95" s="2">
        <v>73.7</v>
      </c>
      <c r="G95">
        <v>0</v>
      </c>
      <c r="H95">
        <v>7</v>
      </c>
      <c r="I95" t="str">
        <f t="shared" si="3"/>
        <v>B2B</v>
      </c>
      <c r="J95" s="3">
        <f t="shared" si="4"/>
        <v>0.45</v>
      </c>
      <c r="K95" s="2">
        <f t="shared" si="5"/>
        <v>33.164999999999999</v>
      </c>
    </row>
    <row r="96" spans="1:11" x14ac:dyDescent="0.3">
      <c r="A96" t="s">
        <v>991</v>
      </c>
      <c r="B96" t="s">
        <v>718</v>
      </c>
      <c r="C96">
        <v>72</v>
      </c>
      <c r="D96" t="s">
        <v>896</v>
      </c>
      <c r="E96">
        <v>5.55</v>
      </c>
      <c r="F96" s="2">
        <v>34.57</v>
      </c>
      <c r="G96">
        <v>2</v>
      </c>
      <c r="H96">
        <v>6</v>
      </c>
      <c r="I96" t="str">
        <f t="shared" si="3"/>
        <v>B2B</v>
      </c>
      <c r="J96" s="3">
        <f t="shared" si="4"/>
        <v>0.45</v>
      </c>
      <c r="K96" s="2">
        <f t="shared" si="5"/>
        <v>15.5565</v>
      </c>
    </row>
    <row r="97" spans="1:11" x14ac:dyDescent="0.3">
      <c r="A97" t="s">
        <v>992</v>
      </c>
      <c r="B97" t="s">
        <v>700</v>
      </c>
      <c r="C97">
        <v>11</v>
      </c>
      <c r="D97" t="s">
        <v>899</v>
      </c>
      <c r="E97">
        <v>6.7</v>
      </c>
      <c r="F97" s="2">
        <v>69.599999999999994</v>
      </c>
      <c r="G97">
        <v>5</v>
      </c>
      <c r="H97">
        <v>1</v>
      </c>
      <c r="I97" t="str">
        <f t="shared" si="3"/>
        <v>B2B</v>
      </c>
      <c r="J97" s="3">
        <f t="shared" si="4"/>
        <v>0.45</v>
      </c>
      <c r="K97" s="2">
        <f t="shared" si="5"/>
        <v>31.319999999999997</v>
      </c>
    </row>
    <row r="98" spans="1:11" x14ac:dyDescent="0.3">
      <c r="A98" t="s">
        <v>993</v>
      </c>
      <c r="B98" t="s">
        <v>715</v>
      </c>
      <c r="C98">
        <v>25</v>
      </c>
      <c r="D98" t="s">
        <v>894</v>
      </c>
      <c r="E98">
        <v>1.07</v>
      </c>
      <c r="F98" s="2">
        <v>38.950000000000003</v>
      </c>
      <c r="G98">
        <v>5</v>
      </c>
      <c r="H98">
        <v>2</v>
      </c>
      <c r="I98" t="str">
        <f t="shared" si="3"/>
        <v>B2B</v>
      </c>
      <c r="J98" s="3">
        <f t="shared" si="4"/>
        <v>0.45</v>
      </c>
      <c r="K98" s="2">
        <f t="shared" si="5"/>
        <v>17.527500000000003</v>
      </c>
    </row>
    <row r="99" spans="1:11" x14ac:dyDescent="0.3">
      <c r="A99" t="s">
        <v>994</v>
      </c>
      <c r="B99" t="s">
        <v>713</v>
      </c>
      <c r="C99">
        <v>80</v>
      </c>
      <c r="D99" t="s">
        <v>901</v>
      </c>
      <c r="E99">
        <v>2.58</v>
      </c>
      <c r="F99" s="2">
        <v>28.96</v>
      </c>
      <c r="G99">
        <v>2</v>
      </c>
      <c r="H99">
        <v>7</v>
      </c>
      <c r="I99" t="str">
        <f t="shared" si="3"/>
        <v>B2B</v>
      </c>
      <c r="J99" s="3">
        <f t="shared" si="4"/>
        <v>0.1</v>
      </c>
      <c r="K99" s="2">
        <f t="shared" si="5"/>
        <v>2.8960000000000004</v>
      </c>
    </row>
    <row r="100" spans="1:11" x14ac:dyDescent="0.3">
      <c r="A100" t="s">
        <v>995</v>
      </c>
      <c r="B100" t="s">
        <v>715</v>
      </c>
      <c r="C100">
        <v>70</v>
      </c>
      <c r="D100" t="s">
        <v>896</v>
      </c>
      <c r="E100">
        <v>4.83</v>
      </c>
      <c r="F100" s="2">
        <v>96.31</v>
      </c>
      <c r="G100">
        <v>1</v>
      </c>
      <c r="H100">
        <v>6</v>
      </c>
      <c r="I100" t="str">
        <f t="shared" si="3"/>
        <v>-</v>
      </c>
      <c r="J100" s="3">
        <f t="shared" si="4"/>
        <v>0.45</v>
      </c>
      <c r="K100" s="2">
        <f t="shared" si="5"/>
        <v>43.339500000000001</v>
      </c>
    </row>
    <row r="101" spans="1:11" x14ac:dyDescent="0.3">
      <c r="A101" t="s">
        <v>996</v>
      </c>
      <c r="B101" t="s">
        <v>684</v>
      </c>
      <c r="C101">
        <v>74</v>
      </c>
      <c r="D101" t="s">
        <v>894</v>
      </c>
      <c r="E101">
        <v>3.47</v>
      </c>
      <c r="F101" s="2">
        <v>39.56</v>
      </c>
      <c r="G101">
        <v>0</v>
      </c>
      <c r="H101">
        <v>6</v>
      </c>
      <c r="I101" t="str">
        <f t="shared" si="3"/>
        <v>B2B</v>
      </c>
      <c r="J101" s="3">
        <f t="shared" si="4"/>
        <v>0.1</v>
      </c>
      <c r="K101" s="2">
        <f t="shared" si="5"/>
        <v>3.9560000000000004</v>
      </c>
    </row>
    <row r="102" spans="1:11" x14ac:dyDescent="0.3">
      <c r="A102" t="s">
        <v>997</v>
      </c>
      <c r="B102" t="s">
        <v>721</v>
      </c>
      <c r="C102">
        <v>87</v>
      </c>
      <c r="D102" t="s">
        <v>896</v>
      </c>
      <c r="E102">
        <v>7.37</v>
      </c>
      <c r="F102" s="2">
        <v>22.39</v>
      </c>
      <c r="G102">
        <v>3</v>
      </c>
      <c r="H102">
        <v>7</v>
      </c>
      <c r="I102" t="str">
        <f t="shared" si="3"/>
        <v>B2B</v>
      </c>
      <c r="J102" s="3">
        <f t="shared" si="4"/>
        <v>0.45</v>
      </c>
      <c r="K102" s="2">
        <f t="shared" si="5"/>
        <v>10.0755</v>
      </c>
    </row>
    <row r="103" spans="1:11" x14ac:dyDescent="0.3">
      <c r="A103" t="s">
        <v>998</v>
      </c>
      <c r="B103" t="s">
        <v>681</v>
      </c>
      <c r="C103">
        <v>69</v>
      </c>
      <c r="D103" t="s">
        <v>899</v>
      </c>
      <c r="E103">
        <v>5.0999999999999996</v>
      </c>
      <c r="F103" s="2">
        <v>13.97</v>
      </c>
      <c r="G103">
        <v>1</v>
      </c>
      <c r="H103">
        <v>6</v>
      </c>
      <c r="I103" t="str">
        <f t="shared" si="3"/>
        <v>B2B</v>
      </c>
      <c r="J103" s="3">
        <f t="shared" si="4"/>
        <v>0.45</v>
      </c>
      <c r="K103" s="2">
        <f t="shared" si="5"/>
        <v>6.2865000000000002</v>
      </c>
    </row>
    <row r="104" spans="1:11" x14ac:dyDescent="0.3">
      <c r="A104" t="s">
        <v>999</v>
      </c>
      <c r="B104" t="s">
        <v>705</v>
      </c>
      <c r="C104">
        <v>79</v>
      </c>
      <c r="D104" t="s">
        <v>901</v>
      </c>
      <c r="E104">
        <v>6.72</v>
      </c>
      <c r="F104" s="2">
        <v>21.49</v>
      </c>
      <c r="G104">
        <v>0</v>
      </c>
      <c r="H104">
        <v>7</v>
      </c>
      <c r="I104" t="str">
        <f t="shared" si="3"/>
        <v>B2B</v>
      </c>
      <c r="J104" s="3">
        <f t="shared" si="4"/>
        <v>0.45</v>
      </c>
      <c r="K104" s="2">
        <f t="shared" si="5"/>
        <v>9.6704999999999988</v>
      </c>
    </row>
    <row r="105" spans="1:11" x14ac:dyDescent="0.3">
      <c r="A105" t="s">
        <v>1000</v>
      </c>
      <c r="B105" t="s">
        <v>705</v>
      </c>
      <c r="C105">
        <v>33</v>
      </c>
      <c r="D105" t="s">
        <v>901</v>
      </c>
      <c r="E105">
        <v>5.62</v>
      </c>
      <c r="F105" s="2">
        <v>62.61</v>
      </c>
      <c r="G105">
        <v>2</v>
      </c>
      <c r="H105">
        <v>3</v>
      </c>
      <c r="I105" t="str">
        <f t="shared" si="3"/>
        <v>B2B</v>
      </c>
      <c r="J105" s="3">
        <f t="shared" si="4"/>
        <v>0.45</v>
      </c>
      <c r="K105" s="2">
        <f t="shared" si="5"/>
        <v>28.174500000000002</v>
      </c>
    </row>
    <row r="106" spans="1:11" x14ac:dyDescent="0.3">
      <c r="A106" t="s">
        <v>1001</v>
      </c>
      <c r="B106" t="s">
        <v>706</v>
      </c>
      <c r="C106">
        <v>88</v>
      </c>
      <c r="D106" t="s">
        <v>901</v>
      </c>
      <c r="E106">
        <v>5.32</v>
      </c>
      <c r="F106" s="2">
        <v>56.18</v>
      </c>
      <c r="G106">
        <v>0</v>
      </c>
      <c r="H106">
        <v>7</v>
      </c>
      <c r="I106" t="str">
        <f t="shared" si="3"/>
        <v>B2B</v>
      </c>
      <c r="J106" s="3">
        <f t="shared" si="4"/>
        <v>0.45</v>
      </c>
      <c r="K106" s="2">
        <f t="shared" si="5"/>
        <v>25.280999999999999</v>
      </c>
    </row>
    <row r="107" spans="1:11" x14ac:dyDescent="0.3">
      <c r="A107" t="s">
        <v>1002</v>
      </c>
      <c r="B107" t="s">
        <v>699</v>
      </c>
      <c r="C107">
        <v>72</v>
      </c>
      <c r="D107" t="s">
        <v>894</v>
      </c>
      <c r="E107">
        <v>0.08</v>
      </c>
      <c r="F107" s="2">
        <v>68.650000000000006</v>
      </c>
      <c r="G107">
        <v>0</v>
      </c>
      <c r="H107">
        <v>6</v>
      </c>
      <c r="I107" t="str">
        <f t="shared" si="3"/>
        <v>B2B</v>
      </c>
      <c r="J107" s="3">
        <f t="shared" si="4"/>
        <v>0.1</v>
      </c>
      <c r="K107" s="2">
        <f t="shared" si="5"/>
        <v>6.8650000000000011</v>
      </c>
    </row>
    <row r="108" spans="1:11" x14ac:dyDescent="0.3">
      <c r="A108" t="s">
        <v>1003</v>
      </c>
      <c r="B108" t="s">
        <v>724</v>
      </c>
      <c r="C108">
        <v>114</v>
      </c>
      <c r="D108" t="s">
        <v>894</v>
      </c>
      <c r="E108">
        <v>3.87</v>
      </c>
      <c r="F108" s="2">
        <v>42.2</v>
      </c>
      <c r="G108">
        <v>2</v>
      </c>
      <c r="H108">
        <v>10</v>
      </c>
      <c r="I108" t="str">
        <f t="shared" si="3"/>
        <v>B2B</v>
      </c>
      <c r="J108" s="3">
        <f t="shared" si="4"/>
        <v>0.1</v>
      </c>
      <c r="K108" s="2">
        <f t="shared" si="5"/>
        <v>4.2200000000000006</v>
      </c>
    </row>
    <row r="109" spans="1:11" x14ac:dyDescent="0.3">
      <c r="A109" t="s">
        <v>1004</v>
      </c>
      <c r="B109" t="s">
        <v>701</v>
      </c>
      <c r="C109">
        <v>59</v>
      </c>
      <c r="D109" t="s">
        <v>899</v>
      </c>
      <c r="E109">
        <v>3.27</v>
      </c>
      <c r="F109" s="2">
        <v>62.53</v>
      </c>
      <c r="G109">
        <v>0</v>
      </c>
      <c r="H109">
        <v>5</v>
      </c>
      <c r="I109" t="str">
        <f t="shared" si="3"/>
        <v>B2B</v>
      </c>
      <c r="J109" s="3">
        <f t="shared" si="4"/>
        <v>0.1</v>
      </c>
      <c r="K109" s="2">
        <f t="shared" si="5"/>
        <v>6.2530000000000001</v>
      </c>
    </row>
    <row r="110" spans="1:11" x14ac:dyDescent="0.3">
      <c r="A110" t="s">
        <v>1005</v>
      </c>
      <c r="B110" t="s">
        <v>706</v>
      </c>
      <c r="C110">
        <v>1</v>
      </c>
      <c r="D110" t="s">
        <v>899</v>
      </c>
      <c r="E110">
        <v>3.95</v>
      </c>
      <c r="F110" s="2">
        <v>58.7</v>
      </c>
      <c r="G110">
        <v>4</v>
      </c>
      <c r="H110">
        <v>0</v>
      </c>
      <c r="I110" t="str">
        <f t="shared" si="3"/>
        <v>B2B</v>
      </c>
      <c r="J110" s="3">
        <f t="shared" si="4"/>
        <v>0.1</v>
      </c>
      <c r="K110" s="2">
        <f t="shared" si="5"/>
        <v>5.870000000000001</v>
      </c>
    </row>
    <row r="111" spans="1:11" x14ac:dyDescent="0.3">
      <c r="A111" t="s">
        <v>1006</v>
      </c>
      <c r="B111" t="s">
        <v>681</v>
      </c>
      <c r="C111">
        <v>55</v>
      </c>
      <c r="D111" t="s">
        <v>899</v>
      </c>
      <c r="E111">
        <v>6.78</v>
      </c>
      <c r="F111" s="2">
        <v>23.11</v>
      </c>
      <c r="G111">
        <v>0</v>
      </c>
      <c r="H111">
        <v>5</v>
      </c>
      <c r="I111" t="str">
        <f t="shared" si="3"/>
        <v>B2B</v>
      </c>
      <c r="J111" s="3">
        <f t="shared" si="4"/>
        <v>0.45</v>
      </c>
      <c r="K111" s="2">
        <f t="shared" si="5"/>
        <v>10.3995</v>
      </c>
    </row>
    <row r="112" spans="1:11" x14ac:dyDescent="0.3">
      <c r="A112" t="s">
        <v>1007</v>
      </c>
      <c r="B112" t="s">
        <v>681</v>
      </c>
      <c r="C112">
        <v>83</v>
      </c>
      <c r="D112" t="s">
        <v>896</v>
      </c>
      <c r="E112">
        <v>3.65</v>
      </c>
      <c r="F112" s="2">
        <v>52.26</v>
      </c>
      <c r="G112">
        <v>1</v>
      </c>
      <c r="H112">
        <v>7</v>
      </c>
      <c r="I112" t="str">
        <f t="shared" si="3"/>
        <v>B2B</v>
      </c>
      <c r="J112" s="3">
        <f t="shared" si="4"/>
        <v>0.1</v>
      </c>
      <c r="K112" s="2">
        <f t="shared" si="5"/>
        <v>5.226</v>
      </c>
    </row>
    <row r="113" spans="1:11" x14ac:dyDescent="0.3">
      <c r="A113" t="s">
        <v>1008</v>
      </c>
      <c r="B113" t="s">
        <v>700</v>
      </c>
      <c r="C113">
        <v>87</v>
      </c>
      <c r="D113" t="s">
        <v>896</v>
      </c>
      <c r="E113">
        <v>7.5</v>
      </c>
      <c r="F113" s="2">
        <v>64.3</v>
      </c>
      <c r="G113">
        <v>2</v>
      </c>
      <c r="H113">
        <v>7</v>
      </c>
      <c r="I113" t="str">
        <f t="shared" si="3"/>
        <v>B2B</v>
      </c>
      <c r="J113" s="3">
        <f t="shared" si="4"/>
        <v>0.45</v>
      </c>
      <c r="K113" s="2">
        <f t="shared" si="5"/>
        <v>28.934999999999999</v>
      </c>
    </row>
    <row r="114" spans="1:11" x14ac:dyDescent="0.3">
      <c r="A114" t="s">
        <v>1009</v>
      </c>
      <c r="B114" t="s">
        <v>693</v>
      </c>
      <c r="C114">
        <v>84</v>
      </c>
      <c r="D114" t="s">
        <v>899</v>
      </c>
      <c r="E114">
        <v>5.28</v>
      </c>
      <c r="F114" s="2">
        <v>36.200000000000003</v>
      </c>
      <c r="G114">
        <v>3</v>
      </c>
      <c r="H114">
        <v>7</v>
      </c>
      <c r="I114" t="str">
        <f t="shared" si="3"/>
        <v>B2B</v>
      </c>
      <c r="J114" s="3">
        <f t="shared" si="4"/>
        <v>0.45</v>
      </c>
      <c r="K114" s="2">
        <f t="shared" si="5"/>
        <v>16.290000000000003</v>
      </c>
    </row>
    <row r="115" spans="1:11" x14ac:dyDescent="0.3">
      <c r="A115" t="s">
        <v>1010</v>
      </c>
      <c r="B115" t="s">
        <v>689</v>
      </c>
      <c r="C115">
        <v>7</v>
      </c>
      <c r="D115" t="s">
        <v>894</v>
      </c>
      <c r="E115">
        <v>5.28</v>
      </c>
      <c r="F115" s="2">
        <v>97.32</v>
      </c>
      <c r="G115">
        <v>1</v>
      </c>
      <c r="H115">
        <v>1</v>
      </c>
      <c r="I115" t="str">
        <f t="shared" si="3"/>
        <v>-</v>
      </c>
      <c r="J115" s="3">
        <f t="shared" si="4"/>
        <v>0.45</v>
      </c>
      <c r="K115" s="2">
        <f t="shared" si="5"/>
        <v>43.793999999999997</v>
      </c>
    </row>
    <row r="116" spans="1:11" x14ac:dyDescent="0.3">
      <c r="A116" t="s">
        <v>1011</v>
      </c>
      <c r="B116" t="s">
        <v>693</v>
      </c>
      <c r="C116">
        <v>110</v>
      </c>
      <c r="D116" t="s">
        <v>894</v>
      </c>
      <c r="E116">
        <v>0.85</v>
      </c>
      <c r="F116" s="2">
        <v>56.59</v>
      </c>
      <c r="G116">
        <v>5</v>
      </c>
      <c r="H116">
        <v>9</v>
      </c>
      <c r="I116" t="str">
        <f t="shared" si="3"/>
        <v>B2B</v>
      </c>
      <c r="J116" s="3">
        <f t="shared" si="4"/>
        <v>0.1</v>
      </c>
      <c r="K116" s="2">
        <f t="shared" si="5"/>
        <v>5.6590000000000007</v>
      </c>
    </row>
    <row r="117" spans="1:11" x14ac:dyDescent="0.3">
      <c r="A117" t="s">
        <v>1012</v>
      </c>
      <c r="B117" t="s">
        <v>737</v>
      </c>
      <c r="C117">
        <v>42</v>
      </c>
      <c r="D117" t="s">
        <v>901</v>
      </c>
      <c r="E117">
        <v>2.88</v>
      </c>
      <c r="F117" s="2">
        <v>69.19</v>
      </c>
      <c r="G117">
        <v>4</v>
      </c>
      <c r="H117">
        <v>4</v>
      </c>
      <c r="I117" t="str">
        <f t="shared" si="3"/>
        <v>B2B</v>
      </c>
      <c r="J117" s="3">
        <f t="shared" si="4"/>
        <v>0.1</v>
      </c>
      <c r="K117" s="2">
        <f t="shared" si="5"/>
        <v>6.9190000000000005</v>
      </c>
    </row>
    <row r="118" spans="1:11" x14ac:dyDescent="0.3">
      <c r="A118" t="s">
        <v>1013</v>
      </c>
      <c r="B118" t="s">
        <v>695</v>
      </c>
      <c r="C118">
        <v>56</v>
      </c>
      <c r="D118" t="s">
        <v>899</v>
      </c>
      <c r="E118">
        <v>5.55</v>
      </c>
      <c r="F118" s="2">
        <v>23.01</v>
      </c>
      <c r="G118">
        <v>2</v>
      </c>
      <c r="H118">
        <v>5</v>
      </c>
      <c r="I118" t="str">
        <f t="shared" si="3"/>
        <v>B2B</v>
      </c>
      <c r="J118" s="3">
        <f t="shared" si="4"/>
        <v>0.45</v>
      </c>
      <c r="K118" s="2">
        <f t="shared" si="5"/>
        <v>10.354500000000002</v>
      </c>
    </row>
    <row r="119" spans="1:11" x14ac:dyDescent="0.3">
      <c r="A119" t="s">
        <v>1014</v>
      </c>
      <c r="B119" t="s">
        <v>678</v>
      </c>
      <c r="C119">
        <v>109</v>
      </c>
      <c r="D119" t="s">
        <v>896</v>
      </c>
      <c r="E119">
        <v>8</v>
      </c>
      <c r="F119" s="2">
        <v>31.36</v>
      </c>
      <c r="G119">
        <v>0</v>
      </c>
      <c r="H119">
        <v>9</v>
      </c>
      <c r="I119" t="str">
        <f t="shared" si="3"/>
        <v>B2B</v>
      </c>
      <c r="J119" s="3">
        <f t="shared" si="4"/>
        <v>0.45</v>
      </c>
      <c r="K119" s="2">
        <f t="shared" si="5"/>
        <v>14.112</v>
      </c>
    </row>
    <row r="120" spans="1:11" x14ac:dyDescent="0.3">
      <c r="A120" t="s">
        <v>1015</v>
      </c>
      <c r="B120" t="s">
        <v>701</v>
      </c>
      <c r="C120">
        <v>53</v>
      </c>
      <c r="D120" t="s">
        <v>901</v>
      </c>
      <c r="E120">
        <v>5.75</v>
      </c>
      <c r="F120" s="2">
        <v>83.73</v>
      </c>
      <c r="G120">
        <v>0</v>
      </c>
      <c r="H120">
        <v>4</v>
      </c>
      <c r="I120" t="str">
        <f t="shared" si="3"/>
        <v>-</v>
      </c>
      <c r="J120" s="3">
        <f t="shared" si="4"/>
        <v>0.45</v>
      </c>
      <c r="K120" s="2">
        <f t="shared" si="5"/>
        <v>37.6785</v>
      </c>
    </row>
    <row r="121" spans="1:11" x14ac:dyDescent="0.3">
      <c r="A121" t="s">
        <v>1016</v>
      </c>
      <c r="B121" t="s">
        <v>698</v>
      </c>
      <c r="C121">
        <v>36</v>
      </c>
      <c r="D121" t="s">
        <v>894</v>
      </c>
      <c r="E121">
        <v>6.67</v>
      </c>
      <c r="F121" s="2">
        <v>60.35</v>
      </c>
      <c r="G121">
        <v>1</v>
      </c>
      <c r="H121">
        <v>3</v>
      </c>
      <c r="I121" t="str">
        <f t="shared" si="3"/>
        <v>B2B</v>
      </c>
      <c r="J121" s="3">
        <f t="shared" si="4"/>
        <v>0.45</v>
      </c>
      <c r="K121" s="2">
        <f t="shared" si="5"/>
        <v>27.157500000000002</v>
      </c>
    </row>
    <row r="122" spans="1:11" x14ac:dyDescent="0.3">
      <c r="A122" t="s">
        <v>1017</v>
      </c>
      <c r="B122" t="s">
        <v>684</v>
      </c>
      <c r="C122">
        <v>16</v>
      </c>
      <c r="D122" t="s">
        <v>899</v>
      </c>
      <c r="E122">
        <v>0.22</v>
      </c>
      <c r="F122" s="2">
        <v>14.91</v>
      </c>
      <c r="G122">
        <v>1</v>
      </c>
      <c r="H122">
        <v>1</v>
      </c>
      <c r="I122" t="str">
        <f t="shared" si="3"/>
        <v>B2B</v>
      </c>
      <c r="J122" s="3">
        <f t="shared" si="4"/>
        <v>0.1</v>
      </c>
      <c r="K122" s="2">
        <f t="shared" si="5"/>
        <v>1.4910000000000001</v>
      </c>
    </row>
    <row r="123" spans="1:11" x14ac:dyDescent="0.3">
      <c r="A123" t="s">
        <v>1018</v>
      </c>
      <c r="B123" t="s">
        <v>706</v>
      </c>
      <c r="C123">
        <v>88</v>
      </c>
      <c r="D123" t="s">
        <v>894</v>
      </c>
      <c r="E123">
        <v>3.87</v>
      </c>
      <c r="F123" s="2">
        <v>40.94</v>
      </c>
      <c r="G123">
        <v>2</v>
      </c>
      <c r="H123">
        <v>7</v>
      </c>
      <c r="I123" t="str">
        <f t="shared" si="3"/>
        <v>B2B</v>
      </c>
      <c r="J123" s="3">
        <f t="shared" si="4"/>
        <v>0.1</v>
      </c>
      <c r="K123" s="2">
        <f t="shared" si="5"/>
        <v>4.0940000000000003</v>
      </c>
    </row>
    <row r="124" spans="1:11" x14ac:dyDescent="0.3">
      <c r="A124" t="s">
        <v>1019</v>
      </c>
      <c r="B124" t="s">
        <v>702</v>
      </c>
      <c r="C124">
        <v>67</v>
      </c>
      <c r="D124" t="s">
        <v>901</v>
      </c>
      <c r="E124">
        <v>4.4000000000000004</v>
      </c>
      <c r="F124" s="2">
        <v>97.89</v>
      </c>
      <c r="G124">
        <v>1</v>
      </c>
      <c r="H124">
        <v>6</v>
      </c>
      <c r="I124" t="str">
        <f t="shared" si="3"/>
        <v>-</v>
      </c>
      <c r="J124" s="3">
        <f t="shared" si="4"/>
        <v>0.45</v>
      </c>
      <c r="K124" s="2">
        <f t="shared" si="5"/>
        <v>44.0505</v>
      </c>
    </row>
    <row r="125" spans="1:11" x14ac:dyDescent="0.3">
      <c r="A125" t="s">
        <v>1020</v>
      </c>
      <c r="B125" t="s">
        <v>703</v>
      </c>
      <c r="C125">
        <v>60</v>
      </c>
      <c r="D125" t="s">
        <v>899</v>
      </c>
      <c r="E125">
        <v>2.8</v>
      </c>
      <c r="F125" s="2">
        <v>67.650000000000006</v>
      </c>
      <c r="G125">
        <v>1</v>
      </c>
      <c r="H125">
        <v>5</v>
      </c>
      <c r="I125" t="str">
        <f t="shared" si="3"/>
        <v>B2B</v>
      </c>
      <c r="J125" s="3">
        <f t="shared" si="4"/>
        <v>0.1</v>
      </c>
      <c r="K125" s="2">
        <f t="shared" si="5"/>
        <v>6.7650000000000006</v>
      </c>
    </row>
    <row r="126" spans="1:11" x14ac:dyDescent="0.3">
      <c r="A126" t="s">
        <v>1021</v>
      </c>
      <c r="B126" t="s">
        <v>693</v>
      </c>
      <c r="C126">
        <v>64</v>
      </c>
      <c r="D126" t="s">
        <v>896</v>
      </c>
      <c r="E126">
        <v>5</v>
      </c>
      <c r="F126" s="2">
        <v>28.11</v>
      </c>
      <c r="G126">
        <v>2</v>
      </c>
      <c r="H126">
        <v>5</v>
      </c>
      <c r="I126" t="str">
        <f t="shared" si="3"/>
        <v>B2B</v>
      </c>
      <c r="J126" s="3">
        <f t="shared" si="4"/>
        <v>0.45</v>
      </c>
      <c r="K126" s="2">
        <f t="shared" si="5"/>
        <v>12.6495</v>
      </c>
    </row>
    <row r="127" spans="1:11" x14ac:dyDescent="0.3">
      <c r="A127" t="s">
        <v>1022</v>
      </c>
      <c r="B127" t="s">
        <v>692</v>
      </c>
      <c r="C127">
        <v>47</v>
      </c>
      <c r="D127" t="s">
        <v>899</v>
      </c>
      <c r="E127">
        <v>1.63</v>
      </c>
      <c r="F127" s="2">
        <v>16.16</v>
      </c>
      <c r="G127">
        <v>5</v>
      </c>
      <c r="H127">
        <v>4</v>
      </c>
      <c r="I127" t="str">
        <f t="shared" si="3"/>
        <v>B2B</v>
      </c>
      <c r="J127" s="3">
        <f t="shared" si="4"/>
        <v>0.1</v>
      </c>
      <c r="K127" s="2">
        <f t="shared" si="5"/>
        <v>1.6160000000000001</v>
      </c>
    </row>
    <row r="128" spans="1:11" x14ac:dyDescent="0.3">
      <c r="A128" t="s">
        <v>1023</v>
      </c>
      <c r="B128" t="s">
        <v>718</v>
      </c>
      <c r="C128">
        <v>67</v>
      </c>
      <c r="D128" t="s">
        <v>896</v>
      </c>
      <c r="E128">
        <v>0.92</v>
      </c>
      <c r="F128" s="2">
        <v>27.04</v>
      </c>
      <c r="G128">
        <v>1</v>
      </c>
      <c r="H128">
        <v>6</v>
      </c>
      <c r="I128" t="str">
        <f t="shared" si="3"/>
        <v>B2B</v>
      </c>
      <c r="J128" s="3">
        <f t="shared" si="4"/>
        <v>0.1</v>
      </c>
      <c r="K128" s="2">
        <f t="shared" si="5"/>
        <v>2.7040000000000002</v>
      </c>
    </row>
    <row r="129" spans="1:11" x14ac:dyDescent="0.3">
      <c r="A129" t="s">
        <v>1024</v>
      </c>
      <c r="B129" t="s">
        <v>698</v>
      </c>
      <c r="C129">
        <v>98</v>
      </c>
      <c r="D129" t="s">
        <v>899</v>
      </c>
      <c r="E129">
        <v>0.87</v>
      </c>
      <c r="F129" s="2">
        <v>52.82</v>
      </c>
      <c r="G129">
        <v>2</v>
      </c>
      <c r="H129">
        <v>8</v>
      </c>
      <c r="I129" t="str">
        <f t="shared" si="3"/>
        <v>B2B</v>
      </c>
      <c r="J129" s="3">
        <f t="shared" si="4"/>
        <v>0.1</v>
      </c>
      <c r="K129" s="2">
        <f t="shared" si="5"/>
        <v>5.282</v>
      </c>
    </row>
    <row r="130" spans="1:11" x14ac:dyDescent="0.3">
      <c r="A130" t="s">
        <v>1025</v>
      </c>
      <c r="B130" t="s">
        <v>692</v>
      </c>
      <c r="C130">
        <v>6</v>
      </c>
      <c r="D130" t="s">
        <v>899</v>
      </c>
      <c r="E130">
        <v>0.1</v>
      </c>
      <c r="F130" s="2">
        <v>72.27</v>
      </c>
      <c r="G130">
        <v>4</v>
      </c>
      <c r="H130">
        <v>0</v>
      </c>
      <c r="I130" t="str">
        <f t="shared" ref="I130:I193" si="6">IF(F130&lt;80,"B2B","-")</f>
        <v>B2B</v>
      </c>
      <c r="J130" s="3">
        <f t="shared" ref="J130:J193" si="7">IF(AND(E130&gt;12,H130&gt;5),70%,
IF(OR(AND(E130&gt;=4,E130&lt;=12),AND(H130&lt;5,ISNUMBER(SEARCH("Premium",D130)))),45%,
IF(I130="B2B",10%,0%)))</f>
        <v>0.1</v>
      </c>
      <c r="K130" s="2">
        <f t="shared" ref="K130:K193" si="8">F130*J130</f>
        <v>7.2270000000000003</v>
      </c>
    </row>
    <row r="131" spans="1:11" x14ac:dyDescent="0.3">
      <c r="A131" t="s">
        <v>1026</v>
      </c>
      <c r="B131" t="s">
        <v>692</v>
      </c>
      <c r="C131">
        <v>114</v>
      </c>
      <c r="D131" t="s">
        <v>899</v>
      </c>
      <c r="E131">
        <v>5.07</v>
      </c>
      <c r="F131" s="2">
        <v>52.07</v>
      </c>
      <c r="G131">
        <v>1</v>
      </c>
      <c r="H131">
        <v>10</v>
      </c>
      <c r="I131" t="str">
        <f t="shared" si="6"/>
        <v>B2B</v>
      </c>
      <c r="J131" s="3">
        <f t="shared" si="7"/>
        <v>0.45</v>
      </c>
      <c r="K131" s="2">
        <f t="shared" si="8"/>
        <v>23.4315</v>
      </c>
    </row>
    <row r="132" spans="1:11" x14ac:dyDescent="0.3">
      <c r="A132" t="s">
        <v>1027</v>
      </c>
      <c r="B132" t="s">
        <v>700</v>
      </c>
      <c r="C132">
        <v>93</v>
      </c>
      <c r="D132" t="s">
        <v>899</v>
      </c>
      <c r="E132">
        <v>6.08</v>
      </c>
      <c r="F132" s="2">
        <v>72.319999999999993</v>
      </c>
      <c r="G132">
        <v>1</v>
      </c>
      <c r="H132">
        <v>8</v>
      </c>
      <c r="I132" t="str">
        <f t="shared" si="6"/>
        <v>B2B</v>
      </c>
      <c r="J132" s="3">
        <f t="shared" si="7"/>
        <v>0.45</v>
      </c>
      <c r="K132" s="2">
        <f t="shared" si="8"/>
        <v>32.543999999999997</v>
      </c>
    </row>
    <row r="133" spans="1:11" x14ac:dyDescent="0.3">
      <c r="A133" t="s">
        <v>1028</v>
      </c>
      <c r="B133" t="s">
        <v>698</v>
      </c>
      <c r="C133">
        <v>29</v>
      </c>
      <c r="D133" t="s">
        <v>896</v>
      </c>
      <c r="E133">
        <v>0.56999999999999995</v>
      </c>
      <c r="F133" s="2">
        <v>86.68</v>
      </c>
      <c r="G133">
        <v>1</v>
      </c>
      <c r="H133">
        <v>2</v>
      </c>
      <c r="I133" t="str">
        <f t="shared" si="6"/>
        <v>-</v>
      </c>
      <c r="J133" s="3">
        <f t="shared" si="7"/>
        <v>0</v>
      </c>
      <c r="K133" s="2">
        <f t="shared" si="8"/>
        <v>0</v>
      </c>
    </row>
    <row r="134" spans="1:11" x14ac:dyDescent="0.3">
      <c r="A134" t="s">
        <v>1029</v>
      </c>
      <c r="B134" t="s">
        <v>702</v>
      </c>
      <c r="C134">
        <v>7</v>
      </c>
      <c r="D134" t="s">
        <v>894</v>
      </c>
      <c r="E134">
        <v>5.05</v>
      </c>
      <c r="F134" s="2">
        <v>60.95</v>
      </c>
      <c r="G134">
        <v>0</v>
      </c>
      <c r="H134">
        <v>1</v>
      </c>
      <c r="I134" t="str">
        <f t="shared" si="6"/>
        <v>B2B</v>
      </c>
      <c r="J134" s="3">
        <f t="shared" si="7"/>
        <v>0.45</v>
      </c>
      <c r="K134" s="2">
        <f t="shared" si="8"/>
        <v>27.427500000000002</v>
      </c>
    </row>
    <row r="135" spans="1:11" x14ac:dyDescent="0.3">
      <c r="A135" t="s">
        <v>1030</v>
      </c>
      <c r="B135" t="s">
        <v>725</v>
      </c>
      <c r="C135">
        <v>-36</v>
      </c>
      <c r="D135" t="s">
        <v>899</v>
      </c>
      <c r="E135">
        <v>6.73</v>
      </c>
      <c r="F135" s="2">
        <v>40.21</v>
      </c>
      <c r="G135">
        <v>1</v>
      </c>
      <c r="H135">
        <v>-3</v>
      </c>
      <c r="I135" t="str">
        <f t="shared" si="6"/>
        <v>B2B</v>
      </c>
      <c r="J135" s="3">
        <f t="shared" si="7"/>
        <v>0.45</v>
      </c>
      <c r="K135" s="2">
        <f t="shared" si="8"/>
        <v>18.0945</v>
      </c>
    </row>
    <row r="136" spans="1:11" x14ac:dyDescent="0.3">
      <c r="A136" t="s">
        <v>1031</v>
      </c>
      <c r="B136" t="s">
        <v>698</v>
      </c>
      <c r="C136">
        <v>118</v>
      </c>
      <c r="D136" t="s">
        <v>901</v>
      </c>
      <c r="E136">
        <v>7.17</v>
      </c>
      <c r="F136" s="2">
        <v>36.97</v>
      </c>
      <c r="G136">
        <v>2</v>
      </c>
      <c r="H136">
        <v>10</v>
      </c>
      <c r="I136" t="str">
        <f t="shared" si="6"/>
        <v>B2B</v>
      </c>
      <c r="J136" s="3">
        <f t="shared" si="7"/>
        <v>0.45</v>
      </c>
      <c r="K136" s="2">
        <f t="shared" si="8"/>
        <v>16.636500000000002</v>
      </c>
    </row>
    <row r="137" spans="1:11" x14ac:dyDescent="0.3">
      <c r="A137" t="s">
        <v>1032</v>
      </c>
      <c r="B137" t="s">
        <v>715</v>
      </c>
      <c r="C137">
        <v>54</v>
      </c>
      <c r="D137" t="s">
        <v>899</v>
      </c>
      <c r="E137">
        <v>1.65</v>
      </c>
      <c r="F137" s="2">
        <v>39.58</v>
      </c>
      <c r="G137">
        <v>0</v>
      </c>
      <c r="H137">
        <v>4</v>
      </c>
      <c r="I137" t="str">
        <f t="shared" si="6"/>
        <v>B2B</v>
      </c>
      <c r="J137" s="3">
        <f t="shared" si="7"/>
        <v>0.1</v>
      </c>
      <c r="K137" s="2">
        <f t="shared" si="8"/>
        <v>3.9580000000000002</v>
      </c>
    </row>
    <row r="138" spans="1:11" x14ac:dyDescent="0.3">
      <c r="A138" t="s">
        <v>1033</v>
      </c>
      <c r="B138" t="s">
        <v>718</v>
      </c>
      <c r="C138">
        <v>69</v>
      </c>
      <c r="D138" t="s">
        <v>896</v>
      </c>
      <c r="E138">
        <v>7.72</v>
      </c>
      <c r="F138" s="2">
        <v>19.440000000000001</v>
      </c>
      <c r="G138">
        <v>0</v>
      </c>
      <c r="H138">
        <v>6</v>
      </c>
      <c r="I138" t="str">
        <f t="shared" si="6"/>
        <v>B2B</v>
      </c>
      <c r="J138" s="3">
        <f t="shared" si="7"/>
        <v>0.45</v>
      </c>
      <c r="K138" s="2">
        <f t="shared" si="8"/>
        <v>8.7480000000000011</v>
      </c>
    </row>
    <row r="139" spans="1:11" x14ac:dyDescent="0.3">
      <c r="A139" t="s">
        <v>1034</v>
      </c>
      <c r="B139" t="s">
        <v>725</v>
      </c>
      <c r="C139">
        <v>58</v>
      </c>
      <c r="D139" t="s">
        <v>899</v>
      </c>
      <c r="E139">
        <v>4.88</v>
      </c>
      <c r="F139" s="2">
        <v>88.85</v>
      </c>
      <c r="G139">
        <v>5</v>
      </c>
      <c r="H139">
        <v>5</v>
      </c>
      <c r="I139" t="str">
        <f t="shared" si="6"/>
        <v>-</v>
      </c>
      <c r="J139" s="3">
        <f t="shared" si="7"/>
        <v>0.45</v>
      </c>
      <c r="K139" s="2">
        <f t="shared" si="8"/>
        <v>39.982500000000002</v>
      </c>
    </row>
    <row r="140" spans="1:11" x14ac:dyDescent="0.3">
      <c r="A140" t="s">
        <v>1035</v>
      </c>
      <c r="B140" t="s">
        <v>715</v>
      </c>
      <c r="C140">
        <v>41</v>
      </c>
      <c r="D140" t="s">
        <v>894</v>
      </c>
      <c r="E140">
        <v>1.07</v>
      </c>
      <c r="F140" s="2">
        <v>91.95</v>
      </c>
      <c r="G140">
        <v>1</v>
      </c>
      <c r="H140">
        <v>3</v>
      </c>
      <c r="I140" t="str">
        <f t="shared" si="6"/>
        <v>-</v>
      </c>
      <c r="J140" s="3">
        <f t="shared" si="7"/>
        <v>0.45</v>
      </c>
      <c r="K140" s="2">
        <f t="shared" si="8"/>
        <v>41.377500000000005</v>
      </c>
    </row>
    <row r="141" spans="1:11" x14ac:dyDescent="0.3">
      <c r="A141" t="s">
        <v>1036</v>
      </c>
      <c r="B141" t="s">
        <v>701</v>
      </c>
      <c r="C141">
        <v>1</v>
      </c>
      <c r="D141" t="s">
        <v>896</v>
      </c>
      <c r="E141">
        <v>5.43</v>
      </c>
      <c r="F141" s="2">
        <v>54.63</v>
      </c>
      <c r="G141">
        <v>3</v>
      </c>
      <c r="H141">
        <v>0</v>
      </c>
      <c r="I141" t="str">
        <f t="shared" si="6"/>
        <v>B2B</v>
      </c>
      <c r="J141" s="3">
        <f t="shared" si="7"/>
        <v>0.45</v>
      </c>
      <c r="K141" s="2">
        <f t="shared" si="8"/>
        <v>24.583500000000001</v>
      </c>
    </row>
    <row r="142" spans="1:11" x14ac:dyDescent="0.3">
      <c r="A142" t="s">
        <v>1037</v>
      </c>
      <c r="B142" t="s">
        <v>698</v>
      </c>
      <c r="C142">
        <v>51</v>
      </c>
      <c r="D142" t="s">
        <v>899</v>
      </c>
      <c r="E142">
        <v>4.33</v>
      </c>
      <c r="F142" s="2">
        <v>92.8</v>
      </c>
      <c r="G142">
        <v>5</v>
      </c>
      <c r="H142">
        <v>4</v>
      </c>
      <c r="I142" t="str">
        <f t="shared" si="6"/>
        <v>-</v>
      </c>
      <c r="J142" s="3">
        <f t="shared" si="7"/>
        <v>0.45</v>
      </c>
      <c r="K142" s="2">
        <f t="shared" si="8"/>
        <v>41.76</v>
      </c>
    </row>
    <row r="143" spans="1:11" x14ac:dyDescent="0.3">
      <c r="A143" t="s">
        <v>1038</v>
      </c>
      <c r="B143" t="s">
        <v>705</v>
      </c>
      <c r="C143">
        <v>25</v>
      </c>
      <c r="D143" t="s">
        <v>899</v>
      </c>
      <c r="E143">
        <v>2.1800000000000002</v>
      </c>
      <c r="F143" s="2">
        <v>67.489999999999995</v>
      </c>
      <c r="G143">
        <v>0</v>
      </c>
      <c r="H143">
        <v>2</v>
      </c>
      <c r="I143" t="str">
        <f t="shared" si="6"/>
        <v>B2B</v>
      </c>
      <c r="J143" s="3">
        <f t="shared" si="7"/>
        <v>0.1</v>
      </c>
      <c r="K143" s="2">
        <f t="shared" si="8"/>
        <v>6.7489999999999997</v>
      </c>
    </row>
    <row r="144" spans="1:11" x14ac:dyDescent="0.3">
      <c r="A144" t="s">
        <v>1039</v>
      </c>
      <c r="B144" t="s">
        <v>684</v>
      </c>
      <c r="C144">
        <v>43</v>
      </c>
      <c r="D144" t="s">
        <v>899</v>
      </c>
      <c r="E144">
        <v>3.02</v>
      </c>
      <c r="F144" s="2">
        <v>72.39</v>
      </c>
      <c r="G144">
        <v>2</v>
      </c>
      <c r="H144">
        <v>4</v>
      </c>
      <c r="I144" t="str">
        <f t="shared" si="6"/>
        <v>B2B</v>
      </c>
      <c r="J144" s="3">
        <f t="shared" si="7"/>
        <v>0.1</v>
      </c>
      <c r="K144" s="2">
        <f t="shared" si="8"/>
        <v>7.2390000000000008</v>
      </c>
    </row>
    <row r="145" spans="1:11" x14ac:dyDescent="0.3">
      <c r="A145" t="s">
        <v>1040</v>
      </c>
      <c r="B145" t="s">
        <v>718</v>
      </c>
      <c r="C145">
        <v>11</v>
      </c>
      <c r="D145" t="s">
        <v>899</v>
      </c>
      <c r="E145">
        <v>3.58</v>
      </c>
      <c r="F145" s="2">
        <v>51.99</v>
      </c>
      <c r="G145">
        <v>1</v>
      </c>
      <c r="H145">
        <v>1</v>
      </c>
      <c r="I145" t="str">
        <f t="shared" si="6"/>
        <v>B2B</v>
      </c>
      <c r="J145" s="3">
        <f t="shared" si="7"/>
        <v>0.1</v>
      </c>
      <c r="K145" s="2">
        <f t="shared" si="8"/>
        <v>5.1990000000000007</v>
      </c>
    </row>
    <row r="146" spans="1:11" x14ac:dyDescent="0.3">
      <c r="A146" t="s">
        <v>1041</v>
      </c>
      <c r="B146" t="s">
        <v>721</v>
      </c>
      <c r="C146">
        <v>113</v>
      </c>
      <c r="D146" t="s">
        <v>894</v>
      </c>
      <c r="E146">
        <v>4.0999999999999996</v>
      </c>
      <c r="F146" s="2">
        <v>29.18</v>
      </c>
      <c r="G146">
        <v>2</v>
      </c>
      <c r="H146">
        <v>9</v>
      </c>
      <c r="I146" t="str">
        <f t="shared" si="6"/>
        <v>B2B</v>
      </c>
      <c r="J146" s="3">
        <f t="shared" si="7"/>
        <v>0.45</v>
      </c>
      <c r="K146" s="2">
        <f t="shared" si="8"/>
        <v>13.131</v>
      </c>
    </row>
    <row r="147" spans="1:11" x14ac:dyDescent="0.3">
      <c r="A147" t="s">
        <v>1042</v>
      </c>
      <c r="B147" t="s">
        <v>701</v>
      </c>
      <c r="C147">
        <v>74</v>
      </c>
      <c r="D147" t="s">
        <v>896</v>
      </c>
      <c r="E147">
        <v>6.18</v>
      </c>
      <c r="F147" s="2">
        <v>53.27</v>
      </c>
      <c r="G147">
        <v>3</v>
      </c>
      <c r="H147">
        <v>6</v>
      </c>
      <c r="I147" t="str">
        <f t="shared" si="6"/>
        <v>B2B</v>
      </c>
      <c r="J147" s="3">
        <f t="shared" si="7"/>
        <v>0.45</v>
      </c>
      <c r="K147" s="2">
        <f t="shared" si="8"/>
        <v>23.971500000000002</v>
      </c>
    </row>
    <row r="148" spans="1:11" x14ac:dyDescent="0.3">
      <c r="A148" t="s">
        <v>1043</v>
      </c>
      <c r="B148" t="s">
        <v>693</v>
      </c>
      <c r="C148">
        <v>104</v>
      </c>
      <c r="D148" t="s">
        <v>896</v>
      </c>
      <c r="E148">
        <v>5.28</v>
      </c>
      <c r="F148" s="2">
        <v>79.150000000000006</v>
      </c>
      <c r="G148">
        <v>1</v>
      </c>
      <c r="H148">
        <v>9</v>
      </c>
      <c r="I148" t="str">
        <f t="shared" si="6"/>
        <v>B2B</v>
      </c>
      <c r="J148" s="3">
        <f t="shared" si="7"/>
        <v>0.45</v>
      </c>
      <c r="K148" s="2">
        <f t="shared" si="8"/>
        <v>35.617500000000007</v>
      </c>
    </row>
    <row r="149" spans="1:11" x14ac:dyDescent="0.3">
      <c r="A149" t="s">
        <v>1044</v>
      </c>
      <c r="B149" t="s">
        <v>692</v>
      </c>
      <c r="C149">
        <v>4</v>
      </c>
      <c r="D149" t="s">
        <v>899</v>
      </c>
      <c r="E149">
        <v>3.78</v>
      </c>
      <c r="F149" s="2">
        <v>83.32</v>
      </c>
      <c r="G149">
        <v>2</v>
      </c>
      <c r="H149">
        <v>0</v>
      </c>
      <c r="I149" t="str">
        <f t="shared" si="6"/>
        <v>-</v>
      </c>
      <c r="J149" s="3">
        <f t="shared" si="7"/>
        <v>0</v>
      </c>
      <c r="K149" s="2">
        <f t="shared" si="8"/>
        <v>0</v>
      </c>
    </row>
    <row r="150" spans="1:11" x14ac:dyDescent="0.3">
      <c r="A150" t="s">
        <v>1045</v>
      </c>
      <c r="B150" t="s">
        <v>689</v>
      </c>
      <c r="C150">
        <v>95</v>
      </c>
      <c r="D150" t="s">
        <v>896</v>
      </c>
      <c r="E150">
        <v>1.58</v>
      </c>
      <c r="F150" s="2">
        <v>82.65</v>
      </c>
      <c r="G150">
        <v>2</v>
      </c>
      <c r="H150">
        <v>8</v>
      </c>
      <c r="I150" t="str">
        <f t="shared" si="6"/>
        <v>-</v>
      </c>
      <c r="J150" s="3">
        <f t="shared" si="7"/>
        <v>0</v>
      </c>
      <c r="K150" s="2">
        <f t="shared" si="8"/>
        <v>0</v>
      </c>
    </row>
    <row r="151" spans="1:11" x14ac:dyDescent="0.3">
      <c r="A151" t="s">
        <v>1046</v>
      </c>
      <c r="B151" t="s">
        <v>681</v>
      </c>
      <c r="C151">
        <v>29</v>
      </c>
      <c r="D151" t="s">
        <v>901</v>
      </c>
      <c r="E151">
        <v>2.0699999999999998</v>
      </c>
      <c r="F151" s="2">
        <v>43.83</v>
      </c>
      <c r="G151">
        <v>5</v>
      </c>
      <c r="H151">
        <v>2</v>
      </c>
      <c r="I151" t="str">
        <f t="shared" si="6"/>
        <v>B2B</v>
      </c>
      <c r="J151" s="3">
        <f t="shared" si="7"/>
        <v>0.1</v>
      </c>
      <c r="K151" s="2">
        <f t="shared" si="8"/>
        <v>4.383</v>
      </c>
    </row>
    <row r="152" spans="1:11" x14ac:dyDescent="0.3">
      <c r="A152" t="s">
        <v>1047</v>
      </c>
      <c r="B152" t="s">
        <v>700</v>
      </c>
      <c r="C152">
        <v>97</v>
      </c>
      <c r="D152" t="s">
        <v>899</v>
      </c>
      <c r="E152">
        <v>8.07</v>
      </c>
      <c r="F152" s="2">
        <v>61.98</v>
      </c>
      <c r="G152">
        <v>1</v>
      </c>
      <c r="H152">
        <v>8</v>
      </c>
      <c r="I152" t="str">
        <f t="shared" si="6"/>
        <v>B2B</v>
      </c>
      <c r="J152" s="3">
        <f t="shared" si="7"/>
        <v>0.45</v>
      </c>
      <c r="K152" s="2">
        <f t="shared" si="8"/>
        <v>27.890999999999998</v>
      </c>
    </row>
    <row r="153" spans="1:11" x14ac:dyDescent="0.3">
      <c r="A153" t="s">
        <v>1048</v>
      </c>
      <c r="B153" t="s">
        <v>710</v>
      </c>
      <c r="C153">
        <v>113</v>
      </c>
      <c r="D153" t="s">
        <v>894</v>
      </c>
      <c r="E153">
        <v>3.45</v>
      </c>
      <c r="F153" s="2">
        <v>21.55</v>
      </c>
      <c r="G153">
        <v>0</v>
      </c>
      <c r="H153">
        <v>9</v>
      </c>
      <c r="I153" t="str">
        <f t="shared" si="6"/>
        <v>B2B</v>
      </c>
      <c r="J153" s="3">
        <f t="shared" si="7"/>
        <v>0.1</v>
      </c>
      <c r="K153" s="2">
        <f t="shared" si="8"/>
        <v>2.1550000000000002</v>
      </c>
    </row>
    <row r="154" spans="1:11" x14ac:dyDescent="0.3">
      <c r="A154" t="s">
        <v>1049</v>
      </c>
      <c r="B154" t="s">
        <v>681</v>
      </c>
      <c r="C154">
        <v>83</v>
      </c>
      <c r="D154" t="s">
        <v>896</v>
      </c>
      <c r="E154">
        <v>7</v>
      </c>
      <c r="F154" s="2">
        <v>94.9</v>
      </c>
      <c r="G154">
        <v>1</v>
      </c>
      <c r="H154">
        <v>7</v>
      </c>
      <c r="I154" t="str">
        <f t="shared" si="6"/>
        <v>-</v>
      </c>
      <c r="J154" s="3">
        <f t="shared" si="7"/>
        <v>0.45</v>
      </c>
      <c r="K154" s="2">
        <f t="shared" si="8"/>
        <v>42.705000000000005</v>
      </c>
    </row>
    <row r="155" spans="1:11" x14ac:dyDescent="0.3">
      <c r="A155" t="s">
        <v>1050</v>
      </c>
      <c r="B155" t="s">
        <v>725</v>
      </c>
      <c r="C155">
        <v>97</v>
      </c>
      <c r="D155" t="s">
        <v>894</v>
      </c>
      <c r="E155">
        <v>4.93</v>
      </c>
      <c r="F155" s="2">
        <v>10.87</v>
      </c>
      <c r="G155">
        <v>4</v>
      </c>
      <c r="H155">
        <v>8</v>
      </c>
      <c r="I155" t="str">
        <f t="shared" si="6"/>
        <v>B2B</v>
      </c>
      <c r="J155" s="3">
        <f t="shared" si="7"/>
        <v>0.45</v>
      </c>
      <c r="K155" s="2">
        <f t="shared" si="8"/>
        <v>4.8914999999999997</v>
      </c>
    </row>
    <row r="156" spans="1:11" x14ac:dyDescent="0.3">
      <c r="A156" t="s">
        <v>1051</v>
      </c>
      <c r="B156" t="s">
        <v>678</v>
      </c>
      <c r="C156">
        <v>66</v>
      </c>
      <c r="D156" t="s">
        <v>901</v>
      </c>
      <c r="E156">
        <v>6.45</v>
      </c>
      <c r="F156" s="2">
        <v>82.94</v>
      </c>
      <c r="G156">
        <v>3</v>
      </c>
      <c r="H156">
        <v>6</v>
      </c>
      <c r="I156" t="str">
        <f t="shared" si="6"/>
        <v>-</v>
      </c>
      <c r="J156" s="3">
        <f t="shared" si="7"/>
        <v>0.45</v>
      </c>
      <c r="K156" s="2">
        <f t="shared" si="8"/>
        <v>37.323</v>
      </c>
    </row>
    <row r="157" spans="1:11" x14ac:dyDescent="0.3">
      <c r="A157" t="s">
        <v>1052</v>
      </c>
      <c r="B157" t="s">
        <v>715</v>
      </c>
      <c r="C157">
        <v>48</v>
      </c>
      <c r="D157" t="s">
        <v>899</v>
      </c>
      <c r="E157">
        <v>5.58</v>
      </c>
      <c r="F157" s="2">
        <v>85.09</v>
      </c>
      <c r="G157">
        <v>3</v>
      </c>
      <c r="H157">
        <v>4</v>
      </c>
      <c r="I157" t="str">
        <f t="shared" si="6"/>
        <v>-</v>
      </c>
      <c r="J157" s="3">
        <f t="shared" si="7"/>
        <v>0.45</v>
      </c>
      <c r="K157" s="2">
        <f t="shared" si="8"/>
        <v>38.290500000000002</v>
      </c>
    </row>
    <row r="158" spans="1:11" x14ac:dyDescent="0.3">
      <c r="A158" t="s">
        <v>1053</v>
      </c>
      <c r="B158" t="s">
        <v>715</v>
      </c>
      <c r="C158">
        <v>64</v>
      </c>
      <c r="D158" t="s">
        <v>896</v>
      </c>
      <c r="E158">
        <v>0.1</v>
      </c>
      <c r="F158" s="2">
        <v>40.58</v>
      </c>
      <c r="G158">
        <v>5</v>
      </c>
      <c r="H158">
        <v>5</v>
      </c>
      <c r="I158" t="str">
        <f t="shared" si="6"/>
        <v>B2B</v>
      </c>
      <c r="J158" s="3">
        <f t="shared" si="7"/>
        <v>0.1</v>
      </c>
      <c r="K158" s="2">
        <f t="shared" si="8"/>
        <v>4.0579999999999998</v>
      </c>
    </row>
    <row r="159" spans="1:11" x14ac:dyDescent="0.3">
      <c r="A159" t="s">
        <v>1054</v>
      </c>
      <c r="B159" t="s">
        <v>721</v>
      </c>
      <c r="C159">
        <v>67</v>
      </c>
      <c r="D159" t="s">
        <v>894</v>
      </c>
      <c r="E159">
        <v>4.0199999999999996</v>
      </c>
      <c r="F159" s="2">
        <v>47.72</v>
      </c>
      <c r="G159">
        <v>0</v>
      </c>
      <c r="H159">
        <v>6</v>
      </c>
      <c r="I159" t="str">
        <f t="shared" si="6"/>
        <v>B2B</v>
      </c>
      <c r="J159" s="3">
        <f t="shared" si="7"/>
        <v>0.45</v>
      </c>
      <c r="K159" s="2">
        <f t="shared" si="8"/>
        <v>21.474</v>
      </c>
    </row>
    <row r="160" spans="1:11" x14ac:dyDescent="0.3">
      <c r="A160" t="s">
        <v>1055</v>
      </c>
      <c r="B160" t="s">
        <v>693</v>
      </c>
      <c r="C160">
        <v>60</v>
      </c>
      <c r="D160" t="s">
        <v>896</v>
      </c>
      <c r="E160">
        <v>5.57</v>
      </c>
      <c r="F160" s="2">
        <v>71.72</v>
      </c>
      <c r="G160">
        <v>3</v>
      </c>
      <c r="H160">
        <v>5</v>
      </c>
      <c r="I160" t="str">
        <f t="shared" si="6"/>
        <v>B2B</v>
      </c>
      <c r="J160" s="3">
        <f t="shared" si="7"/>
        <v>0.45</v>
      </c>
      <c r="K160" s="2">
        <f t="shared" si="8"/>
        <v>32.274000000000001</v>
      </c>
    </row>
    <row r="161" spans="1:11" x14ac:dyDescent="0.3">
      <c r="A161" t="s">
        <v>1056</v>
      </c>
      <c r="B161" t="s">
        <v>693</v>
      </c>
      <c r="C161">
        <v>23</v>
      </c>
      <c r="D161" t="s">
        <v>896</v>
      </c>
      <c r="E161">
        <v>4.37</v>
      </c>
      <c r="F161" s="2">
        <v>46.3</v>
      </c>
      <c r="G161">
        <v>1</v>
      </c>
      <c r="H161">
        <v>2</v>
      </c>
      <c r="I161" t="str">
        <f t="shared" si="6"/>
        <v>B2B</v>
      </c>
      <c r="J161" s="3">
        <f t="shared" si="7"/>
        <v>0.45</v>
      </c>
      <c r="K161" s="2">
        <f t="shared" si="8"/>
        <v>20.835000000000001</v>
      </c>
    </row>
    <row r="162" spans="1:11" x14ac:dyDescent="0.3">
      <c r="A162" t="s">
        <v>1057</v>
      </c>
      <c r="B162" t="s">
        <v>703</v>
      </c>
      <c r="C162">
        <v>42</v>
      </c>
      <c r="D162" t="s">
        <v>896</v>
      </c>
      <c r="E162">
        <v>6.48</v>
      </c>
      <c r="F162" s="2">
        <v>80.08</v>
      </c>
      <c r="G162">
        <v>1</v>
      </c>
      <c r="H162">
        <v>4</v>
      </c>
      <c r="I162" t="str">
        <f t="shared" si="6"/>
        <v>-</v>
      </c>
      <c r="J162" s="3">
        <f t="shared" si="7"/>
        <v>0.45</v>
      </c>
      <c r="K162" s="2">
        <f t="shared" si="8"/>
        <v>36.036000000000001</v>
      </c>
    </row>
    <row r="163" spans="1:11" x14ac:dyDescent="0.3">
      <c r="A163" t="s">
        <v>1058</v>
      </c>
      <c r="B163" t="s">
        <v>695</v>
      </c>
      <c r="C163">
        <v>92</v>
      </c>
      <c r="D163" t="s">
        <v>896</v>
      </c>
      <c r="E163">
        <v>8.1199999999999992</v>
      </c>
      <c r="F163" s="2">
        <v>58.38</v>
      </c>
      <c r="G163">
        <v>1</v>
      </c>
      <c r="H163">
        <v>8</v>
      </c>
      <c r="I163" t="str">
        <f t="shared" si="6"/>
        <v>B2B</v>
      </c>
      <c r="J163" s="3">
        <f t="shared" si="7"/>
        <v>0.45</v>
      </c>
      <c r="K163" s="2">
        <f t="shared" si="8"/>
        <v>26.271000000000001</v>
      </c>
    </row>
    <row r="164" spans="1:11" x14ac:dyDescent="0.3">
      <c r="A164" t="s">
        <v>1059</v>
      </c>
      <c r="B164" t="s">
        <v>681</v>
      </c>
      <c r="C164">
        <v>48</v>
      </c>
      <c r="D164" t="s">
        <v>896</v>
      </c>
      <c r="E164">
        <v>1.27</v>
      </c>
      <c r="F164" s="2">
        <v>39.35</v>
      </c>
      <c r="G164">
        <v>2</v>
      </c>
      <c r="H164">
        <v>4</v>
      </c>
      <c r="I164" t="str">
        <f t="shared" si="6"/>
        <v>B2B</v>
      </c>
      <c r="J164" s="3">
        <f t="shared" si="7"/>
        <v>0.1</v>
      </c>
      <c r="K164" s="2">
        <f t="shared" si="8"/>
        <v>3.9350000000000005</v>
      </c>
    </row>
    <row r="165" spans="1:11" x14ac:dyDescent="0.3">
      <c r="A165" t="s">
        <v>1060</v>
      </c>
      <c r="B165" t="s">
        <v>699</v>
      </c>
      <c r="C165">
        <v>68</v>
      </c>
      <c r="D165" t="s">
        <v>894</v>
      </c>
      <c r="E165">
        <v>7.38</v>
      </c>
      <c r="F165" s="2">
        <v>12.09</v>
      </c>
      <c r="G165">
        <v>3</v>
      </c>
      <c r="H165">
        <v>6</v>
      </c>
      <c r="I165" t="str">
        <f t="shared" si="6"/>
        <v>B2B</v>
      </c>
      <c r="J165" s="3">
        <f t="shared" si="7"/>
        <v>0.45</v>
      </c>
      <c r="K165" s="2">
        <f t="shared" si="8"/>
        <v>5.4405000000000001</v>
      </c>
    </row>
    <row r="166" spans="1:11" x14ac:dyDescent="0.3">
      <c r="A166" t="s">
        <v>1061</v>
      </c>
      <c r="B166" t="s">
        <v>687</v>
      </c>
      <c r="C166">
        <v>89</v>
      </c>
      <c r="D166" t="s">
        <v>896</v>
      </c>
      <c r="E166">
        <v>3.38</v>
      </c>
      <c r="F166" s="2">
        <v>80.680000000000007</v>
      </c>
      <c r="G166">
        <v>5</v>
      </c>
      <c r="H166">
        <v>7</v>
      </c>
      <c r="I166" t="str">
        <f t="shared" si="6"/>
        <v>-</v>
      </c>
      <c r="J166" s="3">
        <f t="shared" si="7"/>
        <v>0</v>
      </c>
      <c r="K166" s="2">
        <f t="shared" si="8"/>
        <v>0</v>
      </c>
    </row>
    <row r="167" spans="1:11" x14ac:dyDescent="0.3">
      <c r="A167" t="s">
        <v>1062</v>
      </c>
      <c r="B167" t="s">
        <v>700</v>
      </c>
      <c r="C167">
        <v>62</v>
      </c>
      <c r="D167" t="s">
        <v>894</v>
      </c>
      <c r="E167">
        <v>1.93</v>
      </c>
      <c r="F167" s="2">
        <v>92.99</v>
      </c>
      <c r="G167">
        <v>5</v>
      </c>
      <c r="H167">
        <v>5</v>
      </c>
      <c r="I167" t="str">
        <f t="shared" si="6"/>
        <v>-</v>
      </c>
      <c r="J167" s="3">
        <f t="shared" si="7"/>
        <v>0</v>
      </c>
      <c r="K167" s="2">
        <f t="shared" si="8"/>
        <v>0</v>
      </c>
    </row>
    <row r="168" spans="1:11" x14ac:dyDescent="0.3">
      <c r="A168" t="s">
        <v>1063</v>
      </c>
      <c r="B168" t="s">
        <v>710</v>
      </c>
      <c r="C168">
        <v>92</v>
      </c>
      <c r="D168" t="s">
        <v>894</v>
      </c>
      <c r="E168">
        <v>1.93</v>
      </c>
      <c r="F168" s="2">
        <v>23.83</v>
      </c>
      <c r="G168">
        <v>3</v>
      </c>
      <c r="H168">
        <v>8</v>
      </c>
      <c r="I168" t="str">
        <f t="shared" si="6"/>
        <v>B2B</v>
      </c>
      <c r="J168" s="3">
        <f t="shared" si="7"/>
        <v>0.1</v>
      </c>
      <c r="K168" s="2">
        <f t="shared" si="8"/>
        <v>2.383</v>
      </c>
    </row>
    <row r="169" spans="1:11" x14ac:dyDescent="0.3">
      <c r="A169" t="s">
        <v>1064</v>
      </c>
      <c r="B169" t="s">
        <v>737</v>
      </c>
      <c r="C169">
        <v>64</v>
      </c>
      <c r="D169" t="s">
        <v>896</v>
      </c>
      <c r="E169">
        <v>6.17</v>
      </c>
      <c r="F169" s="2">
        <v>95.74</v>
      </c>
      <c r="G169">
        <v>1</v>
      </c>
      <c r="H169">
        <v>5</v>
      </c>
      <c r="I169" t="str">
        <f t="shared" si="6"/>
        <v>-</v>
      </c>
      <c r="J169" s="3">
        <f t="shared" si="7"/>
        <v>0.45</v>
      </c>
      <c r="K169" s="2">
        <f t="shared" si="8"/>
        <v>43.082999999999998</v>
      </c>
    </row>
    <row r="170" spans="1:11" x14ac:dyDescent="0.3">
      <c r="A170" t="s">
        <v>1065</v>
      </c>
      <c r="B170" t="s">
        <v>705</v>
      </c>
      <c r="C170">
        <v>61</v>
      </c>
      <c r="D170" t="s">
        <v>899</v>
      </c>
      <c r="E170">
        <v>6.38</v>
      </c>
      <c r="F170" s="2">
        <v>39.72</v>
      </c>
      <c r="G170">
        <v>4</v>
      </c>
      <c r="H170">
        <v>5</v>
      </c>
      <c r="I170" t="str">
        <f t="shared" si="6"/>
        <v>B2B</v>
      </c>
      <c r="J170" s="3">
        <f t="shared" si="7"/>
        <v>0.45</v>
      </c>
      <c r="K170" s="2">
        <f t="shared" si="8"/>
        <v>17.873999999999999</v>
      </c>
    </row>
    <row r="171" spans="1:11" x14ac:dyDescent="0.3">
      <c r="A171" t="s">
        <v>1066</v>
      </c>
      <c r="B171" t="s">
        <v>724</v>
      </c>
      <c r="C171">
        <v>35</v>
      </c>
      <c r="D171" t="s">
        <v>901</v>
      </c>
      <c r="E171">
        <v>1.78</v>
      </c>
      <c r="F171" s="2">
        <v>66.69</v>
      </c>
      <c r="G171">
        <v>4</v>
      </c>
      <c r="H171">
        <v>3</v>
      </c>
      <c r="I171" t="str">
        <f t="shared" si="6"/>
        <v>B2B</v>
      </c>
      <c r="J171" s="3">
        <f t="shared" si="7"/>
        <v>0.1</v>
      </c>
      <c r="K171" s="2">
        <f t="shared" si="8"/>
        <v>6.6690000000000005</v>
      </c>
    </row>
    <row r="172" spans="1:11" x14ac:dyDescent="0.3">
      <c r="A172" t="s">
        <v>1067</v>
      </c>
      <c r="B172" t="s">
        <v>713</v>
      </c>
      <c r="C172">
        <v>75</v>
      </c>
      <c r="D172" t="s">
        <v>896</v>
      </c>
      <c r="E172">
        <v>4.03</v>
      </c>
      <c r="F172" s="2">
        <v>64.27</v>
      </c>
      <c r="G172">
        <v>2</v>
      </c>
      <c r="H172">
        <v>6</v>
      </c>
      <c r="I172" t="str">
        <f t="shared" si="6"/>
        <v>B2B</v>
      </c>
      <c r="J172" s="3">
        <f t="shared" si="7"/>
        <v>0.45</v>
      </c>
      <c r="K172" s="2">
        <f t="shared" si="8"/>
        <v>28.921499999999998</v>
      </c>
    </row>
    <row r="173" spans="1:11" x14ac:dyDescent="0.3">
      <c r="A173" t="s">
        <v>1068</v>
      </c>
      <c r="B173" t="s">
        <v>700</v>
      </c>
      <c r="C173">
        <v>52</v>
      </c>
      <c r="D173" t="s">
        <v>901</v>
      </c>
      <c r="E173">
        <v>1.98</v>
      </c>
      <c r="F173" s="2">
        <v>64.709999999999994</v>
      </c>
      <c r="G173">
        <v>4</v>
      </c>
      <c r="H173">
        <v>4</v>
      </c>
      <c r="I173" t="str">
        <f t="shared" si="6"/>
        <v>B2B</v>
      </c>
      <c r="J173" s="3">
        <f t="shared" si="7"/>
        <v>0.1</v>
      </c>
      <c r="K173" s="2">
        <f t="shared" si="8"/>
        <v>6.4710000000000001</v>
      </c>
    </row>
    <row r="174" spans="1:11" x14ac:dyDescent="0.3">
      <c r="A174" t="s">
        <v>1069</v>
      </c>
      <c r="B174" t="s">
        <v>698</v>
      </c>
      <c r="C174">
        <v>82</v>
      </c>
      <c r="D174" t="s">
        <v>894</v>
      </c>
      <c r="E174">
        <v>4.4000000000000004</v>
      </c>
      <c r="F174" s="2">
        <v>88.03</v>
      </c>
      <c r="G174">
        <v>1</v>
      </c>
      <c r="H174">
        <v>7</v>
      </c>
      <c r="I174" t="str">
        <f t="shared" si="6"/>
        <v>-</v>
      </c>
      <c r="J174" s="3">
        <f t="shared" si="7"/>
        <v>0.45</v>
      </c>
      <c r="K174" s="2">
        <f t="shared" si="8"/>
        <v>39.613500000000002</v>
      </c>
    </row>
    <row r="175" spans="1:11" x14ac:dyDescent="0.3">
      <c r="A175" t="s">
        <v>1070</v>
      </c>
      <c r="B175" t="s">
        <v>693</v>
      </c>
      <c r="C175">
        <v>118</v>
      </c>
      <c r="D175" t="s">
        <v>899</v>
      </c>
      <c r="E175">
        <v>5</v>
      </c>
      <c r="F175" s="2">
        <v>98.22</v>
      </c>
      <c r="G175">
        <v>4</v>
      </c>
      <c r="H175">
        <v>10</v>
      </c>
      <c r="I175" t="str">
        <f t="shared" si="6"/>
        <v>-</v>
      </c>
      <c r="J175" s="3">
        <f t="shared" si="7"/>
        <v>0.45</v>
      </c>
      <c r="K175" s="2">
        <f t="shared" si="8"/>
        <v>44.198999999999998</v>
      </c>
    </row>
    <row r="176" spans="1:11" x14ac:dyDescent="0.3">
      <c r="A176" t="s">
        <v>1071</v>
      </c>
      <c r="B176" t="s">
        <v>703</v>
      </c>
      <c r="C176">
        <v>102</v>
      </c>
      <c r="D176" t="s">
        <v>894</v>
      </c>
      <c r="E176">
        <v>6.7</v>
      </c>
      <c r="F176" s="2">
        <v>28.38</v>
      </c>
      <c r="G176">
        <v>5</v>
      </c>
      <c r="H176">
        <v>8</v>
      </c>
      <c r="I176" t="str">
        <f t="shared" si="6"/>
        <v>B2B</v>
      </c>
      <c r="J176" s="3">
        <f t="shared" si="7"/>
        <v>0.45</v>
      </c>
      <c r="K176" s="2">
        <f t="shared" si="8"/>
        <v>12.770999999999999</v>
      </c>
    </row>
    <row r="177" spans="1:11" x14ac:dyDescent="0.3">
      <c r="A177" t="s">
        <v>1072</v>
      </c>
      <c r="B177" t="s">
        <v>736</v>
      </c>
      <c r="C177">
        <v>75</v>
      </c>
      <c r="D177" t="s">
        <v>899</v>
      </c>
      <c r="E177">
        <v>4.7</v>
      </c>
      <c r="F177" s="2">
        <v>45.16</v>
      </c>
      <c r="G177">
        <v>5</v>
      </c>
      <c r="H177">
        <v>6</v>
      </c>
      <c r="I177" t="str">
        <f t="shared" si="6"/>
        <v>B2B</v>
      </c>
      <c r="J177" s="3">
        <f t="shared" si="7"/>
        <v>0.45</v>
      </c>
      <c r="K177" s="2">
        <f t="shared" si="8"/>
        <v>20.321999999999999</v>
      </c>
    </row>
    <row r="178" spans="1:11" x14ac:dyDescent="0.3">
      <c r="A178" t="s">
        <v>1073</v>
      </c>
      <c r="B178" t="s">
        <v>721</v>
      </c>
      <c r="C178">
        <v>84</v>
      </c>
      <c r="D178" t="s">
        <v>894</v>
      </c>
      <c r="E178">
        <v>6.45</v>
      </c>
      <c r="F178" s="2">
        <v>58.1</v>
      </c>
      <c r="G178">
        <v>3</v>
      </c>
      <c r="H178">
        <v>7</v>
      </c>
      <c r="I178" t="str">
        <f t="shared" si="6"/>
        <v>B2B</v>
      </c>
      <c r="J178" s="3">
        <f t="shared" si="7"/>
        <v>0.45</v>
      </c>
      <c r="K178" s="2">
        <f t="shared" si="8"/>
        <v>26.145</v>
      </c>
    </row>
    <row r="179" spans="1:11" x14ac:dyDescent="0.3">
      <c r="A179" t="s">
        <v>1074</v>
      </c>
      <c r="B179" t="s">
        <v>715</v>
      </c>
      <c r="C179">
        <v>5</v>
      </c>
      <c r="D179" t="s">
        <v>899</v>
      </c>
      <c r="E179">
        <v>3.98</v>
      </c>
      <c r="F179" s="2">
        <v>26.95</v>
      </c>
      <c r="G179">
        <v>2</v>
      </c>
      <c r="H179">
        <v>0</v>
      </c>
      <c r="I179" t="str">
        <f t="shared" si="6"/>
        <v>B2B</v>
      </c>
      <c r="J179" s="3">
        <f t="shared" si="7"/>
        <v>0.1</v>
      </c>
      <c r="K179" s="2">
        <f t="shared" si="8"/>
        <v>2.6950000000000003</v>
      </c>
    </row>
    <row r="180" spans="1:11" x14ac:dyDescent="0.3">
      <c r="A180" t="s">
        <v>1075</v>
      </c>
      <c r="B180" t="s">
        <v>687</v>
      </c>
      <c r="C180">
        <v>27</v>
      </c>
      <c r="D180" t="s">
        <v>894</v>
      </c>
      <c r="E180">
        <v>6.15</v>
      </c>
      <c r="F180" s="2">
        <v>19.78</v>
      </c>
      <c r="G180">
        <v>1</v>
      </c>
      <c r="H180">
        <v>2</v>
      </c>
      <c r="I180" t="str">
        <f t="shared" si="6"/>
        <v>B2B</v>
      </c>
      <c r="J180" s="3">
        <f t="shared" si="7"/>
        <v>0.45</v>
      </c>
      <c r="K180" s="2">
        <f t="shared" si="8"/>
        <v>8.9010000000000016</v>
      </c>
    </row>
    <row r="181" spans="1:11" x14ac:dyDescent="0.3">
      <c r="A181" t="s">
        <v>1076</v>
      </c>
      <c r="B181" t="s">
        <v>705</v>
      </c>
      <c r="C181">
        <v>29</v>
      </c>
      <c r="D181" t="s">
        <v>901</v>
      </c>
      <c r="E181">
        <v>6.93</v>
      </c>
      <c r="F181" s="2">
        <v>61.26</v>
      </c>
      <c r="G181">
        <v>0</v>
      </c>
      <c r="H181">
        <v>2</v>
      </c>
      <c r="I181" t="str">
        <f t="shared" si="6"/>
        <v>B2B</v>
      </c>
      <c r="J181" s="3">
        <f t="shared" si="7"/>
        <v>0.45</v>
      </c>
      <c r="K181" s="2">
        <f t="shared" si="8"/>
        <v>27.567</v>
      </c>
    </row>
    <row r="182" spans="1:11" x14ac:dyDescent="0.3">
      <c r="A182" t="s">
        <v>1077</v>
      </c>
      <c r="B182" t="s">
        <v>724</v>
      </c>
      <c r="C182">
        <v>115</v>
      </c>
      <c r="D182" t="s">
        <v>899</v>
      </c>
      <c r="E182">
        <v>3.93</v>
      </c>
      <c r="F182" s="2">
        <v>50.64</v>
      </c>
      <c r="G182">
        <v>1</v>
      </c>
      <c r="H182">
        <v>10</v>
      </c>
      <c r="I182" t="str">
        <f t="shared" si="6"/>
        <v>B2B</v>
      </c>
      <c r="J182" s="3">
        <f t="shared" si="7"/>
        <v>0.1</v>
      </c>
      <c r="K182" s="2">
        <f t="shared" si="8"/>
        <v>5.0640000000000001</v>
      </c>
    </row>
    <row r="183" spans="1:11" x14ac:dyDescent="0.3">
      <c r="A183" t="s">
        <v>1078</v>
      </c>
      <c r="B183" t="s">
        <v>737</v>
      </c>
      <c r="C183">
        <v>26</v>
      </c>
      <c r="D183" t="s">
        <v>899</v>
      </c>
      <c r="E183">
        <v>2.9</v>
      </c>
      <c r="F183" s="2">
        <v>90.53</v>
      </c>
      <c r="G183">
        <v>3</v>
      </c>
      <c r="H183">
        <v>2</v>
      </c>
      <c r="I183" t="str">
        <f t="shared" si="6"/>
        <v>-</v>
      </c>
      <c r="J183" s="3">
        <f t="shared" si="7"/>
        <v>0</v>
      </c>
      <c r="K183" s="2">
        <f t="shared" si="8"/>
        <v>0</v>
      </c>
    </row>
    <row r="184" spans="1:11" x14ac:dyDescent="0.3">
      <c r="A184" t="s">
        <v>1079</v>
      </c>
      <c r="B184" t="s">
        <v>721</v>
      </c>
      <c r="C184">
        <v>58</v>
      </c>
      <c r="D184" t="s">
        <v>899</v>
      </c>
      <c r="E184">
        <v>6.75</v>
      </c>
      <c r="F184" s="2">
        <v>18.39</v>
      </c>
      <c r="G184">
        <v>0</v>
      </c>
      <c r="H184">
        <v>5</v>
      </c>
      <c r="I184" t="str">
        <f t="shared" si="6"/>
        <v>B2B</v>
      </c>
      <c r="J184" s="3">
        <f t="shared" si="7"/>
        <v>0.45</v>
      </c>
      <c r="K184" s="2">
        <f t="shared" si="8"/>
        <v>8.275500000000001</v>
      </c>
    </row>
    <row r="185" spans="1:11" x14ac:dyDescent="0.3">
      <c r="A185" t="s">
        <v>1080</v>
      </c>
      <c r="B185" t="s">
        <v>701</v>
      </c>
      <c r="C185">
        <v>111</v>
      </c>
      <c r="D185" t="s">
        <v>894</v>
      </c>
      <c r="E185">
        <v>0.72</v>
      </c>
      <c r="F185" s="2">
        <v>19.39</v>
      </c>
      <c r="G185">
        <v>3</v>
      </c>
      <c r="H185">
        <v>9</v>
      </c>
      <c r="I185" t="str">
        <f t="shared" si="6"/>
        <v>B2B</v>
      </c>
      <c r="J185" s="3">
        <f t="shared" si="7"/>
        <v>0.1</v>
      </c>
      <c r="K185" s="2">
        <f t="shared" si="8"/>
        <v>1.9390000000000001</v>
      </c>
    </row>
    <row r="186" spans="1:11" x14ac:dyDescent="0.3">
      <c r="A186" t="s">
        <v>1081</v>
      </c>
      <c r="B186" t="s">
        <v>715</v>
      </c>
      <c r="C186">
        <v>31</v>
      </c>
      <c r="D186" t="s">
        <v>899</v>
      </c>
      <c r="E186">
        <v>2.67</v>
      </c>
      <c r="F186" s="2">
        <v>59.76</v>
      </c>
      <c r="G186">
        <v>4</v>
      </c>
      <c r="H186">
        <v>3</v>
      </c>
      <c r="I186" t="str">
        <f t="shared" si="6"/>
        <v>B2B</v>
      </c>
      <c r="J186" s="3">
        <f t="shared" si="7"/>
        <v>0.1</v>
      </c>
      <c r="K186" s="2">
        <f t="shared" si="8"/>
        <v>5.976</v>
      </c>
    </row>
    <row r="187" spans="1:11" x14ac:dyDescent="0.3">
      <c r="A187" t="s">
        <v>1082</v>
      </c>
      <c r="B187" t="s">
        <v>684</v>
      </c>
      <c r="C187">
        <v>51</v>
      </c>
      <c r="D187" t="s">
        <v>901</v>
      </c>
      <c r="E187">
        <v>7.22</v>
      </c>
      <c r="F187" s="2">
        <v>12.89</v>
      </c>
      <c r="G187">
        <v>1</v>
      </c>
      <c r="H187">
        <v>4</v>
      </c>
      <c r="I187" t="str">
        <f t="shared" si="6"/>
        <v>B2B</v>
      </c>
      <c r="J187" s="3">
        <f t="shared" si="7"/>
        <v>0.45</v>
      </c>
      <c r="K187" s="2">
        <f t="shared" si="8"/>
        <v>5.8005000000000004</v>
      </c>
    </row>
    <row r="188" spans="1:11" x14ac:dyDescent="0.3">
      <c r="A188" t="s">
        <v>1083</v>
      </c>
      <c r="B188" t="s">
        <v>698</v>
      </c>
      <c r="C188">
        <v>28</v>
      </c>
      <c r="D188" t="s">
        <v>894</v>
      </c>
      <c r="E188">
        <v>1.6</v>
      </c>
      <c r="F188" s="2">
        <v>72.010000000000005</v>
      </c>
      <c r="G188">
        <v>4</v>
      </c>
      <c r="H188">
        <v>2</v>
      </c>
      <c r="I188" t="str">
        <f t="shared" si="6"/>
        <v>B2B</v>
      </c>
      <c r="J188" s="3">
        <f t="shared" si="7"/>
        <v>0.45</v>
      </c>
      <c r="K188" s="2">
        <f t="shared" si="8"/>
        <v>32.404500000000006</v>
      </c>
    </row>
    <row r="189" spans="1:11" x14ac:dyDescent="0.3">
      <c r="A189" t="s">
        <v>1084</v>
      </c>
      <c r="B189" t="s">
        <v>706</v>
      </c>
      <c r="C189">
        <v>40</v>
      </c>
      <c r="D189" t="s">
        <v>901</v>
      </c>
      <c r="E189">
        <v>3.65</v>
      </c>
      <c r="F189" s="2">
        <v>53.98</v>
      </c>
      <c r="G189">
        <v>2</v>
      </c>
      <c r="H189">
        <v>3</v>
      </c>
      <c r="I189" t="str">
        <f t="shared" si="6"/>
        <v>B2B</v>
      </c>
      <c r="J189" s="3">
        <f t="shared" si="7"/>
        <v>0.1</v>
      </c>
      <c r="K189" s="2">
        <f t="shared" si="8"/>
        <v>5.3979999999999997</v>
      </c>
    </row>
    <row r="190" spans="1:11" x14ac:dyDescent="0.3">
      <c r="A190" t="s">
        <v>1085</v>
      </c>
      <c r="B190" t="s">
        <v>693</v>
      </c>
      <c r="C190">
        <v>55</v>
      </c>
      <c r="D190" t="s">
        <v>894</v>
      </c>
      <c r="E190">
        <v>6.57</v>
      </c>
      <c r="F190" s="2">
        <v>26.8</v>
      </c>
      <c r="G190">
        <v>4</v>
      </c>
      <c r="H190">
        <v>5</v>
      </c>
      <c r="I190" t="str">
        <f t="shared" si="6"/>
        <v>B2B</v>
      </c>
      <c r="J190" s="3">
        <f t="shared" si="7"/>
        <v>0.45</v>
      </c>
      <c r="K190" s="2">
        <f t="shared" si="8"/>
        <v>12.06</v>
      </c>
    </row>
    <row r="191" spans="1:11" x14ac:dyDescent="0.3">
      <c r="A191" t="s">
        <v>1086</v>
      </c>
      <c r="B191" t="s">
        <v>718</v>
      </c>
      <c r="C191">
        <v>114</v>
      </c>
      <c r="D191" t="s">
        <v>894</v>
      </c>
      <c r="E191">
        <v>8.0299999999999994</v>
      </c>
      <c r="F191" s="2">
        <v>16.25</v>
      </c>
      <c r="G191">
        <v>3</v>
      </c>
      <c r="H191">
        <v>10</v>
      </c>
      <c r="I191" t="str">
        <f t="shared" si="6"/>
        <v>B2B</v>
      </c>
      <c r="J191" s="3">
        <f t="shared" si="7"/>
        <v>0.45</v>
      </c>
      <c r="K191" s="2">
        <f t="shared" si="8"/>
        <v>7.3125</v>
      </c>
    </row>
    <row r="192" spans="1:11" x14ac:dyDescent="0.3">
      <c r="A192" t="s">
        <v>1087</v>
      </c>
      <c r="B192" t="s">
        <v>725</v>
      </c>
      <c r="C192">
        <v>49</v>
      </c>
      <c r="D192" t="s">
        <v>894</v>
      </c>
      <c r="E192">
        <v>5.95</v>
      </c>
      <c r="F192" s="2">
        <v>96.67</v>
      </c>
      <c r="G192">
        <v>3</v>
      </c>
      <c r="H192">
        <v>4</v>
      </c>
      <c r="I192" t="str">
        <f t="shared" si="6"/>
        <v>-</v>
      </c>
      <c r="J192" s="3">
        <f t="shared" si="7"/>
        <v>0.45</v>
      </c>
      <c r="K192" s="2">
        <f t="shared" si="8"/>
        <v>43.5015</v>
      </c>
    </row>
    <row r="193" spans="1:11" x14ac:dyDescent="0.3">
      <c r="A193" t="s">
        <v>1088</v>
      </c>
      <c r="B193" t="s">
        <v>721</v>
      </c>
      <c r="C193">
        <v>74</v>
      </c>
      <c r="D193" t="s">
        <v>894</v>
      </c>
      <c r="E193">
        <v>3.55</v>
      </c>
      <c r="F193" s="2">
        <v>35.54</v>
      </c>
      <c r="G193">
        <v>3</v>
      </c>
      <c r="H193">
        <v>6</v>
      </c>
      <c r="I193" t="str">
        <f t="shared" si="6"/>
        <v>B2B</v>
      </c>
      <c r="J193" s="3">
        <f t="shared" si="7"/>
        <v>0.1</v>
      </c>
      <c r="K193" s="2">
        <f t="shared" si="8"/>
        <v>3.5540000000000003</v>
      </c>
    </row>
    <row r="194" spans="1:11" x14ac:dyDescent="0.3">
      <c r="A194" t="s">
        <v>1089</v>
      </c>
      <c r="B194" t="s">
        <v>706</v>
      </c>
      <c r="C194">
        <v>21</v>
      </c>
      <c r="D194" t="s">
        <v>901</v>
      </c>
      <c r="E194">
        <v>1.78</v>
      </c>
      <c r="F194" s="2">
        <v>30.97</v>
      </c>
      <c r="G194">
        <v>4</v>
      </c>
      <c r="H194">
        <v>2</v>
      </c>
      <c r="I194" t="str">
        <f t="shared" ref="I194:I257" si="9">IF(F194&lt;80,"B2B","-")</f>
        <v>B2B</v>
      </c>
      <c r="J194" s="3">
        <f t="shared" ref="J194:J257" si="10">IF(AND(E194&gt;12,H194&gt;5),70%,
IF(OR(AND(E194&gt;=4,E194&lt;=12),AND(H194&lt;5,ISNUMBER(SEARCH("Premium",D194)))),45%,
IF(I194="B2B",10%,0%)))</f>
        <v>0.1</v>
      </c>
      <c r="K194" s="2">
        <f t="shared" ref="K194:K257" si="11">F194*J194</f>
        <v>3.097</v>
      </c>
    </row>
    <row r="195" spans="1:11" x14ac:dyDescent="0.3">
      <c r="A195" t="s">
        <v>1090</v>
      </c>
      <c r="B195" t="s">
        <v>721</v>
      </c>
      <c r="C195">
        <v>120</v>
      </c>
      <c r="D195" t="s">
        <v>901</v>
      </c>
      <c r="E195">
        <v>3.73</v>
      </c>
      <c r="F195" s="2">
        <v>69.36</v>
      </c>
      <c r="G195">
        <v>0</v>
      </c>
      <c r="H195">
        <v>10</v>
      </c>
      <c r="I195" t="str">
        <f t="shared" si="9"/>
        <v>B2B</v>
      </c>
      <c r="J195" s="3">
        <f t="shared" si="10"/>
        <v>0.1</v>
      </c>
      <c r="K195" s="2">
        <f t="shared" si="11"/>
        <v>6.9359999999999999</v>
      </c>
    </row>
    <row r="196" spans="1:11" x14ac:dyDescent="0.3">
      <c r="A196" t="s">
        <v>1091</v>
      </c>
      <c r="B196" t="s">
        <v>692</v>
      </c>
      <c r="C196">
        <v>108</v>
      </c>
      <c r="D196" t="s">
        <v>894</v>
      </c>
      <c r="E196">
        <v>3.83</v>
      </c>
      <c r="F196" s="2">
        <v>16.3</v>
      </c>
      <c r="G196">
        <v>5</v>
      </c>
      <c r="H196">
        <v>9</v>
      </c>
      <c r="I196" t="str">
        <f t="shared" si="9"/>
        <v>B2B</v>
      </c>
      <c r="J196" s="3">
        <f t="shared" si="10"/>
        <v>0.1</v>
      </c>
      <c r="K196" s="2">
        <f t="shared" si="11"/>
        <v>1.6300000000000001</v>
      </c>
    </row>
    <row r="197" spans="1:11" x14ac:dyDescent="0.3">
      <c r="A197" t="s">
        <v>1092</v>
      </c>
      <c r="B197" t="s">
        <v>700</v>
      </c>
      <c r="C197">
        <v>48</v>
      </c>
      <c r="D197" t="s">
        <v>899</v>
      </c>
      <c r="E197">
        <v>7.27</v>
      </c>
      <c r="F197" s="2">
        <v>15.17</v>
      </c>
      <c r="G197">
        <v>0</v>
      </c>
      <c r="H197">
        <v>4</v>
      </c>
      <c r="I197" t="str">
        <f t="shared" si="9"/>
        <v>B2B</v>
      </c>
      <c r="J197" s="3">
        <f t="shared" si="10"/>
        <v>0.45</v>
      </c>
      <c r="K197" s="2">
        <f t="shared" si="11"/>
        <v>6.8265000000000002</v>
      </c>
    </row>
    <row r="198" spans="1:11" x14ac:dyDescent="0.3">
      <c r="A198" t="s">
        <v>1093</v>
      </c>
      <c r="B198" t="s">
        <v>725</v>
      </c>
      <c r="C198">
        <v>33</v>
      </c>
      <c r="D198" t="s">
        <v>894</v>
      </c>
      <c r="E198">
        <v>4.75</v>
      </c>
      <c r="F198" s="2">
        <v>56.67</v>
      </c>
      <c r="G198">
        <v>2</v>
      </c>
      <c r="H198">
        <v>3</v>
      </c>
      <c r="I198" t="str">
        <f t="shared" si="9"/>
        <v>B2B</v>
      </c>
      <c r="J198" s="3">
        <f t="shared" si="10"/>
        <v>0.45</v>
      </c>
      <c r="K198" s="2">
        <f t="shared" si="11"/>
        <v>25.5015</v>
      </c>
    </row>
    <row r="199" spans="1:11" x14ac:dyDescent="0.3">
      <c r="A199" t="s">
        <v>1094</v>
      </c>
      <c r="B199" t="s">
        <v>702</v>
      </c>
      <c r="C199">
        <v>71</v>
      </c>
      <c r="D199" t="s">
        <v>894</v>
      </c>
      <c r="E199">
        <v>0.25</v>
      </c>
      <c r="F199" s="2">
        <v>25.46</v>
      </c>
      <c r="G199">
        <v>5</v>
      </c>
      <c r="H199">
        <v>6</v>
      </c>
      <c r="I199" t="str">
        <f t="shared" si="9"/>
        <v>B2B</v>
      </c>
      <c r="J199" s="3">
        <f t="shared" si="10"/>
        <v>0.1</v>
      </c>
      <c r="K199" s="2">
        <f t="shared" si="11"/>
        <v>2.5460000000000003</v>
      </c>
    </row>
    <row r="200" spans="1:11" x14ac:dyDescent="0.3">
      <c r="A200" t="s">
        <v>1095</v>
      </c>
      <c r="B200" t="s">
        <v>684</v>
      </c>
      <c r="C200">
        <v>11</v>
      </c>
      <c r="D200" t="s">
        <v>894</v>
      </c>
      <c r="E200">
        <v>3.18</v>
      </c>
      <c r="F200" s="2">
        <v>87.37</v>
      </c>
      <c r="G200">
        <v>3</v>
      </c>
      <c r="H200">
        <v>1</v>
      </c>
      <c r="I200" t="str">
        <f t="shared" si="9"/>
        <v>-</v>
      </c>
      <c r="J200" s="3">
        <f t="shared" si="10"/>
        <v>0.45</v>
      </c>
      <c r="K200" s="2">
        <f t="shared" si="11"/>
        <v>39.316500000000005</v>
      </c>
    </row>
    <row r="201" spans="1:11" x14ac:dyDescent="0.3">
      <c r="A201" t="s">
        <v>1096</v>
      </c>
      <c r="B201" t="s">
        <v>695</v>
      </c>
      <c r="C201">
        <v>18</v>
      </c>
      <c r="D201" t="s">
        <v>896</v>
      </c>
      <c r="E201">
        <v>1.18</v>
      </c>
      <c r="F201" s="2">
        <v>46.98</v>
      </c>
      <c r="G201">
        <v>2</v>
      </c>
      <c r="H201">
        <v>2</v>
      </c>
      <c r="I201" t="str">
        <f t="shared" si="9"/>
        <v>B2B</v>
      </c>
      <c r="J201" s="3">
        <f t="shared" si="10"/>
        <v>0.1</v>
      </c>
      <c r="K201" s="2">
        <f t="shared" si="11"/>
        <v>4.6979999999999995</v>
      </c>
    </row>
    <row r="202" spans="1:11" x14ac:dyDescent="0.3">
      <c r="A202" t="s">
        <v>1097</v>
      </c>
      <c r="B202" t="s">
        <v>736</v>
      </c>
      <c r="C202">
        <v>27</v>
      </c>
      <c r="D202" t="s">
        <v>894</v>
      </c>
      <c r="E202">
        <v>1.02</v>
      </c>
      <c r="F202" s="2">
        <v>97.51</v>
      </c>
      <c r="G202">
        <v>5</v>
      </c>
      <c r="H202">
        <v>2</v>
      </c>
      <c r="I202" t="str">
        <f t="shared" si="9"/>
        <v>-</v>
      </c>
      <c r="J202" s="3">
        <f t="shared" si="10"/>
        <v>0.45</v>
      </c>
      <c r="K202" s="2">
        <f t="shared" si="11"/>
        <v>43.8795</v>
      </c>
    </row>
    <row r="203" spans="1:11" x14ac:dyDescent="0.3">
      <c r="A203" t="s">
        <v>1098</v>
      </c>
      <c r="B203" t="s">
        <v>695</v>
      </c>
      <c r="C203">
        <v>65</v>
      </c>
      <c r="D203" t="s">
        <v>899</v>
      </c>
      <c r="E203">
        <v>1.97</v>
      </c>
      <c r="F203" s="2">
        <v>72.430000000000007</v>
      </c>
      <c r="G203">
        <v>1</v>
      </c>
      <c r="H203">
        <v>5</v>
      </c>
      <c r="I203" t="str">
        <f t="shared" si="9"/>
        <v>B2B</v>
      </c>
      <c r="J203" s="3">
        <f t="shared" si="10"/>
        <v>0.1</v>
      </c>
      <c r="K203" s="2">
        <f t="shared" si="11"/>
        <v>7.2430000000000012</v>
      </c>
    </row>
    <row r="204" spans="1:11" x14ac:dyDescent="0.3">
      <c r="A204" t="s">
        <v>1099</v>
      </c>
      <c r="B204" t="s">
        <v>700</v>
      </c>
      <c r="C204">
        <v>6</v>
      </c>
      <c r="D204" t="s">
        <v>896</v>
      </c>
      <c r="E204">
        <v>1.82</v>
      </c>
      <c r="F204" s="2">
        <v>39.880000000000003</v>
      </c>
      <c r="G204">
        <v>4</v>
      </c>
      <c r="H204">
        <v>0</v>
      </c>
      <c r="I204" t="str">
        <f t="shared" si="9"/>
        <v>B2B</v>
      </c>
      <c r="J204" s="3">
        <f t="shared" si="10"/>
        <v>0.1</v>
      </c>
      <c r="K204" s="2">
        <f t="shared" si="11"/>
        <v>3.9880000000000004</v>
      </c>
    </row>
    <row r="205" spans="1:11" x14ac:dyDescent="0.3">
      <c r="A205" t="s">
        <v>1100</v>
      </c>
      <c r="B205" t="s">
        <v>721</v>
      </c>
      <c r="C205">
        <v>60</v>
      </c>
      <c r="D205" t="s">
        <v>901</v>
      </c>
      <c r="E205">
        <v>0.9</v>
      </c>
      <c r="F205" s="2">
        <v>67.180000000000007</v>
      </c>
      <c r="G205">
        <v>3</v>
      </c>
      <c r="H205">
        <v>5</v>
      </c>
      <c r="I205" t="str">
        <f t="shared" si="9"/>
        <v>B2B</v>
      </c>
      <c r="J205" s="3">
        <f t="shared" si="10"/>
        <v>0.1</v>
      </c>
      <c r="K205" s="2">
        <f t="shared" si="11"/>
        <v>6.7180000000000009</v>
      </c>
    </row>
    <row r="206" spans="1:11" x14ac:dyDescent="0.3">
      <c r="A206" t="s">
        <v>1101</v>
      </c>
      <c r="B206" t="s">
        <v>702</v>
      </c>
      <c r="C206">
        <v>4</v>
      </c>
      <c r="D206" t="s">
        <v>899</v>
      </c>
      <c r="E206">
        <v>3.03</v>
      </c>
      <c r="F206" s="2">
        <v>89.56</v>
      </c>
      <c r="G206">
        <v>4</v>
      </c>
      <c r="H206">
        <v>0</v>
      </c>
      <c r="I206" t="str">
        <f t="shared" si="9"/>
        <v>-</v>
      </c>
      <c r="J206" s="3">
        <f t="shared" si="10"/>
        <v>0</v>
      </c>
      <c r="K206" s="2">
        <f t="shared" si="11"/>
        <v>0</v>
      </c>
    </row>
    <row r="207" spans="1:11" x14ac:dyDescent="0.3">
      <c r="A207" t="s">
        <v>1102</v>
      </c>
      <c r="B207" t="s">
        <v>710</v>
      </c>
      <c r="C207">
        <v>10</v>
      </c>
      <c r="D207" t="s">
        <v>899</v>
      </c>
      <c r="E207">
        <v>2.75</v>
      </c>
      <c r="F207" s="2">
        <v>38.619999999999997</v>
      </c>
      <c r="G207">
        <v>2</v>
      </c>
      <c r="H207">
        <v>1</v>
      </c>
      <c r="I207" t="str">
        <f t="shared" si="9"/>
        <v>B2B</v>
      </c>
      <c r="J207" s="3">
        <f t="shared" si="10"/>
        <v>0.1</v>
      </c>
      <c r="K207" s="2">
        <f t="shared" si="11"/>
        <v>3.8620000000000001</v>
      </c>
    </row>
    <row r="208" spans="1:11" x14ac:dyDescent="0.3">
      <c r="A208" t="s">
        <v>1103</v>
      </c>
      <c r="B208" t="s">
        <v>705</v>
      </c>
      <c r="C208">
        <v>82</v>
      </c>
      <c r="D208" t="s">
        <v>894</v>
      </c>
      <c r="E208">
        <v>1.47</v>
      </c>
      <c r="F208" s="2">
        <v>86.64</v>
      </c>
      <c r="G208">
        <v>1</v>
      </c>
      <c r="H208">
        <v>7</v>
      </c>
      <c r="I208" t="str">
        <f t="shared" si="9"/>
        <v>-</v>
      </c>
      <c r="J208" s="3">
        <f t="shared" si="10"/>
        <v>0</v>
      </c>
      <c r="K208" s="2">
        <f t="shared" si="11"/>
        <v>0</v>
      </c>
    </row>
    <row r="209" spans="1:11" x14ac:dyDescent="0.3">
      <c r="A209" t="s">
        <v>1104</v>
      </c>
      <c r="B209" t="s">
        <v>702</v>
      </c>
      <c r="C209">
        <v>89</v>
      </c>
      <c r="D209" t="s">
        <v>901</v>
      </c>
      <c r="E209">
        <v>0.12</v>
      </c>
      <c r="F209" s="2">
        <v>53.39</v>
      </c>
      <c r="G209">
        <v>3</v>
      </c>
      <c r="H209">
        <v>7</v>
      </c>
      <c r="I209" t="str">
        <f t="shared" si="9"/>
        <v>B2B</v>
      </c>
      <c r="J209" s="3">
        <f t="shared" si="10"/>
        <v>0.1</v>
      </c>
      <c r="K209" s="2">
        <f t="shared" si="11"/>
        <v>5.3390000000000004</v>
      </c>
    </row>
    <row r="210" spans="1:11" x14ac:dyDescent="0.3">
      <c r="A210" t="s">
        <v>1105</v>
      </c>
      <c r="B210" t="s">
        <v>700</v>
      </c>
      <c r="C210">
        <v>87</v>
      </c>
      <c r="D210" t="s">
        <v>896</v>
      </c>
      <c r="E210">
        <v>3.42</v>
      </c>
      <c r="F210" s="2">
        <v>40.159999999999997</v>
      </c>
      <c r="G210">
        <v>5</v>
      </c>
      <c r="H210">
        <v>7</v>
      </c>
      <c r="I210" t="str">
        <f t="shared" si="9"/>
        <v>B2B</v>
      </c>
      <c r="J210" s="3">
        <f t="shared" si="10"/>
        <v>0.1</v>
      </c>
      <c r="K210" s="2">
        <f t="shared" si="11"/>
        <v>4.016</v>
      </c>
    </row>
    <row r="211" spans="1:11" x14ac:dyDescent="0.3">
      <c r="A211" t="s">
        <v>1106</v>
      </c>
      <c r="B211" t="s">
        <v>718</v>
      </c>
      <c r="C211">
        <v>96</v>
      </c>
      <c r="D211" t="s">
        <v>894</v>
      </c>
      <c r="E211">
        <v>5.57</v>
      </c>
      <c r="F211" s="2">
        <v>64.77</v>
      </c>
      <c r="G211">
        <v>0</v>
      </c>
      <c r="H211">
        <v>8</v>
      </c>
      <c r="I211" t="str">
        <f t="shared" si="9"/>
        <v>B2B</v>
      </c>
      <c r="J211" s="3">
        <f t="shared" si="10"/>
        <v>0.45</v>
      </c>
      <c r="K211" s="2">
        <f t="shared" si="11"/>
        <v>29.1465</v>
      </c>
    </row>
    <row r="212" spans="1:11" x14ac:dyDescent="0.3">
      <c r="A212" t="s">
        <v>1107</v>
      </c>
      <c r="B212" t="s">
        <v>710</v>
      </c>
      <c r="C212">
        <v>60</v>
      </c>
      <c r="D212" t="s">
        <v>901</v>
      </c>
      <c r="E212">
        <v>2.68</v>
      </c>
      <c r="F212" s="2">
        <v>62.65</v>
      </c>
      <c r="G212">
        <v>0</v>
      </c>
      <c r="H212">
        <v>5</v>
      </c>
      <c r="I212" t="str">
        <f t="shared" si="9"/>
        <v>B2B</v>
      </c>
      <c r="J212" s="3">
        <f t="shared" si="10"/>
        <v>0.1</v>
      </c>
      <c r="K212" s="2">
        <f t="shared" si="11"/>
        <v>6.2650000000000006</v>
      </c>
    </row>
    <row r="213" spans="1:11" x14ac:dyDescent="0.3">
      <c r="A213" t="s">
        <v>1108</v>
      </c>
      <c r="B213" t="s">
        <v>674</v>
      </c>
      <c r="C213">
        <v>49</v>
      </c>
      <c r="D213" t="s">
        <v>901</v>
      </c>
      <c r="E213">
        <v>0.1</v>
      </c>
      <c r="F213" s="2">
        <v>44.41</v>
      </c>
      <c r="G213">
        <v>3</v>
      </c>
      <c r="H213">
        <v>4</v>
      </c>
      <c r="I213" t="str">
        <f t="shared" si="9"/>
        <v>B2B</v>
      </c>
      <c r="J213" s="3">
        <f t="shared" si="10"/>
        <v>0.1</v>
      </c>
      <c r="K213" s="2">
        <f t="shared" si="11"/>
        <v>4.4409999999999998</v>
      </c>
    </row>
    <row r="214" spans="1:11" x14ac:dyDescent="0.3">
      <c r="A214" t="s">
        <v>1109</v>
      </c>
      <c r="B214" t="s">
        <v>695</v>
      </c>
      <c r="C214">
        <v>44</v>
      </c>
      <c r="D214" t="s">
        <v>899</v>
      </c>
      <c r="E214">
        <v>3.32</v>
      </c>
      <c r="F214" s="2">
        <v>67.650000000000006</v>
      </c>
      <c r="G214">
        <v>0</v>
      </c>
      <c r="H214">
        <v>4</v>
      </c>
      <c r="I214" t="str">
        <f t="shared" si="9"/>
        <v>B2B</v>
      </c>
      <c r="J214" s="3">
        <f t="shared" si="10"/>
        <v>0.1</v>
      </c>
      <c r="K214" s="2">
        <f t="shared" si="11"/>
        <v>6.7650000000000006</v>
      </c>
    </row>
    <row r="215" spans="1:11" x14ac:dyDescent="0.3">
      <c r="A215" t="s">
        <v>1110</v>
      </c>
      <c r="B215" t="s">
        <v>692</v>
      </c>
      <c r="C215">
        <v>96</v>
      </c>
      <c r="D215" t="s">
        <v>901</v>
      </c>
      <c r="E215">
        <v>1.8</v>
      </c>
      <c r="F215" s="2">
        <v>30.92</v>
      </c>
      <c r="G215">
        <v>1</v>
      </c>
      <c r="H215">
        <v>8</v>
      </c>
      <c r="I215" t="str">
        <f t="shared" si="9"/>
        <v>B2B</v>
      </c>
      <c r="J215" s="3">
        <f t="shared" si="10"/>
        <v>0.1</v>
      </c>
      <c r="K215" s="2">
        <f t="shared" si="11"/>
        <v>3.0920000000000005</v>
      </c>
    </row>
    <row r="216" spans="1:11" x14ac:dyDescent="0.3">
      <c r="A216" t="s">
        <v>1111</v>
      </c>
      <c r="B216" t="s">
        <v>702</v>
      </c>
      <c r="C216">
        <v>52</v>
      </c>
      <c r="D216" t="s">
        <v>896</v>
      </c>
      <c r="E216">
        <v>3.9</v>
      </c>
      <c r="F216" s="2">
        <v>62.87</v>
      </c>
      <c r="G216">
        <v>0</v>
      </c>
      <c r="H216">
        <v>4</v>
      </c>
      <c r="I216" t="str">
        <f t="shared" si="9"/>
        <v>B2B</v>
      </c>
      <c r="J216" s="3">
        <f t="shared" si="10"/>
        <v>0.1</v>
      </c>
      <c r="K216" s="2">
        <f t="shared" si="11"/>
        <v>6.2869999999999999</v>
      </c>
    </row>
    <row r="217" spans="1:11" x14ac:dyDescent="0.3">
      <c r="A217" t="s">
        <v>1112</v>
      </c>
      <c r="B217" t="s">
        <v>681</v>
      </c>
      <c r="C217">
        <v>110</v>
      </c>
      <c r="D217" t="s">
        <v>899</v>
      </c>
      <c r="E217">
        <v>1.87</v>
      </c>
      <c r="F217" s="2">
        <v>98.95</v>
      </c>
      <c r="G217">
        <v>5</v>
      </c>
      <c r="H217">
        <v>9</v>
      </c>
      <c r="I217" t="str">
        <f t="shared" si="9"/>
        <v>-</v>
      </c>
      <c r="J217" s="3">
        <f t="shared" si="10"/>
        <v>0</v>
      </c>
      <c r="K217" s="2">
        <f t="shared" si="11"/>
        <v>0</v>
      </c>
    </row>
    <row r="218" spans="1:11" x14ac:dyDescent="0.3">
      <c r="A218" t="s">
        <v>1113</v>
      </c>
      <c r="B218" t="s">
        <v>698</v>
      </c>
      <c r="C218">
        <v>25</v>
      </c>
      <c r="D218" t="s">
        <v>899</v>
      </c>
      <c r="E218">
        <v>0.55000000000000004</v>
      </c>
      <c r="F218" s="2">
        <v>30.93</v>
      </c>
      <c r="G218">
        <v>1</v>
      </c>
      <c r="H218">
        <v>2</v>
      </c>
      <c r="I218" t="str">
        <f t="shared" si="9"/>
        <v>B2B</v>
      </c>
      <c r="J218" s="3">
        <f t="shared" si="10"/>
        <v>0.1</v>
      </c>
      <c r="K218" s="2">
        <f t="shared" si="11"/>
        <v>3.093</v>
      </c>
    </row>
    <row r="219" spans="1:11" x14ac:dyDescent="0.3">
      <c r="A219" t="s">
        <v>1114</v>
      </c>
      <c r="B219" t="s">
        <v>678</v>
      </c>
      <c r="C219">
        <v>51</v>
      </c>
      <c r="D219" t="s">
        <v>896</v>
      </c>
      <c r="E219">
        <v>5.6</v>
      </c>
      <c r="F219" s="2">
        <v>65.47</v>
      </c>
      <c r="G219">
        <v>1</v>
      </c>
      <c r="H219">
        <v>4</v>
      </c>
      <c r="I219" t="str">
        <f t="shared" si="9"/>
        <v>B2B</v>
      </c>
      <c r="J219" s="3">
        <f t="shared" si="10"/>
        <v>0.45</v>
      </c>
      <c r="K219" s="2">
        <f t="shared" si="11"/>
        <v>29.461500000000001</v>
      </c>
    </row>
    <row r="220" spans="1:11" x14ac:dyDescent="0.3">
      <c r="A220" t="s">
        <v>1115</v>
      </c>
      <c r="B220" t="s">
        <v>695</v>
      </c>
      <c r="C220">
        <v>5</v>
      </c>
      <c r="D220" t="s">
        <v>894</v>
      </c>
      <c r="E220">
        <v>6.95</v>
      </c>
      <c r="F220" s="2">
        <v>90.71</v>
      </c>
      <c r="G220">
        <v>1</v>
      </c>
      <c r="H220">
        <v>0</v>
      </c>
      <c r="I220" t="str">
        <f t="shared" si="9"/>
        <v>-</v>
      </c>
      <c r="J220" s="3">
        <f t="shared" si="10"/>
        <v>0.45</v>
      </c>
      <c r="K220" s="2">
        <f t="shared" si="11"/>
        <v>40.819499999999998</v>
      </c>
    </row>
    <row r="221" spans="1:11" x14ac:dyDescent="0.3">
      <c r="A221" t="s">
        <v>1116</v>
      </c>
      <c r="B221" t="s">
        <v>681</v>
      </c>
      <c r="C221">
        <v>2</v>
      </c>
      <c r="D221" t="s">
        <v>896</v>
      </c>
      <c r="E221">
        <v>2.37</v>
      </c>
      <c r="F221" s="2">
        <v>37.799999999999997</v>
      </c>
      <c r="G221">
        <v>0</v>
      </c>
      <c r="H221">
        <v>0</v>
      </c>
      <c r="I221" t="str">
        <f t="shared" si="9"/>
        <v>B2B</v>
      </c>
      <c r="J221" s="3">
        <f t="shared" si="10"/>
        <v>0.1</v>
      </c>
      <c r="K221" s="2">
        <f t="shared" si="11"/>
        <v>3.78</v>
      </c>
    </row>
    <row r="222" spans="1:11" x14ac:dyDescent="0.3">
      <c r="A222" t="s">
        <v>1117</v>
      </c>
      <c r="B222" t="s">
        <v>724</v>
      </c>
      <c r="C222">
        <v>33</v>
      </c>
      <c r="D222" t="s">
        <v>899</v>
      </c>
      <c r="E222">
        <v>5.53</v>
      </c>
      <c r="F222" s="2">
        <v>76.41</v>
      </c>
      <c r="G222">
        <v>1</v>
      </c>
      <c r="H222">
        <v>3</v>
      </c>
      <c r="I222" t="str">
        <f t="shared" si="9"/>
        <v>B2B</v>
      </c>
      <c r="J222" s="3">
        <f t="shared" si="10"/>
        <v>0.45</v>
      </c>
      <c r="K222" s="2">
        <f t="shared" si="11"/>
        <v>34.384500000000003</v>
      </c>
    </row>
    <row r="223" spans="1:11" x14ac:dyDescent="0.3">
      <c r="A223" t="s">
        <v>1118</v>
      </c>
      <c r="B223" t="s">
        <v>705</v>
      </c>
      <c r="C223">
        <v>15</v>
      </c>
      <c r="D223" t="s">
        <v>899</v>
      </c>
      <c r="E223">
        <v>5.32</v>
      </c>
      <c r="F223" s="2">
        <v>78.150000000000006</v>
      </c>
      <c r="G223">
        <v>4</v>
      </c>
      <c r="H223">
        <v>1</v>
      </c>
      <c r="I223" t="str">
        <f t="shared" si="9"/>
        <v>B2B</v>
      </c>
      <c r="J223" s="3">
        <f t="shared" si="10"/>
        <v>0.45</v>
      </c>
      <c r="K223" s="2">
        <f t="shared" si="11"/>
        <v>35.167500000000004</v>
      </c>
    </row>
    <row r="224" spans="1:11" x14ac:dyDescent="0.3">
      <c r="A224" t="s">
        <v>1119</v>
      </c>
      <c r="B224" t="s">
        <v>702</v>
      </c>
      <c r="C224">
        <v>91</v>
      </c>
      <c r="D224" t="s">
        <v>899</v>
      </c>
      <c r="E224">
        <v>3.13</v>
      </c>
      <c r="F224" s="2">
        <v>65.78</v>
      </c>
      <c r="G224">
        <v>4</v>
      </c>
      <c r="H224">
        <v>8</v>
      </c>
      <c r="I224" t="str">
        <f t="shared" si="9"/>
        <v>B2B</v>
      </c>
      <c r="J224" s="3">
        <f t="shared" si="10"/>
        <v>0.1</v>
      </c>
      <c r="K224" s="2">
        <f t="shared" si="11"/>
        <v>6.5780000000000003</v>
      </c>
    </row>
    <row r="225" spans="1:11" x14ac:dyDescent="0.3">
      <c r="A225" t="s">
        <v>1120</v>
      </c>
      <c r="B225" t="s">
        <v>701</v>
      </c>
      <c r="C225">
        <v>118</v>
      </c>
      <c r="D225" t="s">
        <v>896</v>
      </c>
      <c r="E225">
        <v>0.37</v>
      </c>
      <c r="F225" s="2">
        <v>15.39</v>
      </c>
      <c r="G225">
        <v>1</v>
      </c>
      <c r="H225">
        <v>10</v>
      </c>
      <c r="I225" t="str">
        <f t="shared" si="9"/>
        <v>B2B</v>
      </c>
      <c r="J225" s="3">
        <f t="shared" si="10"/>
        <v>0.1</v>
      </c>
      <c r="K225" s="2">
        <f t="shared" si="11"/>
        <v>1.5390000000000001</v>
      </c>
    </row>
    <row r="226" spans="1:11" x14ac:dyDescent="0.3">
      <c r="A226" t="s">
        <v>1121</v>
      </c>
      <c r="B226" t="s">
        <v>737</v>
      </c>
      <c r="C226">
        <v>18</v>
      </c>
      <c r="D226" t="s">
        <v>901</v>
      </c>
      <c r="E226">
        <v>0.56999999999999995</v>
      </c>
      <c r="F226" s="2">
        <v>43.71</v>
      </c>
      <c r="G226">
        <v>1</v>
      </c>
      <c r="H226">
        <v>2</v>
      </c>
      <c r="I226" t="str">
        <f t="shared" si="9"/>
        <v>B2B</v>
      </c>
      <c r="J226" s="3">
        <f t="shared" si="10"/>
        <v>0.1</v>
      </c>
      <c r="K226" s="2">
        <f t="shared" si="11"/>
        <v>4.3710000000000004</v>
      </c>
    </row>
    <row r="227" spans="1:11" x14ac:dyDescent="0.3">
      <c r="A227" t="s">
        <v>1122</v>
      </c>
      <c r="B227" t="s">
        <v>703</v>
      </c>
      <c r="C227">
        <v>42</v>
      </c>
      <c r="D227" t="s">
        <v>901</v>
      </c>
      <c r="E227">
        <v>7.55</v>
      </c>
      <c r="F227" s="2">
        <v>36.700000000000003</v>
      </c>
      <c r="G227">
        <v>4</v>
      </c>
      <c r="H227">
        <v>4</v>
      </c>
      <c r="I227" t="str">
        <f t="shared" si="9"/>
        <v>B2B</v>
      </c>
      <c r="J227" s="3">
        <f t="shared" si="10"/>
        <v>0.45</v>
      </c>
      <c r="K227" s="2">
        <f t="shared" si="11"/>
        <v>16.515000000000001</v>
      </c>
    </row>
    <row r="228" spans="1:11" x14ac:dyDescent="0.3">
      <c r="A228" t="s">
        <v>1123</v>
      </c>
      <c r="B228" t="s">
        <v>736</v>
      </c>
      <c r="C228">
        <v>86</v>
      </c>
      <c r="D228" t="s">
        <v>894</v>
      </c>
      <c r="E228">
        <v>1.85</v>
      </c>
      <c r="F228" s="2">
        <v>23.65</v>
      </c>
      <c r="G228">
        <v>0</v>
      </c>
      <c r="H228">
        <v>7</v>
      </c>
      <c r="I228" t="str">
        <f t="shared" si="9"/>
        <v>B2B</v>
      </c>
      <c r="J228" s="3">
        <f t="shared" si="10"/>
        <v>0.1</v>
      </c>
      <c r="K228" s="2">
        <f t="shared" si="11"/>
        <v>2.3649999999999998</v>
      </c>
    </row>
    <row r="229" spans="1:11" x14ac:dyDescent="0.3">
      <c r="A229" t="s">
        <v>1124</v>
      </c>
      <c r="B229" t="s">
        <v>692</v>
      </c>
      <c r="C229">
        <v>96</v>
      </c>
      <c r="D229" t="s">
        <v>901</v>
      </c>
      <c r="E229">
        <v>3.5</v>
      </c>
      <c r="F229" s="2">
        <v>28.39</v>
      </c>
      <c r="G229">
        <v>3</v>
      </c>
      <c r="H229">
        <v>8</v>
      </c>
      <c r="I229" t="str">
        <f t="shared" si="9"/>
        <v>B2B</v>
      </c>
      <c r="J229" s="3">
        <f t="shared" si="10"/>
        <v>0.1</v>
      </c>
      <c r="K229" s="2">
        <f t="shared" si="11"/>
        <v>2.8390000000000004</v>
      </c>
    </row>
    <row r="230" spans="1:11" x14ac:dyDescent="0.3">
      <c r="A230" t="s">
        <v>1125</v>
      </c>
      <c r="B230" t="s">
        <v>725</v>
      </c>
      <c r="C230">
        <v>60</v>
      </c>
      <c r="D230" t="s">
        <v>901</v>
      </c>
      <c r="E230">
        <v>2.57</v>
      </c>
      <c r="F230" s="2">
        <v>13.41</v>
      </c>
      <c r="G230">
        <v>5</v>
      </c>
      <c r="H230">
        <v>5</v>
      </c>
      <c r="I230" t="str">
        <f t="shared" si="9"/>
        <v>B2B</v>
      </c>
      <c r="J230" s="3">
        <f t="shared" si="10"/>
        <v>0.1</v>
      </c>
      <c r="K230" s="2">
        <f t="shared" si="11"/>
        <v>1.3410000000000002</v>
      </c>
    </row>
    <row r="231" spans="1:11" x14ac:dyDescent="0.3">
      <c r="A231" t="s">
        <v>1126</v>
      </c>
      <c r="B231" t="s">
        <v>681</v>
      </c>
      <c r="C231">
        <v>63</v>
      </c>
      <c r="D231" t="s">
        <v>899</v>
      </c>
      <c r="E231">
        <v>6.53</v>
      </c>
      <c r="F231" s="2">
        <v>93.11</v>
      </c>
      <c r="G231">
        <v>3</v>
      </c>
      <c r="H231">
        <v>5</v>
      </c>
      <c r="I231" t="str">
        <f t="shared" si="9"/>
        <v>-</v>
      </c>
      <c r="J231" s="3">
        <f t="shared" si="10"/>
        <v>0.45</v>
      </c>
      <c r="K231" s="2">
        <f t="shared" si="11"/>
        <v>41.899500000000003</v>
      </c>
    </row>
    <row r="232" spans="1:11" x14ac:dyDescent="0.3">
      <c r="A232" t="s">
        <v>1127</v>
      </c>
      <c r="B232" t="s">
        <v>718</v>
      </c>
      <c r="C232">
        <v>60</v>
      </c>
      <c r="D232" t="s">
        <v>899</v>
      </c>
      <c r="E232">
        <v>5.0999999999999996</v>
      </c>
      <c r="F232" s="2">
        <v>63.83</v>
      </c>
      <c r="G232">
        <v>2</v>
      </c>
      <c r="H232">
        <v>5</v>
      </c>
      <c r="I232" t="str">
        <f t="shared" si="9"/>
        <v>B2B</v>
      </c>
      <c r="J232" s="3">
        <f t="shared" si="10"/>
        <v>0.45</v>
      </c>
      <c r="K232" s="2">
        <f t="shared" si="11"/>
        <v>28.723500000000001</v>
      </c>
    </row>
    <row r="233" spans="1:11" x14ac:dyDescent="0.3">
      <c r="A233" t="s">
        <v>1128</v>
      </c>
      <c r="B233" t="s">
        <v>718</v>
      </c>
      <c r="C233">
        <v>9</v>
      </c>
      <c r="D233" t="s">
        <v>896</v>
      </c>
      <c r="E233">
        <v>4.25</v>
      </c>
      <c r="F233" s="2">
        <v>95.13</v>
      </c>
      <c r="G233">
        <v>1</v>
      </c>
      <c r="H233">
        <v>1</v>
      </c>
      <c r="I233" t="str">
        <f t="shared" si="9"/>
        <v>-</v>
      </c>
      <c r="J233" s="3">
        <f t="shared" si="10"/>
        <v>0.45</v>
      </c>
      <c r="K233" s="2">
        <f t="shared" si="11"/>
        <v>42.808500000000002</v>
      </c>
    </row>
    <row r="234" spans="1:11" x14ac:dyDescent="0.3">
      <c r="A234" t="s">
        <v>1129</v>
      </c>
      <c r="B234" t="s">
        <v>693</v>
      </c>
      <c r="C234">
        <v>11</v>
      </c>
      <c r="D234" t="s">
        <v>899</v>
      </c>
      <c r="E234">
        <v>0.87</v>
      </c>
      <c r="F234" s="2">
        <v>76.53</v>
      </c>
      <c r="G234">
        <v>5</v>
      </c>
      <c r="H234">
        <v>1</v>
      </c>
      <c r="I234" t="str">
        <f t="shared" si="9"/>
        <v>B2B</v>
      </c>
      <c r="J234" s="3">
        <f t="shared" si="10"/>
        <v>0.1</v>
      </c>
      <c r="K234" s="2">
        <f t="shared" si="11"/>
        <v>7.6530000000000005</v>
      </c>
    </row>
    <row r="235" spans="1:11" x14ac:dyDescent="0.3">
      <c r="A235" t="s">
        <v>1130</v>
      </c>
      <c r="B235" t="s">
        <v>706</v>
      </c>
      <c r="C235">
        <v>71</v>
      </c>
      <c r="D235" t="s">
        <v>899</v>
      </c>
      <c r="E235">
        <v>6.07</v>
      </c>
      <c r="F235" s="2">
        <v>39.58</v>
      </c>
      <c r="G235">
        <v>1</v>
      </c>
      <c r="H235">
        <v>6</v>
      </c>
      <c r="I235" t="str">
        <f t="shared" si="9"/>
        <v>B2B</v>
      </c>
      <c r="J235" s="3">
        <f t="shared" si="10"/>
        <v>0.45</v>
      </c>
      <c r="K235" s="2">
        <f t="shared" si="11"/>
        <v>17.811</v>
      </c>
    </row>
    <row r="236" spans="1:11" x14ac:dyDescent="0.3">
      <c r="A236" t="s">
        <v>1131</v>
      </c>
      <c r="B236" t="s">
        <v>710</v>
      </c>
      <c r="C236">
        <v>85</v>
      </c>
      <c r="D236" t="s">
        <v>894</v>
      </c>
      <c r="E236">
        <v>4.57</v>
      </c>
      <c r="F236" s="2">
        <v>35.03</v>
      </c>
      <c r="G236">
        <v>1</v>
      </c>
      <c r="H236">
        <v>7</v>
      </c>
      <c r="I236" t="str">
        <f t="shared" si="9"/>
        <v>B2B</v>
      </c>
      <c r="J236" s="3">
        <f t="shared" si="10"/>
        <v>0.45</v>
      </c>
      <c r="K236" s="2">
        <f t="shared" si="11"/>
        <v>15.763500000000001</v>
      </c>
    </row>
    <row r="237" spans="1:11" x14ac:dyDescent="0.3">
      <c r="A237" t="s">
        <v>1132</v>
      </c>
      <c r="B237" t="s">
        <v>713</v>
      </c>
      <c r="C237">
        <v>32</v>
      </c>
      <c r="D237" t="s">
        <v>901</v>
      </c>
      <c r="E237">
        <v>6.75</v>
      </c>
      <c r="F237" s="2">
        <v>67.92</v>
      </c>
      <c r="G237">
        <v>3</v>
      </c>
      <c r="H237">
        <v>3</v>
      </c>
      <c r="I237" t="str">
        <f t="shared" si="9"/>
        <v>B2B</v>
      </c>
      <c r="J237" s="3">
        <f t="shared" si="10"/>
        <v>0.45</v>
      </c>
      <c r="K237" s="2">
        <f t="shared" si="11"/>
        <v>30.564</v>
      </c>
    </row>
    <row r="238" spans="1:11" x14ac:dyDescent="0.3">
      <c r="A238" t="s">
        <v>1133</v>
      </c>
      <c r="B238" t="s">
        <v>703</v>
      </c>
      <c r="C238">
        <v>92</v>
      </c>
      <c r="D238" t="s">
        <v>899</v>
      </c>
      <c r="E238">
        <v>7.87</v>
      </c>
      <c r="F238" s="2">
        <v>78.44</v>
      </c>
      <c r="G238">
        <v>1</v>
      </c>
      <c r="H238">
        <v>8</v>
      </c>
      <c r="I238" t="str">
        <f t="shared" si="9"/>
        <v>B2B</v>
      </c>
      <c r="J238" s="3">
        <f t="shared" si="10"/>
        <v>0.45</v>
      </c>
      <c r="K238" s="2">
        <f t="shared" si="11"/>
        <v>35.298000000000002</v>
      </c>
    </row>
    <row r="239" spans="1:11" x14ac:dyDescent="0.3">
      <c r="A239" t="s">
        <v>1134</v>
      </c>
      <c r="B239" t="s">
        <v>678</v>
      </c>
      <c r="C239">
        <v>57</v>
      </c>
      <c r="D239" t="s">
        <v>901</v>
      </c>
      <c r="E239">
        <v>7.25</v>
      </c>
      <c r="F239" s="2">
        <v>56.88</v>
      </c>
      <c r="G239">
        <v>4</v>
      </c>
      <c r="H239">
        <v>5</v>
      </c>
      <c r="I239" t="str">
        <f t="shared" si="9"/>
        <v>B2B</v>
      </c>
      <c r="J239" s="3">
        <f t="shared" si="10"/>
        <v>0.45</v>
      </c>
      <c r="K239" s="2">
        <f t="shared" si="11"/>
        <v>25.596</v>
      </c>
    </row>
    <row r="240" spans="1:11" x14ac:dyDescent="0.3">
      <c r="A240" t="s">
        <v>1135</v>
      </c>
      <c r="B240" t="s">
        <v>699</v>
      </c>
      <c r="C240">
        <v>18</v>
      </c>
      <c r="D240" t="s">
        <v>899</v>
      </c>
      <c r="E240">
        <v>4.8499999999999996</v>
      </c>
      <c r="F240" s="2">
        <v>97.98</v>
      </c>
      <c r="G240">
        <v>1</v>
      </c>
      <c r="H240">
        <v>2</v>
      </c>
      <c r="I240" t="str">
        <f t="shared" si="9"/>
        <v>-</v>
      </c>
      <c r="J240" s="3">
        <f t="shared" si="10"/>
        <v>0.45</v>
      </c>
      <c r="K240" s="2">
        <f t="shared" si="11"/>
        <v>44.091000000000001</v>
      </c>
    </row>
    <row r="241" spans="1:11" x14ac:dyDescent="0.3">
      <c r="A241" t="s">
        <v>1136</v>
      </c>
      <c r="B241" t="s">
        <v>725</v>
      </c>
      <c r="C241">
        <v>61</v>
      </c>
      <c r="D241" t="s">
        <v>901</v>
      </c>
      <c r="E241">
        <v>1.45</v>
      </c>
      <c r="F241" s="2">
        <v>68.319999999999993</v>
      </c>
      <c r="G241">
        <v>2</v>
      </c>
      <c r="H241">
        <v>5</v>
      </c>
      <c r="I241" t="str">
        <f t="shared" si="9"/>
        <v>B2B</v>
      </c>
      <c r="J241" s="3">
        <f t="shared" si="10"/>
        <v>0.1</v>
      </c>
      <c r="K241" s="2">
        <f t="shared" si="11"/>
        <v>6.8319999999999999</v>
      </c>
    </row>
    <row r="242" spans="1:11" x14ac:dyDescent="0.3">
      <c r="A242" t="s">
        <v>1137</v>
      </c>
      <c r="B242" t="s">
        <v>713</v>
      </c>
      <c r="C242">
        <v>106</v>
      </c>
      <c r="D242" t="s">
        <v>901</v>
      </c>
      <c r="E242">
        <v>2.13</v>
      </c>
      <c r="F242" s="2">
        <v>35.96</v>
      </c>
      <c r="G242">
        <v>2</v>
      </c>
      <c r="H242">
        <v>9</v>
      </c>
      <c r="I242" t="str">
        <f t="shared" si="9"/>
        <v>B2B</v>
      </c>
      <c r="J242" s="3">
        <f t="shared" si="10"/>
        <v>0.1</v>
      </c>
      <c r="K242" s="2">
        <f t="shared" si="11"/>
        <v>3.5960000000000001</v>
      </c>
    </row>
    <row r="243" spans="1:11" x14ac:dyDescent="0.3">
      <c r="A243" t="s">
        <v>1138</v>
      </c>
      <c r="B243" t="s">
        <v>678</v>
      </c>
      <c r="C243">
        <v>36</v>
      </c>
      <c r="D243" t="s">
        <v>899</v>
      </c>
      <c r="E243">
        <v>8.18</v>
      </c>
      <c r="F243" s="2">
        <v>12.13</v>
      </c>
      <c r="G243">
        <v>4</v>
      </c>
      <c r="H243">
        <v>3</v>
      </c>
      <c r="I243" t="str">
        <f t="shared" si="9"/>
        <v>B2B</v>
      </c>
      <c r="J243" s="3">
        <f t="shared" si="10"/>
        <v>0.45</v>
      </c>
      <c r="K243" s="2">
        <f t="shared" si="11"/>
        <v>5.4585000000000008</v>
      </c>
    </row>
    <row r="244" spans="1:11" x14ac:dyDescent="0.3">
      <c r="A244" t="s">
        <v>1139</v>
      </c>
      <c r="B244" t="s">
        <v>684</v>
      </c>
      <c r="C244">
        <v>108</v>
      </c>
      <c r="D244" t="s">
        <v>896</v>
      </c>
      <c r="E244">
        <v>0.8</v>
      </c>
      <c r="F244" s="2">
        <v>86.22</v>
      </c>
      <c r="G244">
        <v>3</v>
      </c>
      <c r="H244">
        <v>9</v>
      </c>
      <c r="I244" t="str">
        <f t="shared" si="9"/>
        <v>-</v>
      </c>
      <c r="J244" s="3">
        <f t="shared" si="10"/>
        <v>0</v>
      </c>
      <c r="K244" s="2">
        <f t="shared" si="11"/>
        <v>0</v>
      </c>
    </row>
    <row r="245" spans="1:11" x14ac:dyDescent="0.3">
      <c r="A245" t="s">
        <v>1140</v>
      </c>
      <c r="B245" t="s">
        <v>713</v>
      </c>
      <c r="C245">
        <v>21</v>
      </c>
      <c r="D245" t="s">
        <v>899</v>
      </c>
      <c r="E245">
        <v>5.12</v>
      </c>
      <c r="F245" s="2">
        <v>39.81</v>
      </c>
      <c r="G245">
        <v>5</v>
      </c>
      <c r="H245">
        <v>2</v>
      </c>
      <c r="I245" t="str">
        <f t="shared" si="9"/>
        <v>B2B</v>
      </c>
      <c r="J245" s="3">
        <f t="shared" si="10"/>
        <v>0.45</v>
      </c>
      <c r="K245" s="2">
        <f t="shared" si="11"/>
        <v>17.9145</v>
      </c>
    </row>
    <row r="246" spans="1:11" x14ac:dyDescent="0.3">
      <c r="A246" t="s">
        <v>1141</v>
      </c>
      <c r="B246" t="s">
        <v>713</v>
      </c>
      <c r="C246">
        <v>22</v>
      </c>
      <c r="D246" t="s">
        <v>894</v>
      </c>
      <c r="E246">
        <v>2.77</v>
      </c>
      <c r="F246" s="2">
        <v>31.8</v>
      </c>
      <c r="G246">
        <v>1</v>
      </c>
      <c r="H246">
        <v>2</v>
      </c>
      <c r="I246" t="str">
        <f t="shared" si="9"/>
        <v>B2B</v>
      </c>
      <c r="J246" s="3">
        <f t="shared" si="10"/>
        <v>0.45</v>
      </c>
      <c r="K246" s="2">
        <f t="shared" si="11"/>
        <v>14.31</v>
      </c>
    </row>
    <row r="247" spans="1:11" x14ac:dyDescent="0.3">
      <c r="A247" t="s">
        <v>1142</v>
      </c>
      <c r="B247" t="s">
        <v>687</v>
      </c>
      <c r="C247">
        <v>108</v>
      </c>
      <c r="D247" t="s">
        <v>894</v>
      </c>
      <c r="E247">
        <v>5.38</v>
      </c>
      <c r="F247" s="2">
        <v>58.54</v>
      </c>
      <c r="G247">
        <v>2</v>
      </c>
      <c r="H247">
        <v>9</v>
      </c>
      <c r="I247" t="str">
        <f t="shared" si="9"/>
        <v>B2B</v>
      </c>
      <c r="J247" s="3">
        <f t="shared" si="10"/>
        <v>0.45</v>
      </c>
      <c r="K247" s="2">
        <f t="shared" si="11"/>
        <v>26.343</v>
      </c>
    </row>
    <row r="248" spans="1:11" x14ac:dyDescent="0.3">
      <c r="A248" t="s">
        <v>1143</v>
      </c>
      <c r="B248" t="s">
        <v>710</v>
      </c>
      <c r="C248">
        <v>3</v>
      </c>
      <c r="D248" t="s">
        <v>901</v>
      </c>
      <c r="E248">
        <v>5.93</v>
      </c>
      <c r="F248" s="2">
        <v>91.6</v>
      </c>
      <c r="G248">
        <v>3</v>
      </c>
      <c r="H248">
        <v>0</v>
      </c>
      <c r="I248" t="str">
        <f t="shared" si="9"/>
        <v>-</v>
      </c>
      <c r="J248" s="3">
        <f t="shared" si="10"/>
        <v>0.45</v>
      </c>
      <c r="K248" s="2">
        <f t="shared" si="11"/>
        <v>41.22</v>
      </c>
    </row>
    <row r="249" spans="1:11" x14ac:dyDescent="0.3">
      <c r="A249" t="s">
        <v>1144</v>
      </c>
      <c r="B249" t="s">
        <v>674</v>
      </c>
      <c r="C249">
        <v>78</v>
      </c>
      <c r="D249" t="s">
        <v>901</v>
      </c>
      <c r="E249">
        <v>3.3</v>
      </c>
      <c r="F249" s="2">
        <v>69.849999999999994</v>
      </c>
      <c r="G249">
        <v>0</v>
      </c>
      <c r="H249">
        <v>6</v>
      </c>
      <c r="I249" t="str">
        <f t="shared" si="9"/>
        <v>B2B</v>
      </c>
      <c r="J249" s="3">
        <f t="shared" si="10"/>
        <v>0.1</v>
      </c>
      <c r="K249" s="2">
        <f t="shared" si="11"/>
        <v>6.9849999999999994</v>
      </c>
    </row>
    <row r="250" spans="1:11" x14ac:dyDescent="0.3">
      <c r="A250" t="s">
        <v>1145</v>
      </c>
      <c r="B250" t="s">
        <v>702</v>
      </c>
      <c r="C250">
        <v>13</v>
      </c>
      <c r="D250" t="s">
        <v>896</v>
      </c>
      <c r="E250">
        <v>5.78</v>
      </c>
      <c r="F250" s="2">
        <v>32.35</v>
      </c>
      <c r="G250">
        <v>2</v>
      </c>
      <c r="H250">
        <v>1</v>
      </c>
      <c r="I250" t="str">
        <f t="shared" si="9"/>
        <v>B2B</v>
      </c>
      <c r="J250" s="3">
        <f t="shared" si="10"/>
        <v>0.45</v>
      </c>
      <c r="K250" s="2">
        <f t="shared" si="11"/>
        <v>14.557500000000001</v>
      </c>
    </row>
    <row r="251" spans="1:11" x14ac:dyDescent="0.3">
      <c r="A251" t="s">
        <v>1146</v>
      </c>
      <c r="B251" t="s">
        <v>701</v>
      </c>
      <c r="C251">
        <v>23</v>
      </c>
      <c r="D251" t="s">
        <v>896</v>
      </c>
      <c r="E251">
        <v>7.88</v>
      </c>
      <c r="F251" s="2">
        <v>71.86</v>
      </c>
      <c r="G251">
        <v>3</v>
      </c>
      <c r="H251">
        <v>2</v>
      </c>
      <c r="I251" t="str">
        <f t="shared" si="9"/>
        <v>B2B</v>
      </c>
      <c r="J251" s="3">
        <f t="shared" si="10"/>
        <v>0.45</v>
      </c>
      <c r="K251" s="2">
        <f t="shared" si="11"/>
        <v>32.337000000000003</v>
      </c>
    </row>
    <row r="252" spans="1:11" x14ac:dyDescent="0.3">
      <c r="A252" t="s">
        <v>1147</v>
      </c>
      <c r="B252" t="s">
        <v>710</v>
      </c>
      <c r="C252">
        <v>96</v>
      </c>
      <c r="D252" t="s">
        <v>901</v>
      </c>
      <c r="E252">
        <v>4.83</v>
      </c>
      <c r="F252" s="2">
        <v>29</v>
      </c>
      <c r="G252">
        <v>3</v>
      </c>
      <c r="H252">
        <v>8</v>
      </c>
      <c r="I252" t="str">
        <f t="shared" si="9"/>
        <v>B2B</v>
      </c>
      <c r="J252" s="3">
        <f t="shared" si="10"/>
        <v>0.45</v>
      </c>
      <c r="K252" s="2">
        <f t="shared" si="11"/>
        <v>13.05</v>
      </c>
    </row>
    <row r="253" spans="1:11" x14ac:dyDescent="0.3">
      <c r="A253" t="s">
        <v>1148</v>
      </c>
      <c r="B253" t="s">
        <v>684</v>
      </c>
      <c r="C253">
        <v>48</v>
      </c>
      <c r="D253" t="s">
        <v>894</v>
      </c>
      <c r="E253">
        <v>6.93</v>
      </c>
      <c r="F253" s="2">
        <v>81.260000000000005</v>
      </c>
      <c r="G253">
        <v>5</v>
      </c>
      <c r="H253">
        <v>4</v>
      </c>
      <c r="I253" t="str">
        <f t="shared" si="9"/>
        <v>-</v>
      </c>
      <c r="J253" s="3">
        <f t="shared" si="10"/>
        <v>0.45</v>
      </c>
      <c r="K253" s="2">
        <f t="shared" si="11"/>
        <v>36.567</v>
      </c>
    </row>
    <row r="254" spans="1:11" x14ac:dyDescent="0.3">
      <c r="A254" t="s">
        <v>1149</v>
      </c>
      <c r="B254" t="s">
        <v>700</v>
      </c>
      <c r="C254">
        <v>50</v>
      </c>
      <c r="D254" t="s">
        <v>896</v>
      </c>
      <c r="E254">
        <v>1.8</v>
      </c>
      <c r="F254" s="2">
        <v>43.81</v>
      </c>
      <c r="G254">
        <v>5</v>
      </c>
      <c r="H254">
        <v>4</v>
      </c>
      <c r="I254" t="str">
        <f t="shared" si="9"/>
        <v>B2B</v>
      </c>
      <c r="J254" s="3">
        <f t="shared" si="10"/>
        <v>0.1</v>
      </c>
      <c r="K254" s="2">
        <f t="shared" si="11"/>
        <v>4.3810000000000002</v>
      </c>
    </row>
    <row r="255" spans="1:11" x14ac:dyDescent="0.3">
      <c r="A255" t="s">
        <v>1150</v>
      </c>
      <c r="B255" t="s">
        <v>718</v>
      </c>
      <c r="C255">
        <v>63</v>
      </c>
      <c r="D255" t="s">
        <v>901</v>
      </c>
      <c r="E255">
        <v>1.58</v>
      </c>
      <c r="F255" s="2">
        <v>56.81</v>
      </c>
      <c r="G255">
        <v>0</v>
      </c>
      <c r="H255">
        <v>5</v>
      </c>
      <c r="I255" t="str">
        <f t="shared" si="9"/>
        <v>B2B</v>
      </c>
      <c r="J255" s="3">
        <f t="shared" si="10"/>
        <v>0.1</v>
      </c>
      <c r="K255" s="2">
        <f t="shared" si="11"/>
        <v>5.6810000000000009</v>
      </c>
    </row>
    <row r="256" spans="1:11" x14ac:dyDescent="0.3">
      <c r="A256" t="s">
        <v>1151</v>
      </c>
      <c r="B256" t="s">
        <v>710</v>
      </c>
      <c r="C256">
        <v>40</v>
      </c>
      <c r="D256" t="s">
        <v>894</v>
      </c>
      <c r="E256">
        <v>1.7</v>
      </c>
      <c r="F256" s="2">
        <v>96.59</v>
      </c>
      <c r="G256">
        <v>5</v>
      </c>
      <c r="H256">
        <v>3</v>
      </c>
      <c r="I256" t="str">
        <f t="shared" si="9"/>
        <v>-</v>
      </c>
      <c r="J256" s="3">
        <f t="shared" si="10"/>
        <v>0.45</v>
      </c>
      <c r="K256" s="2">
        <f t="shared" si="11"/>
        <v>43.465500000000006</v>
      </c>
    </row>
    <row r="257" spans="1:11" x14ac:dyDescent="0.3">
      <c r="A257" t="s">
        <v>1152</v>
      </c>
      <c r="B257" t="s">
        <v>713</v>
      </c>
      <c r="C257">
        <v>83</v>
      </c>
      <c r="D257" t="s">
        <v>901</v>
      </c>
      <c r="E257">
        <v>0.5</v>
      </c>
      <c r="F257" s="2">
        <v>33.93</v>
      </c>
      <c r="G257">
        <v>3</v>
      </c>
      <c r="H257">
        <v>7</v>
      </c>
      <c r="I257" t="str">
        <f t="shared" si="9"/>
        <v>B2B</v>
      </c>
      <c r="J257" s="3">
        <f t="shared" si="10"/>
        <v>0.1</v>
      </c>
      <c r="K257" s="2">
        <f t="shared" si="11"/>
        <v>3.3930000000000002</v>
      </c>
    </row>
    <row r="258" spans="1:11" x14ac:dyDescent="0.3">
      <c r="A258" t="s">
        <v>1153</v>
      </c>
      <c r="B258" t="s">
        <v>715</v>
      </c>
      <c r="C258">
        <v>76</v>
      </c>
      <c r="D258" t="s">
        <v>901</v>
      </c>
      <c r="E258">
        <v>6.38</v>
      </c>
      <c r="F258" s="2">
        <v>53.73</v>
      </c>
      <c r="G258">
        <v>2</v>
      </c>
      <c r="H258">
        <v>6</v>
      </c>
      <c r="I258" t="str">
        <f t="shared" ref="I258:I321" si="12">IF(F258&lt;80,"B2B","-")</f>
        <v>B2B</v>
      </c>
      <c r="J258" s="3">
        <f t="shared" ref="J258:J321" si="13">IF(AND(E258&gt;12,H258&gt;5),70%,
IF(OR(AND(E258&gt;=4,E258&lt;=12),AND(H258&lt;5,ISNUMBER(SEARCH("Premium",D258)))),45%,
IF(I258="B2B",10%,0%)))</f>
        <v>0.45</v>
      </c>
      <c r="K258" s="2">
        <f t="shared" ref="K258:K321" si="14">F258*J258</f>
        <v>24.1785</v>
      </c>
    </row>
    <row r="259" spans="1:11" x14ac:dyDescent="0.3">
      <c r="A259" t="s">
        <v>1154</v>
      </c>
      <c r="B259" t="s">
        <v>721</v>
      </c>
      <c r="C259">
        <v>10</v>
      </c>
      <c r="D259" t="s">
        <v>899</v>
      </c>
      <c r="E259">
        <v>1.55</v>
      </c>
      <c r="F259" s="2">
        <v>78.12</v>
      </c>
      <c r="G259">
        <v>4</v>
      </c>
      <c r="H259">
        <v>1</v>
      </c>
      <c r="I259" t="str">
        <f t="shared" si="12"/>
        <v>B2B</v>
      </c>
      <c r="J259" s="3">
        <f t="shared" si="13"/>
        <v>0.1</v>
      </c>
      <c r="K259" s="2">
        <f t="shared" si="14"/>
        <v>7.8120000000000012</v>
      </c>
    </row>
    <row r="260" spans="1:11" x14ac:dyDescent="0.3">
      <c r="A260" t="s">
        <v>1155</v>
      </c>
      <c r="B260" t="s">
        <v>706</v>
      </c>
      <c r="C260">
        <v>-53</v>
      </c>
      <c r="D260" t="s">
        <v>899</v>
      </c>
      <c r="E260">
        <v>6.9</v>
      </c>
      <c r="F260" s="2">
        <v>64.39</v>
      </c>
      <c r="G260">
        <v>1</v>
      </c>
      <c r="H260">
        <v>-4</v>
      </c>
      <c r="I260" t="str">
        <f t="shared" si="12"/>
        <v>B2B</v>
      </c>
      <c r="J260" s="3">
        <f t="shared" si="13"/>
        <v>0.45</v>
      </c>
      <c r="K260" s="2">
        <f t="shared" si="14"/>
        <v>28.9755</v>
      </c>
    </row>
    <row r="261" spans="1:11" x14ac:dyDescent="0.3">
      <c r="A261" t="s">
        <v>1156</v>
      </c>
      <c r="B261" t="s">
        <v>689</v>
      </c>
      <c r="C261">
        <v>114</v>
      </c>
      <c r="D261" t="s">
        <v>899</v>
      </c>
      <c r="E261">
        <v>6.47</v>
      </c>
      <c r="F261" s="2">
        <v>40.29</v>
      </c>
      <c r="G261">
        <v>5</v>
      </c>
      <c r="H261">
        <v>10</v>
      </c>
      <c r="I261" t="str">
        <f t="shared" si="12"/>
        <v>B2B</v>
      </c>
      <c r="J261" s="3">
        <f t="shared" si="13"/>
        <v>0.45</v>
      </c>
      <c r="K261" s="2">
        <f t="shared" si="14"/>
        <v>18.130500000000001</v>
      </c>
    </row>
    <row r="262" spans="1:11" x14ac:dyDescent="0.3">
      <c r="A262" t="s">
        <v>1157</v>
      </c>
      <c r="B262" t="s">
        <v>713</v>
      </c>
      <c r="C262">
        <v>5</v>
      </c>
      <c r="D262" t="s">
        <v>896</v>
      </c>
      <c r="E262">
        <v>1.63</v>
      </c>
      <c r="F262" s="2">
        <v>71.37</v>
      </c>
      <c r="G262">
        <v>1</v>
      </c>
      <c r="H262">
        <v>0</v>
      </c>
      <c r="I262" t="str">
        <f t="shared" si="12"/>
        <v>B2B</v>
      </c>
      <c r="J262" s="3">
        <f t="shared" si="13"/>
        <v>0.1</v>
      </c>
      <c r="K262" s="2">
        <f t="shared" si="14"/>
        <v>7.1370000000000005</v>
      </c>
    </row>
    <row r="263" spans="1:11" x14ac:dyDescent="0.3">
      <c r="A263" t="s">
        <v>1158</v>
      </c>
      <c r="B263" t="s">
        <v>695</v>
      </c>
      <c r="C263">
        <v>118</v>
      </c>
      <c r="D263" t="s">
        <v>896</v>
      </c>
      <c r="E263">
        <v>2.2000000000000002</v>
      </c>
      <c r="F263" s="2">
        <v>40.880000000000003</v>
      </c>
      <c r="G263">
        <v>4</v>
      </c>
      <c r="H263">
        <v>10</v>
      </c>
      <c r="I263" t="str">
        <f t="shared" si="12"/>
        <v>B2B</v>
      </c>
      <c r="J263" s="3">
        <f t="shared" si="13"/>
        <v>0.1</v>
      </c>
      <c r="K263" s="2">
        <f t="shared" si="14"/>
        <v>4.0880000000000001</v>
      </c>
    </row>
    <row r="264" spans="1:11" x14ac:dyDescent="0.3">
      <c r="A264" t="s">
        <v>1159</v>
      </c>
      <c r="B264" t="s">
        <v>710</v>
      </c>
      <c r="C264">
        <v>16</v>
      </c>
      <c r="D264" t="s">
        <v>899</v>
      </c>
      <c r="E264">
        <v>7.68</v>
      </c>
      <c r="F264" s="2">
        <v>38.369999999999997</v>
      </c>
      <c r="G264">
        <v>4</v>
      </c>
      <c r="H264">
        <v>1</v>
      </c>
      <c r="I264" t="str">
        <f t="shared" si="12"/>
        <v>B2B</v>
      </c>
      <c r="J264" s="3">
        <f t="shared" si="13"/>
        <v>0.45</v>
      </c>
      <c r="K264" s="2">
        <f t="shared" si="14"/>
        <v>17.266500000000001</v>
      </c>
    </row>
    <row r="265" spans="1:11" x14ac:dyDescent="0.3">
      <c r="A265" t="s">
        <v>1160</v>
      </c>
      <c r="B265" t="s">
        <v>725</v>
      </c>
      <c r="C265">
        <v>50</v>
      </c>
      <c r="D265" t="s">
        <v>901</v>
      </c>
      <c r="E265">
        <v>7.43</v>
      </c>
      <c r="F265" s="2">
        <v>31.56</v>
      </c>
      <c r="G265">
        <v>5</v>
      </c>
      <c r="H265">
        <v>4</v>
      </c>
      <c r="I265" t="str">
        <f t="shared" si="12"/>
        <v>B2B</v>
      </c>
      <c r="J265" s="3">
        <f t="shared" si="13"/>
        <v>0.45</v>
      </c>
      <c r="K265" s="2">
        <f t="shared" si="14"/>
        <v>14.202</v>
      </c>
    </row>
    <row r="266" spans="1:11" x14ac:dyDescent="0.3">
      <c r="A266" t="s">
        <v>1161</v>
      </c>
      <c r="B266" t="s">
        <v>713</v>
      </c>
      <c r="C266">
        <v>120</v>
      </c>
      <c r="D266" t="s">
        <v>896</v>
      </c>
      <c r="E266">
        <v>3.48</v>
      </c>
      <c r="F266" s="2">
        <v>42.51</v>
      </c>
      <c r="G266">
        <v>4</v>
      </c>
      <c r="H266">
        <v>10</v>
      </c>
      <c r="I266" t="str">
        <f t="shared" si="12"/>
        <v>B2B</v>
      </c>
      <c r="J266" s="3">
        <f t="shared" si="13"/>
        <v>0.1</v>
      </c>
      <c r="K266" s="2">
        <f t="shared" si="14"/>
        <v>4.2510000000000003</v>
      </c>
    </row>
    <row r="267" spans="1:11" x14ac:dyDescent="0.3">
      <c r="A267" t="s">
        <v>1162</v>
      </c>
      <c r="B267" t="s">
        <v>736</v>
      </c>
      <c r="C267">
        <v>73</v>
      </c>
      <c r="D267" t="s">
        <v>901</v>
      </c>
      <c r="E267">
        <v>3.75</v>
      </c>
      <c r="F267" s="2">
        <v>45.86</v>
      </c>
      <c r="G267">
        <v>0</v>
      </c>
      <c r="H267">
        <v>6</v>
      </c>
      <c r="I267" t="str">
        <f t="shared" si="12"/>
        <v>B2B</v>
      </c>
      <c r="J267" s="3">
        <f t="shared" si="13"/>
        <v>0.1</v>
      </c>
      <c r="K267" s="2">
        <f t="shared" si="14"/>
        <v>4.5860000000000003</v>
      </c>
    </row>
    <row r="268" spans="1:11" x14ac:dyDescent="0.3">
      <c r="A268" t="s">
        <v>1163</v>
      </c>
      <c r="B268" t="s">
        <v>700</v>
      </c>
      <c r="C268">
        <v>21</v>
      </c>
      <c r="D268" t="s">
        <v>896</v>
      </c>
      <c r="E268">
        <v>5.33</v>
      </c>
      <c r="F268" s="2">
        <v>64.97</v>
      </c>
      <c r="G268">
        <v>1</v>
      </c>
      <c r="H268">
        <v>2</v>
      </c>
      <c r="I268" t="str">
        <f t="shared" si="12"/>
        <v>B2B</v>
      </c>
      <c r="J268" s="3">
        <f t="shared" si="13"/>
        <v>0.45</v>
      </c>
      <c r="K268" s="2">
        <f t="shared" si="14"/>
        <v>29.236499999999999</v>
      </c>
    </row>
    <row r="269" spans="1:11" x14ac:dyDescent="0.3">
      <c r="A269" t="s">
        <v>1164</v>
      </c>
      <c r="B269" t="s">
        <v>703</v>
      </c>
      <c r="C269">
        <v>25</v>
      </c>
      <c r="D269" t="s">
        <v>894</v>
      </c>
      <c r="E269">
        <v>7.78</v>
      </c>
      <c r="F269" s="2">
        <v>97.78</v>
      </c>
      <c r="G269">
        <v>3</v>
      </c>
      <c r="H269">
        <v>2</v>
      </c>
      <c r="I269" t="str">
        <f t="shared" si="12"/>
        <v>-</v>
      </c>
      <c r="J269" s="3">
        <f t="shared" si="13"/>
        <v>0.45</v>
      </c>
      <c r="K269" s="2">
        <f t="shared" si="14"/>
        <v>44.001000000000005</v>
      </c>
    </row>
    <row r="270" spans="1:11" x14ac:dyDescent="0.3">
      <c r="A270" t="s">
        <v>1165</v>
      </c>
      <c r="B270" t="s">
        <v>715</v>
      </c>
      <c r="C270">
        <v>98</v>
      </c>
      <c r="D270" t="s">
        <v>894</v>
      </c>
      <c r="E270">
        <v>5.32</v>
      </c>
      <c r="F270" s="2">
        <v>88.58</v>
      </c>
      <c r="G270">
        <v>0</v>
      </c>
      <c r="H270">
        <v>8</v>
      </c>
      <c r="I270" t="str">
        <f t="shared" si="12"/>
        <v>-</v>
      </c>
      <c r="J270" s="3">
        <f t="shared" si="13"/>
        <v>0.45</v>
      </c>
      <c r="K270" s="2">
        <f t="shared" si="14"/>
        <v>39.860999999999997</v>
      </c>
    </row>
    <row r="271" spans="1:11" x14ac:dyDescent="0.3">
      <c r="A271" t="s">
        <v>1166</v>
      </c>
      <c r="B271" t="s">
        <v>703</v>
      </c>
      <c r="C271">
        <v>56</v>
      </c>
      <c r="D271" t="s">
        <v>896</v>
      </c>
      <c r="E271">
        <v>0.92</v>
      </c>
      <c r="F271" s="2">
        <v>82.56</v>
      </c>
      <c r="G271">
        <v>2</v>
      </c>
      <c r="H271">
        <v>5</v>
      </c>
      <c r="I271" t="str">
        <f t="shared" si="12"/>
        <v>-</v>
      </c>
      <c r="J271" s="3">
        <f t="shared" si="13"/>
        <v>0</v>
      </c>
      <c r="K271" s="2">
        <f t="shared" si="14"/>
        <v>0</v>
      </c>
    </row>
    <row r="272" spans="1:11" x14ac:dyDescent="0.3">
      <c r="A272" t="s">
        <v>1167</v>
      </c>
      <c r="B272" t="s">
        <v>718</v>
      </c>
      <c r="C272">
        <v>33</v>
      </c>
      <c r="D272" t="s">
        <v>894</v>
      </c>
      <c r="E272">
        <v>7.4</v>
      </c>
      <c r="F272" s="2">
        <v>10.28</v>
      </c>
      <c r="G272">
        <v>5</v>
      </c>
      <c r="H272">
        <v>3</v>
      </c>
      <c r="I272" t="str">
        <f t="shared" si="12"/>
        <v>B2B</v>
      </c>
      <c r="J272" s="3">
        <f t="shared" si="13"/>
        <v>0.45</v>
      </c>
      <c r="K272" s="2">
        <f t="shared" si="14"/>
        <v>4.6259999999999994</v>
      </c>
    </row>
    <row r="273" spans="1:11" x14ac:dyDescent="0.3">
      <c r="A273" t="s">
        <v>1168</v>
      </c>
      <c r="B273" t="s">
        <v>702</v>
      </c>
      <c r="C273">
        <v>99</v>
      </c>
      <c r="D273" t="s">
        <v>896</v>
      </c>
      <c r="E273">
        <v>5.42</v>
      </c>
      <c r="F273" s="2">
        <v>88.35</v>
      </c>
      <c r="G273">
        <v>4</v>
      </c>
      <c r="H273">
        <v>8</v>
      </c>
      <c r="I273" t="str">
        <f t="shared" si="12"/>
        <v>-</v>
      </c>
      <c r="J273" s="3">
        <f t="shared" si="13"/>
        <v>0.45</v>
      </c>
      <c r="K273" s="2">
        <f t="shared" si="14"/>
        <v>39.7575</v>
      </c>
    </row>
    <row r="274" spans="1:11" x14ac:dyDescent="0.3">
      <c r="A274" t="s">
        <v>1169</v>
      </c>
      <c r="B274" t="s">
        <v>701</v>
      </c>
      <c r="C274">
        <v>117</v>
      </c>
      <c r="D274" t="s">
        <v>899</v>
      </c>
      <c r="E274">
        <v>1.42</v>
      </c>
      <c r="F274" s="2">
        <v>46.16</v>
      </c>
      <c r="G274">
        <v>3</v>
      </c>
      <c r="H274">
        <v>10</v>
      </c>
      <c r="I274" t="str">
        <f t="shared" si="12"/>
        <v>B2B</v>
      </c>
      <c r="J274" s="3">
        <f t="shared" si="13"/>
        <v>0.1</v>
      </c>
      <c r="K274" s="2">
        <f t="shared" si="14"/>
        <v>4.6159999999999997</v>
      </c>
    </row>
    <row r="275" spans="1:11" x14ac:dyDescent="0.3">
      <c r="A275" t="s">
        <v>1170</v>
      </c>
      <c r="B275" t="s">
        <v>695</v>
      </c>
      <c r="C275">
        <v>97</v>
      </c>
      <c r="D275" t="s">
        <v>899</v>
      </c>
      <c r="E275">
        <v>0.67</v>
      </c>
      <c r="F275" s="2">
        <v>85.19</v>
      </c>
      <c r="G275">
        <v>1</v>
      </c>
      <c r="H275">
        <v>8</v>
      </c>
      <c r="I275" t="str">
        <f t="shared" si="12"/>
        <v>-</v>
      </c>
      <c r="J275" s="3">
        <f t="shared" si="13"/>
        <v>0</v>
      </c>
      <c r="K275" s="2">
        <f t="shared" si="14"/>
        <v>0</v>
      </c>
    </row>
    <row r="276" spans="1:11" x14ac:dyDescent="0.3">
      <c r="A276" t="s">
        <v>1171</v>
      </c>
      <c r="B276" t="s">
        <v>674</v>
      </c>
      <c r="C276">
        <v>93</v>
      </c>
      <c r="D276" t="s">
        <v>894</v>
      </c>
      <c r="E276">
        <v>2.5</v>
      </c>
      <c r="F276" s="2">
        <v>93.25</v>
      </c>
      <c r="G276">
        <v>3</v>
      </c>
      <c r="H276">
        <v>8</v>
      </c>
      <c r="I276" t="str">
        <f t="shared" si="12"/>
        <v>-</v>
      </c>
      <c r="J276" s="3">
        <f t="shared" si="13"/>
        <v>0</v>
      </c>
      <c r="K276" s="2">
        <f t="shared" si="14"/>
        <v>0</v>
      </c>
    </row>
    <row r="277" spans="1:11" x14ac:dyDescent="0.3">
      <c r="A277" t="s">
        <v>1172</v>
      </c>
      <c r="B277" t="s">
        <v>736</v>
      </c>
      <c r="C277">
        <v>45</v>
      </c>
      <c r="D277" t="s">
        <v>901</v>
      </c>
      <c r="E277">
        <v>0.72</v>
      </c>
      <c r="F277" s="2">
        <v>12.31</v>
      </c>
      <c r="G277">
        <v>0</v>
      </c>
      <c r="H277">
        <v>4</v>
      </c>
      <c r="I277" t="str">
        <f t="shared" si="12"/>
        <v>B2B</v>
      </c>
      <c r="J277" s="3">
        <f t="shared" si="13"/>
        <v>0.1</v>
      </c>
      <c r="K277" s="2">
        <f t="shared" si="14"/>
        <v>1.2310000000000001</v>
      </c>
    </row>
    <row r="278" spans="1:11" x14ac:dyDescent="0.3">
      <c r="A278" t="s">
        <v>1173</v>
      </c>
      <c r="B278" t="s">
        <v>674</v>
      </c>
      <c r="C278">
        <v>66</v>
      </c>
      <c r="D278" t="s">
        <v>894</v>
      </c>
      <c r="E278">
        <v>3.22</v>
      </c>
      <c r="F278" s="2">
        <v>21.06</v>
      </c>
      <c r="G278">
        <v>3</v>
      </c>
      <c r="H278">
        <v>6</v>
      </c>
      <c r="I278" t="str">
        <f t="shared" si="12"/>
        <v>B2B</v>
      </c>
      <c r="J278" s="3">
        <f t="shared" si="13"/>
        <v>0.1</v>
      </c>
      <c r="K278" s="2">
        <f t="shared" si="14"/>
        <v>2.1059999999999999</v>
      </c>
    </row>
    <row r="279" spans="1:11" x14ac:dyDescent="0.3">
      <c r="A279" t="s">
        <v>1174</v>
      </c>
      <c r="B279" t="s">
        <v>736</v>
      </c>
      <c r="C279">
        <v>91</v>
      </c>
      <c r="D279" t="s">
        <v>901</v>
      </c>
      <c r="E279">
        <v>1.05</v>
      </c>
      <c r="F279" s="2">
        <v>57.76</v>
      </c>
      <c r="G279">
        <v>5</v>
      </c>
      <c r="H279">
        <v>8</v>
      </c>
      <c r="I279" t="str">
        <f t="shared" si="12"/>
        <v>B2B</v>
      </c>
      <c r="J279" s="3">
        <f t="shared" si="13"/>
        <v>0.1</v>
      </c>
      <c r="K279" s="2">
        <f t="shared" si="14"/>
        <v>5.7759999999999998</v>
      </c>
    </row>
    <row r="280" spans="1:11" x14ac:dyDescent="0.3">
      <c r="A280" t="s">
        <v>1175</v>
      </c>
      <c r="B280" t="s">
        <v>695</v>
      </c>
      <c r="C280">
        <v>63</v>
      </c>
      <c r="D280" t="s">
        <v>896</v>
      </c>
      <c r="E280">
        <v>2.35</v>
      </c>
      <c r="F280" s="2">
        <v>95.6</v>
      </c>
      <c r="G280">
        <v>4</v>
      </c>
      <c r="H280">
        <v>5</v>
      </c>
      <c r="I280" t="str">
        <f t="shared" si="12"/>
        <v>-</v>
      </c>
      <c r="J280" s="3">
        <f t="shared" si="13"/>
        <v>0</v>
      </c>
      <c r="K280" s="2">
        <f t="shared" si="14"/>
        <v>0</v>
      </c>
    </row>
    <row r="281" spans="1:11" x14ac:dyDescent="0.3">
      <c r="A281" t="s">
        <v>1176</v>
      </c>
      <c r="B281" t="s">
        <v>703</v>
      </c>
      <c r="C281">
        <v>82</v>
      </c>
      <c r="D281" t="s">
        <v>894</v>
      </c>
      <c r="E281">
        <v>0.53</v>
      </c>
      <c r="F281" s="2">
        <v>77.63</v>
      </c>
      <c r="G281">
        <v>1</v>
      </c>
      <c r="H281">
        <v>7</v>
      </c>
      <c r="I281" t="str">
        <f t="shared" si="12"/>
        <v>B2B</v>
      </c>
      <c r="J281" s="3">
        <f t="shared" si="13"/>
        <v>0.1</v>
      </c>
      <c r="K281" s="2">
        <f t="shared" si="14"/>
        <v>7.7629999999999999</v>
      </c>
    </row>
    <row r="282" spans="1:11" x14ac:dyDescent="0.3">
      <c r="A282" t="s">
        <v>1177</v>
      </c>
      <c r="B282" t="s">
        <v>700</v>
      </c>
      <c r="C282">
        <v>89</v>
      </c>
      <c r="D282" t="s">
        <v>899</v>
      </c>
      <c r="E282">
        <v>2.92</v>
      </c>
      <c r="F282" s="2">
        <v>32.369999999999997</v>
      </c>
      <c r="G282">
        <v>1</v>
      </c>
      <c r="H282">
        <v>7</v>
      </c>
      <c r="I282" t="str">
        <f t="shared" si="12"/>
        <v>B2B</v>
      </c>
      <c r="J282" s="3">
        <f t="shared" si="13"/>
        <v>0.1</v>
      </c>
      <c r="K282" s="2">
        <f t="shared" si="14"/>
        <v>3.2370000000000001</v>
      </c>
    </row>
    <row r="283" spans="1:11" x14ac:dyDescent="0.3">
      <c r="A283" t="s">
        <v>1178</v>
      </c>
      <c r="B283" t="s">
        <v>706</v>
      </c>
      <c r="C283">
        <v>48</v>
      </c>
      <c r="D283" t="s">
        <v>901</v>
      </c>
      <c r="E283">
        <v>0.25</v>
      </c>
      <c r="F283" s="2">
        <v>50.67</v>
      </c>
      <c r="G283">
        <v>1</v>
      </c>
      <c r="H283">
        <v>4</v>
      </c>
      <c r="I283" t="str">
        <f t="shared" si="12"/>
        <v>B2B</v>
      </c>
      <c r="J283" s="3">
        <f t="shared" si="13"/>
        <v>0.1</v>
      </c>
      <c r="K283" s="2">
        <f t="shared" si="14"/>
        <v>5.0670000000000002</v>
      </c>
    </row>
    <row r="284" spans="1:11" x14ac:dyDescent="0.3">
      <c r="A284" t="s">
        <v>1179</v>
      </c>
      <c r="B284" t="s">
        <v>725</v>
      </c>
      <c r="C284">
        <v>90</v>
      </c>
      <c r="D284" t="s">
        <v>896</v>
      </c>
      <c r="E284">
        <v>4.9800000000000004</v>
      </c>
      <c r="F284" s="2">
        <v>71.760000000000005</v>
      </c>
      <c r="G284">
        <v>1</v>
      </c>
      <c r="H284">
        <v>8</v>
      </c>
      <c r="I284" t="str">
        <f t="shared" si="12"/>
        <v>B2B</v>
      </c>
      <c r="J284" s="3">
        <f t="shared" si="13"/>
        <v>0.45</v>
      </c>
      <c r="K284" s="2">
        <f t="shared" si="14"/>
        <v>32.292000000000002</v>
      </c>
    </row>
    <row r="285" spans="1:11" x14ac:dyDescent="0.3">
      <c r="A285" t="s">
        <v>1180</v>
      </c>
      <c r="B285" t="s">
        <v>687</v>
      </c>
      <c r="C285">
        <v>8</v>
      </c>
      <c r="D285" t="s">
        <v>899</v>
      </c>
      <c r="E285">
        <v>2</v>
      </c>
      <c r="F285" s="2">
        <v>88.29</v>
      </c>
      <c r="G285">
        <v>5</v>
      </c>
      <c r="H285">
        <v>1</v>
      </c>
      <c r="I285" t="str">
        <f t="shared" si="12"/>
        <v>-</v>
      </c>
      <c r="J285" s="3">
        <f t="shared" si="13"/>
        <v>0</v>
      </c>
      <c r="K285" s="2">
        <f t="shared" si="14"/>
        <v>0</v>
      </c>
    </row>
    <row r="286" spans="1:11" x14ac:dyDescent="0.3">
      <c r="A286" t="s">
        <v>1181</v>
      </c>
      <c r="B286" t="s">
        <v>715</v>
      </c>
      <c r="C286">
        <v>84</v>
      </c>
      <c r="D286" t="s">
        <v>899</v>
      </c>
      <c r="E286">
        <v>4.07</v>
      </c>
      <c r="F286" s="2">
        <v>56.34</v>
      </c>
      <c r="G286">
        <v>5</v>
      </c>
      <c r="H286">
        <v>7</v>
      </c>
      <c r="I286" t="str">
        <f t="shared" si="12"/>
        <v>B2B</v>
      </c>
      <c r="J286" s="3">
        <f t="shared" si="13"/>
        <v>0.45</v>
      </c>
      <c r="K286" s="2">
        <f t="shared" si="14"/>
        <v>25.353000000000002</v>
      </c>
    </row>
    <row r="287" spans="1:11" x14ac:dyDescent="0.3">
      <c r="A287" t="s">
        <v>1182</v>
      </c>
      <c r="B287" t="s">
        <v>681</v>
      </c>
      <c r="C287">
        <v>50</v>
      </c>
      <c r="D287" t="s">
        <v>899</v>
      </c>
      <c r="E287">
        <v>4.13</v>
      </c>
      <c r="F287" s="2">
        <v>69.42</v>
      </c>
      <c r="G287">
        <v>0</v>
      </c>
      <c r="H287">
        <v>4</v>
      </c>
      <c r="I287" t="str">
        <f t="shared" si="12"/>
        <v>B2B</v>
      </c>
      <c r="J287" s="3">
        <f t="shared" si="13"/>
        <v>0.45</v>
      </c>
      <c r="K287" s="2">
        <f t="shared" si="14"/>
        <v>31.239000000000001</v>
      </c>
    </row>
    <row r="288" spans="1:11" x14ac:dyDescent="0.3">
      <c r="A288" t="s">
        <v>1183</v>
      </c>
      <c r="B288" t="s">
        <v>706</v>
      </c>
      <c r="C288">
        <v>119</v>
      </c>
      <c r="D288" t="s">
        <v>896</v>
      </c>
      <c r="E288">
        <v>5.73</v>
      </c>
      <c r="F288" s="2">
        <v>10.28</v>
      </c>
      <c r="G288">
        <v>0</v>
      </c>
      <c r="H288">
        <v>10</v>
      </c>
      <c r="I288" t="str">
        <f t="shared" si="12"/>
        <v>B2B</v>
      </c>
      <c r="J288" s="3">
        <f t="shared" si="13"/>
        <v>0.45</v>
      </c>
      <c r="K288" s="2">
        <f t="shared" si="14"/>
        <v>4.6259999999999994</v>
      </c>
    </row>
    <row r="289" spans="1:11" x14ac:dyDescent="0.3">
      <c r="A289" t="s">
        <v>1184</v>
      </c>
      <c r="B289" t="s">
        <v>693</v>
      </c>
      <c r="C289">
        <v>55</v>
      </c>
      <c r="D289" t="s">
        <v>896</v>
      </c>
      <c r="E289">
        <v>6.48</v>
      </c>
      <c r="F289" s="2">
        <v>67.430000000000007</v>
      </c>
      <c r="G289">
        <v>3</v>
      </c>
      <c r="H289">
        <v>5</v>
      </c>
      <c r="I289" t="str">
        <f t="shared" si="12"/>
        <v>B2B</v>
      </c>
      <c r="J289" s="3">
        <f t="shared" si="13"/>
        <v>0.45</v>
      </c>
      <c r="K289" s="2">
        <f t="shared" si="14"/>
        <v>30.343500000000002</v>
      </c>
    </row>
    <row r="290" spans="1:11" x14ac:dyDescent="0.3">
      <c r="A290" t="s">
        <v>1185</v>
      </c>
      <c r="B290" t="s">
        <v>715</v>
      </c>
      <c r="C290">
        <v>95</v>
      </c>
      <c r="D290" t="s">
        <v>894</v>
      </c>
      <c r="E290">
        <v>0.85</v>
      </c>
      <c r="F290" s="2">
        <v>94.77</v>
      </c>
      <c r="G290">
        <v>5</v>
      </c>
      <c r="H290">
        <v>8</v>
      </c>
      <c r="I290" t="str">
        <f t="shared" si="12"/>
        <v>-</v>
      </c>
      <c r="J290" s="3">
        <f t="shared" si="13"/>
        <v>0</v>
      </c>
      <c r="K290" s="2">
        <f t="shared" si="14"/>
        <v>0</v>
      </c>
    </row>
    <row r="291" spans="1:11" x14ac:dyDescent="0.3">
      <c r="A291" t="s">
        <v>1186</v>
      </c>
      <c r="B291" t="s">
        <v>693</v>
      </c>
      <c r="C291">
        <v>32</v>
      </c>
      <c r="D291" t="s">
        <v>896</v>
      </c>
      <c r="E291">
        <v>7.0000000000000007E-2</v>
      </c>
      <c r="F291" s="2">
        <v>39</v>
      </c>
      <c r="G291">
        <v>0</v>
      </c>
      <c r="H291">
        <v>3</v>
      </c>
      <c r="I291" t="str">
        <f t="shared" si="12"/>
        <v>B2B</v>
      </c>
      <c r="J291" s="3">
        <f t="shared" si="13"/>
        <v>0.1</v>
      </c>
      <c r="K291" s="2">
        <f t="shared" si="14"/>
        <v>3.9000000000000004</v>
      </c>
    </row>
    <row r="292" spans="1:11" x14ac:dyDescent="0.3">
      <c r="A292" t="s">
        <v>1187</v>
      </c>
      <c r="B292" t="s">
        <v>689</v>
      </c>
      <c r="C292">
        <v>32</v>
      </c>
      <c r="D292" t="s">
        <v>901</v>
      </c>
      <c r="E292">
        <v>0.52</v>
      </c>
      <c r="F292" s="2">
        <v>67.040000000000006</v>
      </c>
      <c r="G292">
        <v>1</v>
      </c>
      <c r="H292">
        <v>3</v>
      </c>
      <c r="I292" t="str">
        <f t="shared" si="12"/>
        <v>B2B</v>
      </c>
      <c r="J292" s="3">
        <f t="shared" si="13"/>
        <v>0.1</v>
      </c>
      <c r="K292" s="2">
        <f t="shared" si="14"/>
        <v>6.7040000000000006</v>
      </c>
    </row>
    <row r="293" spans="1:11" x14ac:dyDescent="0.3">
      <c r="A293" t="s">
        <v>1188</v>
      </c>
      <c r="B293" t="s">
        <v>689</v>
      </c>
      <c r="C293">
        <v>62</v>
      </c>
      <c r="D293" t="s">
        <v>901</v>
      </c>
      <c r="E293">
        <v>2.27</v>
      </c>
      <c r="F293" s="2">
        <v>88.61</v>
      </c>
      <c r="G293">
        <v>2</v>
      </c>
      <c r="H293">
        <v>5</v>
      </c>
      <c r="I293" t="str">
        <f t="shared" si="12"/>
        <v>-</v>
      </c>
      <c r="J293" s="3">
        <f t="shared" si="13"/>
        <v>0</v>
      </c>
      <c r="K293" s="2">
        <f t="shared" si="14"/>
        <v>0</v>
      </c>
    </row>
    <row r="294" spans="1:11" x14ac:dyDescent="0.3">
      <c r="A294" t="s">
        <v>1189</v>
      </c>
      <c r="B294" t="s">
        <v>684</v>
      </c>
      <c r="C294">
        <v>5</v>
      </c>
      <c r="D294" t="s">
        <v>894</v>
      </c>
      <c r="E294">
        <v>6.4</v>
      </c>
      <c r="F294" s="2">
        <v>97.26</v>
      </c>
      <c r="G294">
        <v>3</v>
      </c>
      <c r="H294">
        <v>0</v>
      </c>
      <c r="I294" t="str">
        <f t="shared" si="12"/>
        <v>-</v>
      </c>
      <c r="J294" s="3">
        <f t="shared" si="13"/>
        <v>0.45</v>
      </c>
      <c r="K294" s="2">
        <f t="shared" si="14"/>
        <v>43.767000000000003</v>
      </c>
    </row>
    <row r="295" spans="1:11" x14ac:dyDescent="0.3">
      <c r="A295" t="s">
        <v>1190</v>
      </c>
      <c r="B295" t="s">
        <v>718</v>
      </c>
      <c r="C295">
        <v>118</v>
      </c>
      <c r="D295" t="s">
        <v>901</v>
      </c>
      <c r="E295">
        <v>8.15</v>
      </c>
      <c r="F295" s="2">
        <v>76.22</v>
      </c>
      <c r="G295">
        <v>2</v>
      </c>
      <c r="H295">
        <v>10</v>
      </c>
      <c r="I295" t="str">
        <f t="shared" si="12"/>
        <v>B2B</v>
      </c>
      <c r="J295" s="3">
        <f t="shared" si="13"/>
        <v>0.45</v>
      </c>
      <c r="K295" s="2">
        <f t="shared" si="14"/>
        <v>34.298999999999999</v>
      </c>
    </row>
    <row r="296" spans="1:11" x14ac:dyDescent="0.3">
      <c r="A296" t="s">
        <v>1191</v>
      </c>
      <c r="B296" t="s">
        <v>718</v>
      </c>
      <c r="C296">
        <v>105</v>
      </c>
      <c r="D296" t="s">
        <v>901</v>
      </c>
      <c r="E296">
        <v>0.05</v>
      </c>
      <c r="F296" s="2">
        <v>71.010000000000005</v>
      </c>
      <c r="G296">
        <v>1</v>
      </c>
      <c r="H296">
        <v>9</v>
      </c>
      <c r="I296" t="str">
        <f t="shared" si="12"/>
        <v>B2B</v>
      </c>
      <c r="J296" s="3">
        <f t="shared" si="13"/>
        <v>0.1</v>
      </c>
      <c r="K296" s="2">
        <f t="shared" si="14"/>
        <v>7.1010000000000009</v>
      </c>
    </row>
    <row r="297" spans="1:11" x14ac:dyDescent="0.3">
      <c r="A297" t="s">
        <v>1192</v>
      </c>
      <c r="B297" t="s">
        <v>699</v>
      </c>
      <c r="C297">
        <v>47</v>
      </c>
      <c r="D297" t="s">
        <v>901</v>
      </c>
      <c r="E297">
        <v>5.67</v>
      </c>
      <c r="F297" s="2">
        <v>31.02</v>
      </c>
      <c r="G297">
        <v>5</v>
      </c>
      <c r="H297">
        <v>4</v>
      </c>
      <c r="I297" t="str">
        <f t="shared" si="12"/>
        <v>B2B</v>
      </c>
      <c r="J297" s="3">
        <f t="shared" si="13"/>
        <v>0.45</v>
      </c>
      <c r="K297" s="2">
        <f t="shared" si="14"/>
        <v>13.959</v>
      </c>
    </row>
    <row r="298" spans="1:11" x14ac:dyDescent="0.3">
      <c r="A298" t="s">
        <v>1193</v>
      </c>
      <c r="B298" t="s">
        <v>706</v>
      </c>
      <c r="C298">
        <v>81</v>
      </c>
      <c r="D298" t="s">
        <v>896</v>
      </c>
      <c r="E298">
        <v>4.97</v>
      </c>
      <c r="F298" s="2">
        <v>53.61</v>
      </c>
      <c r="G298">
        <v>2</v>
      </c>
      <c r="H298">
        <v>7</v>
      </c>
      <c r="I298" t="str">
        <f t="shared" si="12"/>
        <v>B2B</v>
      </c>
      <c r="J298" s="3">
        <f t="shared" si="13"/>
        <v>0.45</v>
      </c>
      <c r="K298" s="2">
        <f t="shared" si="14"/>
        <v>24.124500000000001</v>
      </c>
    </row>
    <row r="299" spans="1:11" x14ac:dyDescent="0.3">
      <c r="A299" t="s">
        <v>1194</v>
      </c>
      <c r="B299" t="s">
        <v>695</v>
      </c>
      <c r="C299">
        <v>91</v>
      </c>
      <c r="D299" t="s">
        <v>901</v>
      </c>
      <c r="E299">
        <v>6.73</v>
      </c>
      <c r="F299" s="2">
        <v>76.53</v>
      </c>
      <c r="G299">
        <v>5</v>
      </c>
      <c r="H299">
        <v>8</v>
      </c>
      <c r="I299" t="str">
        <f t="shared" si="12"/>
        <v>B2B</v>
      </c>
      <c r="J299" s="3">
        <f t="shared" si="13"/>
        <v>0.45</v>
      </c>
      <c r="K299" s="2">
        <f t="shared" si="14"/>
        <v>34.438500000000005</v>
      </c>
    </row>
    <row r="300" spans="1:11" x14ac:dyDescent="0.3">
      <c r="A300" t="s">
        <v>1195</v>
      </c>
      <c r="B300" t="s">
        <v>710</v>
      </c>
      <c r="C300">
        <v>87</v>
      </c>
      <c r="D300" t="s">
        <v>899</v>
      </c>
      <c r="E300">
        <v>0.35</v>
      </c>
      <c r="F300" s="2">
        <v>81.459999999999994</v>
      </c>
      <c r="G300">
        <v>3</v>
      </c>
      <c r="H300">
        <v>7</v>
      </c>
      <c r="I300" t="str">
        <f t="shared" si="12"/>
        <v>-</v>
      </c>
      <c r="J300" s="3">
        <f t="shared" si="13"/>
        <v>0</v>
      </c>
      <c r="K300" s="2">
        <f t="shared" si="14"/>
        <v>0</v>
      </c>
    </row>
    <row r="301" spans="1:11" x14ac:dyDescent="0.3">
      <c r="A301" t="s">
        <v>1196</v>
      </c>
      <c r="B301" t="s">
        <v>695</v>
      </c>
      <c r="C301">
        <v>4</v>
      </c>
      <c r="D301" t="s">
        <v>896</v>
      </c>
      <c r="E301">
        <v>0.82</v>
      </c>
      <c r="F301" s="2">
        <v>41.35</v>
      </c>
      <c r="G301">
        <v>5</v>
      </c>
      <c r="H301">
        <v>0</v>
      </c>
      <c r="I301" t="str">
        <f t="shared" si="12"/>
        <v>B2B</v>
      </c>
      <c r="J301" s="3">
        <f t="shared" si="13"/>
        <v>0.1</v>
      </c>
      <c r="K301" s="2">
        <f t="shared" si="14"/>
        <v>4.1350000000000007</v>
      </c>
    </row>
    <row r="302" spans="1:11" x14ac:dyDescent="0.3">
      <c r="A302" t="s">
        <v>1197</v>
      </c>
      <c r="B302" t="s">
        <v>737</v>
      </c>
      <c r="C302">
        <v>76</v>
      </c>
      <c r="D302" t="s">
        <v>899</v>
      </c>
      <c r="E302">
        <v>3.2</v>
      </c>
      <c r="F302" s="2">
        <v>68.53</v>
      </c>
      <c r="G302">
        <v>0</v>
      </c>
      <c r="H302">
        <v>6</v>
      </c>
      <c r="I302" t="str">
        <f t="shared" si="12"/>
        <v>B2B</v>
      </c>
      <c r="J302" s="3">
        <f t="shared" si="13"/>
        <v>0.1</v>
      </c>
      <c r="K302" s="2">
        <f t="shared" si="14"/>
        <v>6.8530000000000006</v>
      </c>
    </row>
    <row r="303" spans="1:11" x14ac:dyDescent="0.3">
      <c r="A303" t="s">
        <v>1198</v>
      </c>
      <c r="B303" t="s">
        <v>718</v>
      </c>
      <c r="C303">
        <v>69</v>
      </c>
      <c r="D303" t="s">
        <v>894</v>
      </c>
      <c r="E303">
        <v>8.1</v>
      </c>
      <c r="F303" s="2">
        <v>34.770000000000003</v>
      </c>
      <c r="G303">
        <v>0</v>
      </c>
      <c r="H303">
        <v>6</v>
      </c>
      <c r="I303" t="str">
        <f t="shared" si="12"/>
        <v>B2B</v>
      </c>
      <c r="J303" s="3">
        <f t="shared" si="13"/>
        <v>0.45</v>
      </c>
      <c r="K303" s="2">
        <f t="shared" si="14"/>
        <v>15.646500000000001</v>
      </c>
    </row>
    <row r="304" spans="1:11" x14ac:dyDescent="0.3">
      <c r="A304" t="s">
        <v>1199</v>
      </c>
      <c r="B304" t="s">
        <v>706</v>
      </c>
      <c r="C304">
        <v>25</v>
      </c>
      <c r="D304" t="s">
        <v>896</v>
      </c>
      <c r="E304">
        <v>3.63</v>
      </c>
      <c r="F304" s="2">
        <v>68.790000000000006</v>
      </c>
      <c r="G304">
        <v>0</v>
      </c>
      <c r="H304">
        <v>2</v>
      </c>
      <c r="I304" t="str">
        <f t="shared" si="12"/>
        <v>B2B</v>
      </c>
      <c r="J304" s="3">
        <f t="shared" si="13"/>
        <v>0.1</v>
      </c>
      <c r="K304" s="2">
        <f t="shared" si="14"/>
        <v>6.8790000000000013</v>
      </c>
    </row>
    <row r="305" spans="1:11" x14ac:dyDescent="0.3">
      <c r="A305" t="s">
        <v>1200</v>
      </c>
      <c r="B305" t="s">
        <v>725</v>
      </c>
      <c r="C305">
        <v>109</v>
      </c>
      <c r="D305" t="s">
        <v>901</v>
      </c>
      <c r="E305">
        <v>5.78</v>
      </c>
      <c r="F305" s="2">
        <v>43.06</v>
      </c>
      <c r="G305">
        <v>4</v>
      </c>
      <c r="H305">
        <v>9</v>
      </c>
      <c r="I305" t="str">
        <f t="shared" si="12"/>
        <v>B2B</v>
      </c>
      <c r="J305" s="3">
        <f t="shared" si="13"/>
        <v>0.45</v>
      </c>
      <c r="K305" s="2">
        <f t="shared" si="14"/>
        <v>19.377000000000002</v>
      </c>
    </row>
    <row r="306" spans="1:11" x14ac:dyDescent="0.3">
      <c r="A306" t="s">
        <v>1201</v>
      </c>
      <c r="B306" t="s">
        <v>721</v>
      </c>
      <c r="C306">
        <v>50</v>
      </c>
      <c r="D306" t="s">
        <v>896</v>
      </c>
      <c r="E306">
        <v>7.17</v>
      </c>
      <c r="F306" s="2">
        <v>20.8</v>
      </c>
      <c r="G306">
        <v>2</v>
      </c>
      <c r="H306">
        <v>4</v>
      </c>
      <c r="I306" t="str">
        <f t="shared" si="12"/>
        <v>B2B</v>
      </c>
      <c r="J306" s="3">
        <f t="shared" si="13"/>
        <v>0.45</v>
      </c>
      <c r="K306" s="2">
        <f t="shared" si="14"/>
        <v>9.3600000000000012</v>
      </c>
    </row>
    <row r="307" spans="1:11" x14ac:dyDescent="0.3">
      <c r="A307" t="s">
        <v>1202</v>
      </c>
      <c r="B307" t="s">
        <v>681</v>
      </c>
      <c r="C307">
        <v>55</v>
      </c>
      <c r="D307" t="s">
        <v>894</v>
      </c>
      <c r="E307">
        <v>1.43</v>
      </c>
      <c r="F307" s="2">
        <v>17.440000000000001</v>
      </c>
      <c r="G307">
        <v>2</v>
      </c>
      <c r="H307">
        <v>5</v>
      </c>
      <c r="I307" t="str">
        <f t="shared" si="12"/>
        <v>B2B</v>
      </c>
      <c r="J307" s="3">
        <f t="shared" si="13"/>
        <v>0.1</v>
      </c>
      <c r="K307" s="2">
        <f t="shared" si="14"/>
        <v>1.7440000000000002</v>
      </c>
    </row>
    <row r="308" spans="1:11" x14ac:dyDescent="0.3">
      <c r="A308" t="s">
        <v>1203</v>
      </c>
      <c r="B308" t="s">
        <v>687</v>
      </c>
      <c r="C308">
        <v>41</v>
      </c>
      <c r="D308" t="s">
        <v>896</v>
      </c>
      <c r="E308">
        <v>7.9</v>
      </c>
      <c r="F308" s="2">
        <v>54.03</v>
      </c>
      <c r="G308">
        <v>4</v>
      </c>
      <c r="H308">
        <v>3</v>
      </c>
      <c r="I308" t="str">
        <f t="shared" si="12"/>
        <v>B2B</v>
      </c>
      <c r="J308" s="3">
        <f t="shared" si="13"/>
        <v>0.45</v>
      </c>
      <c r="K308" s="2">
        <f t="shared" si="14"/>
        <v>24.313500000000001</v>
      </c>
    </row>
    <row r="309" spans="1:11" x14ac:dyDescent="0.3">
      <c r="A309" t="s">
        <v>1204</v>
      </c>
      <c r="B309" t="s">
        <v>705</v>
      </c>
      <c r="C309">
        <v>99</v>
      </c>
      <c r="D309" t="s">
        <v>899</v>
      </c>
      <c r="E309">
        <v>0.47</v>
      </c>
      <c r="F309" s="2">
        <v>70.19</v>
      </c>
      <c r="G309">
        <v>1</v>
      </c>
      <c r="H309">
        <v>8</v>
      </c>
      <c r="I309" t="str">
        <f t="shared" si="12"/>
        <v>B2B</v>
      </c>
      <c r="J309" s="3">
        <f t="shared" si="13"/>
        <v>0.1</v>
      </c>
      <c r="K309" s="2">
        <f t="shared" si="14"/>
        <v>7.0190000000000001</v>
      </c>
    </row>
    <row r="310" spans="1:11" x14ac:dyDescent="0.3">
      <c r="A310" t="s">
        <v>1205</v>
      </c>
      <c r="B310" t="s">
        <v>698</v>
      </c>
      <c r="C310">
        <v>47</v>
      </c>
      <c r="D310" t="s">
        <v>894</v>
      </c>
      <c r="E310">
        <v>0.82</v>
      </c>
      <c r="F310" s="2">
        <v>55.88</v>
      </c>
      <c r="G310">
        <v>3</v>
      </c>
      <c r="H310">
        <v>4</v>
      </c>
      <c r="I310" t="str">
        <f t="shared" si="12"/>
        <v>B2B</v>
      </c>
      <c r="J310" s="3">
        <f t="shared" si="13"/>
        <v>0.45</v>
      </c>
      <c r="K310" s="2">
        <f t="shared" si="14"/>
        <v>25.146000000000001</v>
      </c>
    </row>
    <row r="311" spans="1:11" x14ac:dyDescent="0.3">
      <c r="A311" t="s">
        <v>1206</v>
      </c>
      <c r="B311" t="s">
        <v>713</v>
      </c>
      <c r="C311">
        <v>103</v>
      </c>
      <c r="D311" t="s">
        <v>901</v>
      </c>
      <c r="E311">
        <v>3.03</v>
      </c>
      <c r="F311" s="2">
        <v>12.07</v>
      </c>
      <c r="G311">
        <v>5</v>
      </c>
      <c r="H311">
        <v>9</v>
      </c>
      <c r="I311" t="str">
        <f t="shared" si="12"/>
        <v>B2B</v>
      </c>
      <c r="J311" s="3">
        <f t="shared" si="13"/>
        <v>0.1</v>
      </c>
      <c r="K311" s="2">
        <f t="shared" si="14"/>
        <v>1.2070000000000001</v>
      </c>
    </row>
    <row r="312" spans="1:11" x14ac:dyDescent="0.3">
      <c r="A312" t="s">
        <v>1207</v>
      </c>
      <c r="B312" t="s">
        <v>700</v>
      </c>
      <c r="C312">
        <v>87</v>
      </c>
      <c r="D312" t="s">
        <v>901</v>
      </c>
      <c r="E312">
        <v>8.3000000000000007</v>
      </c>
      <c r="F312" s="2">
        <v>61.57</v>
      </c>
      <c r="G312">
        <v>0</v>
      </c>
      <c r="H312">
        <v>7</v>
      </c>
      <c r="I312" t="str">
        <f t="shared" si="12"/>
        <v>B2B</v>
      </c>
      <c r="J312" s="3">
        <f t="shared" si="13"/>
        <v>0.45</v>
      </c>
      <c r="K312" s="2">
        <f t="shared" si="14"/>
        <v>27.706500000000002</v>
      </c>
    </row>
    <row r="313" spans="1:11" x14ac:dyDescent="0.3">
      <c r="A313" t="s">
        <v>1208</v>
      </c>
      <c r="B313" t="s">
        <v>725</v>
      </c>
      <c r="C313">
        <v>120</v>
      </c>
      <c r="D313" t="s">
        <v>901</v>
      </c>
      <c r="E313">
        <v>4.03</v>
      </c>
      <c r="F313" s="2">
        <v>61.54</v>
      </c>
      <c r="G313">
        <v>1</v>
      </c>
      <c r="H313">
        <v>10</v>
      </c>
      <c r="I313" t="str">
        <f t="shared" si="12"/>
        <v>B2B</v>
      </c>
      <c r="J313" s="3">
        <f t="shared" si="13"/>
        <v>0.45</v>
      </c>
      <c r="K313" s="2">
        <f t="shared" si="14"/>
        <v>27.693000000000001</v>
      </c>
    </row>
    <row r="314" spans="1:11" x14ac:dyDescent="0.3">
      <c r="A314" t="s">
        <v>1209</v>
      </c>
      <c r="B314" t="s">
        <v>737</v>
      </c>
      <c r="C314">
        <v>102</v>
      </c>
      <c r="D314" t="s">
        <v>899</v>
      </c>
      <c r="E314">
        <v>1.52</v>
      </c>
      <c r="F314" s="2">
        <v>34.64</v>
      </c>
      <c r="G314">
        <v>2</v>
      </c>
      <c r="H314">
        <v>8</v>
      </c>
      <c r="I314" t="str">
        <f t="shared" si="12"/>
        <v>B2B</v>
      </c>
      <c r="J314" s="3">
        <f t="shared" si="13"/>
        <v>0.1</v>
      </c>
      <c r="K314" s="2">
        <f t="shared" si="14"/>
        <v>3.4640000000000004</v>
      </c>
    </row>
    <row r="315" spans="1:11" x14ac:dyDescent="0.3">
      <c r="A315" t="s">
        <v>1210</v>
      </c>
      <c r="B315" t="s">
        <v>687</v>
      </c>
      <c r="C315">
        <v>17</v>
      </c>
      <c r="D315" t="s">
        <v>901</v>
      </c>
      <c r="E315">
        <v>8.0500000000000007</v>
      </c>
      <c r="F315" s="2">
        <v>77.08</v>
      </c>
      <c r="G315">
        <v>0</v>
      </c>
      <c r="H315">
        <v>1</v>
      </c>
      <c r="I315" t="str">
        <f t="shared" si="12"/>
        <v>B2B</v>
      </c>
      <c r="J315" s="3">
        <f t="shared" si="13"/>
        <v>0.45</v>
      </c>
      <c r="K315" s="2">
        <f t="shared" si="14"/>
        <v>34.686</v>
      </c>
    </row>
    <row r="316" spans="1:11" x14ac:dyDescent="0.3">
      <c r="A316" t="s">
        <v>1211</v>
      </c>
      <c r="B316" t="s">
        <v>695</v>
      </c>
      <c r="C316">
        <v>67</v>
      </c>
      <c r="D316" t="s">
        <v>896</v>
      </c>
      <c r="E316">
        <v>0.43</v>
      </c>
      <c r="F316" s="2">
        <v>81.489999999999995</v>
      </c>
      <c r="G316">
        <v>4</v>
      </c>
      <c r="H316">
        <v>6</v>
      </c>
      <c r="I316" t="str">
        <f t="shared" si="12"/>
        <v>-</v>
      </c>
      <c r="J316" s="3">
        <f t="shared" si="13"/>
        <v>0</v>
      </c>
      <c r="K316" s="2">
        <f t="shared" si="14"/>
        <v>0</v>
      </c>
    </row>
    <row r="317" spans="1:11" x14ac:dyDescent="0.3">
      <c r="A317" t="s">
        <v>1212</v>
      </c>
      <c r="B317" t="s">
        <v>681</v>
      </c>
      <c r="C317">
        <v>85</v>
      </c>
      <c r="D317" t="s">
        <v>896</v>
      </c>
      <c r="E317">
        <v>1</v>
      </c>
      <c r="F317" s="2">
        <v>26.3</v>
      </c>
      <c r="G317">
        <v>2</v>
      </c>
      <c r="H317">
        <v>7</v>
      </c>
      <c r="I317" t="str">
        <f t="shared" si="12"/>
        <v>B2B</v>
      </c>
      <c r="J317" s="3">
        <f t="shared" si="13"/>
        <v>0.1</v>
      </c>
      <c r="K317" s="2">
        <f t="shared" si="14"/>
        <v>2.6300000000000003</v>
      </c>
    </row>
    <row r="318" spans="1:11" x14ac:dyDescent="0.3">
      <c r="A318" t="s">
        <v>1213</v>
      </c>
      <c r="B318" t="s">
        <v>718</v>
      </c>
      <c r="C318">
        <v>78</v>
      </c>
      <c r="D318" t="s">
        <v>894</v>
      </c>
      <c r="E318">
        <v>4.38</v>
      </c>
      <c r="F318" s="2">
        <v>53.58</v>
      </c>
      <c r="G318">
        <v>5</v>
      </c>
      <c r="H318">
        <v>6</v>
      </c>
      <c r="I318" t="str">
        <f t="shared" si="12"/>
        <v>B2B</v>
      </c>
      <c r="J318" s="3">
        <f t="shared" si="13"/>
        <v>0.45</v>
      </c>
      <c r="K318" s="2">
        <f t="shared" si="14"/>
        <v>24.111000000000001</v>
      </c>
    </row>
    <row r="319" spans="1:11" x14ac:dyDescent="0.3">
      <c r="A319" t="s">
        <v>1214</v>
      </c>
      <c r="B319" t="s">
        <v>718</v>
      </c>
      <c r="C319">
        <v>76</v>
      </c>
      <c r="D319" t="s">
        <v>901</v>
      </c>
      <c r="E319">
        <v>5.53</v>
      </c>
      <c r="F319" s="2">
        <v>68.010000000000005</v>
      </c>
      <c r="G319">
        <v>4</v>
      </c>
      <c r="H319">
        <v>6</v>
      </c>
      <c r="I319" t="str">
        <f t="shared" si="12"/>
        <v>B2B</v>
      </c>
      <c r="J319" s="3">
        <f t="shared" si="13"/>
        <v>0.45</v>
      </c>
      <c r="K319" s="2">
        <f t="shared" si="14"/>
        <v>30.604500000000002</v>
      </c>
    </row>
    <row r="320" spans="1:11" x14ac:dyDescent="0.3">
      <c r="A320" t="s">
        <v>1215</v>
      </c>
      <c r="B320" t="s">
        <v>718</v>
      </c>
      <c r="C320">
        <v>29</v>
      </c>
      <c r="D320" t="s">
        <v>899</v>
      </c>
      <c r="E320">
        <v>2.88</v>
      </c>
      <c r="F320" s="2">
        <v>49.03</v>
      </c>
      <c r="G320">
        <v>3</v>
      </c>
      <c r="H320">
        <v>2</v>
      </c>
      <c r="I320" t="str">
        <f t="shared" si="12"/>
        <v>B2B</v>
      </c>
      <c r="J320" s="3">
        <f t="shared" si="13"/>
        <v>0.1</v>
      </c>
      <c r="K320" s="2">
        <f t="shared" si="14"/>
        <v>4.9030000000000005</v>
      </c>
    </row>
    <row r="321" spans="1:11" x14ac:dyDescent="0.3">
      <c r="A321" t="s">
        <v>1216</v>
      </c>
      <c r="B321" t="s">
        <v>695</v>
      </c>
      <c r="C321">
        <v>14</v>
      </c>
      <c r="D321" t="s">
        <v>896</v>
      </c>
      <c r="E321">
        <v>5.05</v>
      </c>
      <c r="F321" s="2">
        <v>61.43</v>
      </c>
      <c r="G321">
        <v>1</v>
      </c>
      <c r="H321">
        <v>1</v>
      </c>
      <c r="I321" t="str">
        <f t="shared" si="12"/>
        <v>B2B</v>
      </c>
      <c r="J321" s="3">
        <f t="shared" si="13"/>
        <v>0.45</v>
      </c>
      <c r="K321" s="2">
        <f t="shared" si="14"/>
        <v>27.6435</v>
      </c>
    </row>
    <row r="322" spans="1:11" x14ac:dyDescent="0.3">
      <c r="A322" t="s">
        <v>1217</v>
      </c>
      <c r="B322" t="s">
        <v>737</v>
      </c>
      <c r="C322">
        <v>51</v>
      </c>
      <c r="D322" t="s">
        <v>894</v>
      </c>
      <c r="E322">
        <v>3.7</v>
      </c>
      <c r="F322" s="2">
        <v>18.95</v>
      </c>
      <c r="G322">
        <v>4</v>
      </c>
      <c r="H322">
        <v>4</v>
      </c>
      <c r="I322" t="str">
        <f t="shared" ref="I322:I385" si="15">IF(F322&lt;80,"B2B","-")</f>
        <v>B2B</v>
      </c>
      <c r="J322" s="3">
        <f t="shared" ref="J322:J385" si="16">IF(AND(E322&gt;12,H322&gt;5),70%,
IF(OR(AND(E322&gt;=4,E322&lt;=12),AND(H322&lt;5,ISNUMBER(SEARCH("Premium",D322)))),45%,
IF(I322="B2B",10%,0%)))</f>
        <v>0.45</v>
      </c>
      <c r="K322" s="2">
        <f t="shared" ref="K322:K385" si="17">F322*J322</f>
        <v>8.5274999999999999</v>
      </c>
    </row>
    <row r="323" spans="1:11" x14ac:dyDescent="0.3">
      <c r="A323" t="s">
        <v>1218</v>
      </c>
      <c r="B323" t="s">
        <v>737</v>
      </c>
      <c r="C323">
        <v>2</v>
      </c>
      <c r="D323" t="s">
        <v>896</v>
      </c>
      <c r="E323">
        <v>8.27</v>
      </c>
      <c r="F323" s="2">
        <v>15.71</v>
      </c>
      <c r="G323">
        <v>3</v>
      </c>
      <c r="H323">
        <v>0</v>
      </c>
      <c r="I323" t="str">
        <f t="shared" si="15"/>
        <v>B2B</v>
      </c>
      <c r="J323" s="3">
        <f t="shared" si="16"/>
        <v>0.45</v>
      </c>
      <c r="K323" s="2">
        <f t="shared" si="17"/>
        <v>7.0695000000000006</v>
      </c>
    </row>
    <row r="324" spans="1:11" x14ac:dyDescent="0.3">
      <c r="A324" t="s">
        <v>1219</v>
      </c>
      <c r="B324" t="s">
        <v>721</v>
      </c>
      <c r="C324">
        <v>69</v>
      </c>
      <c r="D324" t="s">
        <v>896</v>
      </c>
      <c r="E324">
        <v>1.27</v>
      </c>
      <c r="F324" s="2">
        <v>91.8</v>
      </c>
      <c r="G324">
        <v>5</v>
      </c>
      <c r="H324">
        <v>6</v>
      </c>
      <c r="I324" t="str">
        <f t="shared" si="15"/>
        <v>-</v>
      </c>
      <c r="J324" s="3">
        <f t="shared" si="16"/>
        <v>0</v>
      </c>
      <c r="K324" s="2">
        <f t="shared" si="17"/>
        <v>0</v>
      </c>
    </row>
    <row r="325" spans="1:11" x14ac:dyDescent="0.3">
      <c r="A325" t="s">
        <v>1220</v>
      </c>
      <c r="B325" t="s">
        <v>703</v>
      </c>
      <c r="C325">
        <v>110</v>
      </c>
      <c r="D325" t="s">
        <v>894</v>
      </c>
      <c r="E325">
        <v>5.35</v>
      </c>
      <c r="F325" s="2">
        <v>81.569999999999993</v>
      </c>
      <c r="G325">
        <v>2</v>
      </c>
      <c r="H325">
        <v>9</v>
      </c>
      <c r="I325" t="str">
        <f t="shared" si="15"/>
        <v>-</v>
      </c>
      <c r="J325" s="3">
        <f t="shared" si="16"/>
        <v>0.45</v>
      </c>
      <c r="K325" s="2">
        <f t="shared" si="17"/>
        <v>36.706499999999998</v>
      </c>
    </row>
    <row r="326" spans="1:11" x14ac:dyDescent="0.3">
      <c r="A326" t="s">
        <v>1221</v>
      </c>
      <c r="B326" t="s">
        <v>710</v>
      </c>
      <c r="C326">
        <v>59</v>
      </c>
      <c r="D326" t="s">
        <v>896</v>
      </c>
      <c r="E326">
        <v>6.15</v>
      </c>
      <c r="F326" s="2">
        <v>26.64</v>
      </c>
      <c r="G326">
        <v>4</v>
      </c>
      <c r="H326">
        <v>5</v>
      </c>
      <c r="I326" t="str">
        <f t="shared" si="15"/>
        <v>B2B</v>
      </c>
      <c r="J326" s="3">
        <f t="shared" si="16"/>
        <v>0.45</v>
      </c>
      <c r="K326" s="2">
        <f t="shared" si="17"/>
        <v>11.988000000000001</v>
      </c>
    </row>
    <row r="327" spans="1:11" x14ac:dyDescent="0.3">
      <c r="A327" t="s">
        <v>1222</v>
      </c>
      <c r="B327" t="s">
        <v>721</v>
      </c>
      <c r="C327">
        <v>41</v>
      </c>
      <c r="D327" t="s">
        <v>896</v>
      </c>
      <c r="E327">
        <v>3.43</v>
      </c>
      <c r="F327" s="2">
        <v>83.16</v>
      </c>
      <c r="G327">
        <v>2</v>
      </c>
      <c r="H327">
        <v>3</v>
      </c>
      <c r="I327" t="str">
        <f t="shared" si="15"/>
        <v>-</v>
      </c>
      <c r="J327" s="3">
        <f t="shared" si="16"/>
        <v>0</v>
      </c>
      <c r="K327" s="2">
        <f t="shared" si="17"/>
        <v>0</v>
      </c>
    </row>
    <row r="328" spans="1:11" x14ac:dyDescent="0.3">
      <c r="A328" t="s">
        <v>1223</v>
      </c>
      <c r="B328" t="s">
        <v>705</v>
      </c>
      <c r="C328">
        <v>19</v>
      </c>
      <c r="D328" t="s">
        <v>899</v>
      </c>
      <c r="E328">
        <v>2.08</v>
      </c>
      <c r="F328" s="2">
        <v>11.78</v>
      </c>
      <c r="G328">
        <v>4</v>
      </c>
      <c r="H328">
        <v>2</v>
      </c>
      <c r="I328" t="str">
        <f t="shared" si="15"/>
        <v>B2B</v>
      </c>
      <c r="J328" s="3">
        <f t="shared" si="16"/>
        <v>0.1</v>
      </c>
      <c r="K328" s="2">
        <f t="shared" si="17"/>
        <v>1.1779999999999999</v>
      </c>
    </row>
    <row r="329" spans="1:11" x14ac:dyDescent="0.3">
      <c r="A329" t="s">
        <v>1224</v>
      </c>
      <c r="B329" t="s">
        <v>705</v>
      </c>
      <c r="C329">
        <v>105</v>
      </c>
      <c r="D329" t="s">
        <v>894</v>
      </c>
      <c r="E329">
        <v>0.28000000000000003</v>
      </c>
      <c r="F329" s="2">
        <v>60.05</v>
      </c>
      <c r="G329">
        <v>4</v>
      </c>
      <c r="H329">
        <v>9</v>
      </c>
      <c r="I329" t="str">
        <f t="shared" si="15"/>
        <v>B2B</v>
      </c>
      <c r="J329" s="3">
        <f t="shared" si="16"/>
        <v>0.1</v>
      </c>
      <c r="K329" s="2">
        <f t="shared" si="17"/>
        <v>6.0049999999999999</v>
      </c>
    </row>
    <row r="330" spans="1:11" x14ac:dyDescent="0.3">
      <c r="A330" t="s">
        <v>1225</v>
      </c>
      <c r="B330" t="s">
        <v>701</v>
      </c>
      <c r="C330">
        <v>38</v>
      </c>
      <c r="D330" t="s">
        <v>894</v>
      </c>
      <c r="E330">
        <v>1</v>
      </c>
      <c r="F330" s="2">
        <v>58.28</v>
      </c>
      <c r="G330">
        <v>4</v>
      </c>
      <c r="H330">
        <v>3</v>
      </c>
      <c r="I330" t="str">
        <f t="shared" si="15"/>
        <v>B2B</v>
      </c>
      <c r="J330" s="3">
        <f t="shared" si="16"/>
        <v>0.45</v>
      </c>
      <c r="K330" s="2">
        <f t="shared" si="17"/>
        <v>26.226000000000003</v>
      </c>
    </row>
    <row r="331" spans="1:11" x14ac:dyDescent="0.3">
      <c r="A331" t="s">
        <v>1226</v>
      </c>
      <c r="B331" t="s">
        <v>678</v>
      </c>
      <c r="C331">
        <v>108</v>
      </c>
      <c r="D331" t="s">
        <v>901</v>
      </c>
      <c r="E331">
        <v>2.0499999999999998</v>
      </c>
      <c r="F331" s="2">
        <v>83.1</v>
      </c>
      <c r="G331">
        <v>1</v>
      </c>
      <c r="H331">
        <v>9</v>
      </c>
      <c r="I331" t="str">
        <f t="shared" si="15"/>
        <v>-</v>
      </c>
      <c r="J331" s="3">
        <f t="shared" si="16"/>
        <v>0</v>
      </c>
      <c r="K331" s="2">
        <f t="shared" si="17"/>
        <v>0</v>
      </c>
    </row>
    <row r="332" spans="1:11" x14ac:dyDescent="0.3">
      <c r="A332" t="s">
        <v>1227</v>
      </c>
      <c r="B332" t="s">
        <v>736</v>
      </c>
      <c r="C332">
        <v>29</v>
      </c>
      <c r="D332" t="s">
        <v>896</v>
      </c>
      <c r="E332">
        <v>3.38</v>
      </c>
      <c r="F332" s="2">
        <v>53.97</v>
      </c>
      <c r="G332">
        <v>5</v>
      </c>
      <c r="H332">
        <v>2</v>
      </c>
      <c r="I332" t="str">
        <f t="shared" si="15"/>
        <v>B2B</v>
      </c>
      <c r="J332" s="3">
        <f t="shared" si="16"/>
        <v>0.1</v>
      </c>
      <c r="K332" s="2">
        <f t="shared" si="17"/>
        <v>5.3970000000000002</v>
      </c>
    </row>
    <row r="333" spans="1:11" x14ac:dyDescent="0.3">
      <c r="A333" t="s">
        <v>1228</v>
      </c>
      <c r="B333" t="s">
        <v>725</v>
      </c>
      <c r="C333">
        <v>64</v>
      </c>
      <c r="D333" t="s">
        <v>899</v>
      </c>
      <c r="E333">
        <v>4.17</v>
      </c>
      <c r="F333" s="2">
        <v>56.7</v>
      </c>
      <c r="G333">
        <v>0</v>
      </c>
      <c r="H333">
        <v>5</v>
      </c>
      <c r="I333" t="str">
        <f t="shared" si="15"/>
        <v>B2B</v>
      </c>
      <c r="J333" s="3">
        <f t="shared" si="16"/>
        <v>0.45</v>
      </c>
      <c r="K333" s="2">
        <f t="shared" si="17"/>
        <v>25.515000000000001</v>
      </c>
    </row>
    <row r="334" spans="1:11" x14ac:dyDescent="0.3">
      <c r="A334" t="s">
        <v>1229</v>
      </c>
      <c r="B334" t="s">
        <v>678</v>
      </c>
      <c r="C334">
        <v>88</v>
      </c>
      <c r="D334" t="s">
        <v>901</v>
      </c>
      <c r="E334">
        <v>2.57</v>
      </c>
      <c r="F334" s="2">
        <v>62.62</v>
      </c>
      <c r="G334">
        <v>5</v>
      </c>
      <c r="H334">
        <v>7</v>
      </c>
      <c r="I334" t="str">
        <f t="shared" si="15"/>
        <v>B2B</v>
      </c>
      <c r="J334" s="3">
        <f t="shared" si="16"/>
        <v>0.1</v>
      </c>
      <c r="K334" s="2">
        <f t="shared" si="17"/>
        <v>6.2620000000000005</v>
      </c>
    </row>
    <row r="335" spans="1:11" x14ac:dyDescent="0.3">
      <c r="A335" t="s">
        <v>1230</v>
      </c>
      <c r="B335" t="s">
        <v>725</v>
      </c>
      <c r="C335">
        <v>59</v>
      </c>
      <c r="D335" t="s">
        <v>894</v>
      </c>
      <c r="E335">
        <v>5.87</v>
      </c>
      <c r="F335" s="2">
        <v>74.239999999999995</v>
      </c>
      <c r="G335">
        <v>0</v>
      </c>
      <c r="H335">
        <v>5</v>
      </c>
      <c r="I335" t="str">
        <f t="shared" si="15"/>
        <v>B2B</v>
      </c>
      <c r="J335" s="3">
        <f t="shared" si="16"/>
        <v>0.45</v>
      </c>
      <c r="K335" s="2">
        <f t="shared" si="17"/>
        <v>33.408000000000001</v>
      </c>
    </row>
    <row r="336" spans="1:11" x14ac:dyDescent="0.3">
      <c r="A336" t="s">
        <v>1231</v>
      </c>
      <c r="B336" t="s">
        <v>687</v>
      </c>
      <c r="C336">
        <v>19</v>
      </c>
      <c r="D336" t="s">
        <v>899</v>
      </c>
      <c r="E336">
        <v>5.08</v>
      </c>
      <c r="F336" s="2">
        <v>81.11</v>
      </c>
      <c r="G336">
        <v>1</v>
      </c>
      <c r="H336">
        <v>2</v>
      </c>
      <c r="I336" t="str">
        <f t="shared" si="15"/>
        <v>-</v>
      </c>
      <c r="J336" s="3">
        <f t="shared" si="16"/>
        <v>0.45</v>
      </c>
      <c r="K336" s="2">
        <f t="shared" si="17"/>
        <v>36.499499999999998</v>
      </c>
    </row>
    <row r="337" spans="1:11" x14ac:dyDescent="0.3">
      <c r="A337" t="s">
        <v>1232</v>
      </c>
      <c r="B337" t="s">
        <v>718</v>
      </c>
      <c r="C337">
        <v>77</v>
      </c>
      <c r="D337" t="s">
        <v>894</v>
      </c>
      <c r="E337">
        <v>8.1300000000000008</v>
      </c>
      <c r="F337" s="2">
        <v>21.17</v>
      </c>
      <c r="G337">
        <v>0</v>
      </c>
      <c r="H337">
        <v>6</v>
      </c>
      <c r="I337" t="str">
        <f t="shared" si="15"/>
        <v>B2B</v>
      </c>
      <c r="J337" s="3">
        <f t="shared" si="16"/>
        <v>0.45</v>
      </c>
      <c r="K337" s="2">
        <f t="shared" si="17"/>
        <v>9.5265000000000004</v>
      </c>
    </row>
    <row r="338" spans="1:11" x14ac:dyDescent="0.3">
      <c r="A338" t="s">
        <v>1233</v>
      </c>
      <c r="B338" t="s">
        <v>698</v>
      </c>
      <c r="C338">
        <v>37</v>
      </c>
      <c r="D338" t="s">
        <v>896</v>
      </c>
      <c r="E338">
        <v>1.47</v>
      </c>
      <c r="F338" s="2">
        <v>77.77</v>
      </c>
      <c r="G338">
        <v>1</v>
      </c>
      <c r="H338">
        <v>3</v>
      </c>
      <c r="I338" t="str">
        <f t="shared" si="15"/>
        <v>B2B</v>
      </c>
      <c r="J338" s="3">
        <f t="shared" si="16"/>
        <v>0.1</v>
      </c>
      <c r="K338" s="2">
        <f t="shared" si="17"/>
        <v>7.7770000000000001</v>
      </c>
    </row>
    <row r="339" spans="1:11" x14ac:dyDescent="0.3">
      <c r="A339" t="s">
        <v>1234</v>
      </c>
      <c r="B339" t="s">
        <v>693</v>
      </c>
      <c r="C339">
        <v>19</v>
      </c>
      <c r="D339" t="s">
        <v>901</v>
      </c>
      <c r="E339">
        <v>5.57</v>
      </c>
      <c r="F339" s="2">
        <v>96.91</v>
      </c>
      <c r="G339">
        <v>1</v>
      </c>
      <c r="H339">
        <v>2</v>
      </c>
      <c r="I339" t="str">
        <f t="shared" si="15"/>
        <v>-</v>
      </c>
      <c r="J339" s="3">
        <f t="shared" si="16"/>
        <v>0.45</v>
      </c>
      <c r="K339" s="2">
        <f t="shared" si="17"/>
        <v>43.609499999999997</v>
      </c>
    </row>
    <row r="340" spans="1:11" x14ac:dyDescent="0.3">
      <c r="A340" t="s">
        <v>1235</v>
      </c>
      <c r="B340" t="s">
        <v>718</v>
      </c>
      <c r="C340">
        <v>96</v>
      </c>
      <c r="D340" t="s">
        <v>901</v>
      </c>
      <c r="E340">
        <v>6.35</v>
      </c>
      <c r="F340" s="2">
        <v>90.78</v>
      </c>
      <c r="G340">
        <v>2</v>
      </c>
      <c r="H340">
        <v>8</v>
      </c>
      <c r="I340" t="str">
        <f t="shared" si="15"/>
        <v>-</v>
      </c>
      <c r="J340" s="3">
        <f t="shared" si="16"/>
        <v>0.45</v>
      </c>
      <c r="K340" s="2">
        <f t="shared" si="17"/>
        <v>40.850999999999999</v>
      </c>
    </row>
    <row r="341" spans="1:11" x14ac:dyDescent="0.3">
      <c r="A341" t="s">
        <v>1236</v>
      </c>
      <c r="B341" t="s">
        <v>678</v>
      </c>
      <c r="C341">
        <v>86</v>
      </c>
      <c r="D341" t="s">
        <v>896</v>
      </c>
      <c r="E341">
        <v>3.2</v>
      </c>
      <c r="F341" s="2">
        <v>26.26</v>
      </c>
      <c r="G341">
        <v>1</v>
      </c>
      <c r="H341">
        <v>7</v>
      </c>
      <c r="I341" t="str">
        <f t="shared" si="15"/>
        <v>B2B</v>
      </c>
      <c r="J341" s="3">
        <f t="shared" si="16"/>
        <v>0.1</v>
      </c>
      <c r="K341" s="2">
        <f t="shared" si="17"/>
        <v>2.6260000000000003</v>
      </c>
    </row>
    <row r="342" spans="1:11" x14ac:dyDescent="0.3">
      <c r="A342" t="s">
        <v>1237</v>
      </c>
      <c r="B342" t="s">
        <v>698</v>
      </c>
      <c r="C342">
        <v>109</v>
      </c>
      <c r="D342" t="s">
        <v>896</v>
      </c>
      <c r="E342">
        <v>6.62</v>
      </c>
      <c r="F342" s="2">
        <v>63.92</v>
      </c>
      <c r="G342">
        <v>1</v>
      </c>
      <c r="H342">
        <v>9</v>
      </c>
      <c r="I342" t="str">
        <f t="shared" si="15"/>
        <v>B2B</v>
      </c>
      <c r="J342" s="3">
        <f t="shared" si="16"/>
        <v>0.45</v>
      </c>
      <c r="K342" s="2">
        <f t="shared" si="17"/>
        <v>28.764000000000003</v>
      </c>
    </row>
    <row r="343" spans="1:11" x14ac:dyDescent="0.3">
      <c r="A343" t="s">
        <v>1238</v>
      </c>
      <c r="B343" t="s">
        <v>699</v>
      </c>
      <c r="C343">
        <v>103</v>
      </c>
      <c r="D343" t="s">
        <v>894</v>
      </c>
      <c r="E343">
        <v>5.9</v>
      </c>
      <c r="F343" s="2">
        <v>26.19</v>
      </c>
      <c r="G343">
        <v>4</v>
      </c>
      <c r="H343">
        <v>9</v>
      </c>
      <c r="I343" t="str">
        <f t="shared" si="15"/>
        <v>B2B</v>
      </c>
      <c r="J343" s="3">
        <f t="shared" si="16"/>
        <v>0.45</v>
      </c>
      <c r="K343" s="2">
        <f t="shared" si="17"/>
        <v>11.785500000000001</v>
      </c>
    </row>
    <row r="344" spans="1:11" x14ac:dyDescent="0.3">
      <c r="A344" t="s">
        <v>1239</v>
      </c>
      <c r="B344" t="s">
        <v>715</v>
      </c>
      <c r="C344">
        <v>106</v>
      </c>
      <c r="D344" t="s">
        <v>901</v>
      </c>
      <c r="E344">
        <v>6.78</v>
      </c>
      <c r="F344" s="2">
        <v>59.92</v>
      </c>
      <c r="G344">
        <v>4</v>
      </c>
      <c r="H344">
        <v>9</v>
      </c>
      <c r="I344" t="str">
        <f t="shared" si="15"/>
        <v>B2B</v>
      </c>
      <c r="J344" s="3">
        <f t="shared" si="16"/>
        <v>0.45</v>
      </c>
      <c r="K344" s="2">
        <f t="shared" si="17"/>
        <v>26.964000000000002</v>
      </c>
    </row>
    <row r="345" spans="1:11" x14ac:dyDescent="0.3">
      <c r="A345" t="s">
        <v>1240</v>
      </c>
      <c r="B345" t="s">
        <v>687</v>
      </c>
      <c r="C345">
        <v>90</v>
      </c>
      <c r="D345" t="s">
        <v>901</v>
      </c>
      <c r="E345">
        <v>5.72</v>
      </c>
      <c r="F345" s="2">
        <v>82.05</v>
      </c>
      <c r="G345">
        <v>1</v>
      </c>
      <c r="H345">
        <v>8</v>
      </c>
      <c r="I345" t="str">
        <f t="shared" si="15"/>
        <v>-</v>
      </c>
      <c r="J345" s="3">
        <f t="shared" si="16"/>
        <v>0.45</v>
      </c>
      <c r="K345" s="2">
        <f t="shared" si="17"/>
        <v>36.922499999999999</v>
      </c>
    </row>
    <row r="346" spans="1:11" x14ac:dyDescent="0.3">
      <c r="A346" t="s">
        <v>1241</v>
      </c>
      <c r="B346" t="s">
        <v>695</v>
      </c>
      <c r="C346">
        <v>5</v>
      </c>
      <c r="D346" t="s">
        <v>901</v>
      </c>
      <c r="E346">
        <v>5.62</v>
      </c>
      <c r="F346" s="2">
        <v>21.07</v>
      </c>
      <c r="G346">
        <v>4</v>
      </c>
      <c r="H346">
        <v>0</v>
      </c>
      <c r="I346" t="str">
        <f t="shared" si="15"/>
        <v>B2B</v>
      </c>
      <c r="J346" s="3">
        <f t="shared" si="16"/>
        <v>0.45</v>
      </c>
      <c r="K346" s="2">
        <f t="shared" si="17"/>
        <v>9.4815000000000005</v>
      </c>
    </row>
    <row r="347" spans="1:11" x14ac:dyDescent="0.3">
      <c r="A347" t="s">
        <v>1242</v>
      </c>
      <c r="B347" t="s">
        <v>698</v>
      </c>
      <c r="C347">
        <v>77</v>
      </c>
      <c r="D347" t="s">
        <v>901</v>
      </c>
      <c r="E347">
        <v>0.75</v>
      </c>
      <c r="F347" s="2">
        <v>21.59</v>
      </c>
      <c r="G347">
        <v>2</v>
      </c>
      <c r="H347">
        <v>6</v>
      </c>
      <c r="I347" t="str">
        <f t="shared" si="15"/>
        <v>B2B</v>
      </c>
      <c r="J347" s="3">
        <f t="shared" si="16"/>
        <v>0.1</v>
      </c>
      <c r="K347" s="2">
        <f t="shared" si="17"/>
        <v>2.1590000000000003</v>
      </c>
    </row>
    <row r="348" spans="1:11" x14ac:dyDescent="0.3">
      <c r="A348" t="s">
        <v>1243</v>
      </c>
      <c r="B348" t="s">
        <v>718</v>
      </c>
      <c r="C348">
        <v>41</v>
      </c>
      <c r="D348" t="s">
        <v>899</v>
      </c>
      <c r="E348">
        <v>6.63</v>
      </c>
      <c r="F348" s="2">
        <v>28.56</v>
      </c>
      <c r="G348">
        <v>2</v>
      </c>
      <c r="H348">
        <v>3</v>
      </c>
      <c r="I348" t="str">
        <f t="shared" si="15"/>
        <v>B2B</v>
      </c>
      <c r="J348" s="3">
        <f t="shared" si="16"/>
        <v>0.45</v>
      </c>
      <c r="K348" s="2">
        <f t="shared" si="17"/>
        <v>12.852</v>
      </c>
    </row>
    <row r="349" spans="1:11" x14ac:dyDescent="0.3">
      <c r="A349" t="s">
        <v>1244</v>
      </c>
      <c r="B349" t="s">
        <v>689</v>
      </c>
      <c r="C349">
        <v>40</v>
      </c>
      <c r="D349" t="s">
        <v>894</v>
      </c>
      <c r="E349">
        <v>3.95</v>
      </c>
      <c r="F349" s="2">
        <v>24.51</v>
      </c>
      <c r="G349">
        <v>1</v>
      </c>
      <c r="H349">
        <v>3</v>
      </c>
      <c r="I349" t="str">
        <f t="shared" si="15"/>
        <v>B2B</v>
      </c>
      <c r="J349" s="3">
        <f t="shared" si="16"/>
        <v>0.45</v>
      </c>
      <c r="K349" s="2">
        <f t="shared" si="17"/>
        <v>11.029500000000001</v>
      </c>
    </row>
    <row r="350" spans="1:11" x14ac:dyDescent="0.3">
      <c r="A350" t="s">
        <v>1245</v>
      </c>
      <c r="B350" t="s">
        <v>736</v>
      </c>
      <c r="C350">
        <v>65</v>
      </c>
      <c r="D350" t="s">
        <v>899</v>
      </c>
      <c r="E350">
        <v>7.37</v>
      </c>
      <c r="F350" s="2">
        <v>60.62</v>
      </c>
      <c r="G350">
        <v>5</v>
      </c>
      <c r="H350">
        <v>5</v>
      </c>
      <c r="I350" t="str">
        <f t="shared" si="15"/>
        <v>B2B</v>
      </c>
      <c r="J350" s="3">
        <f t="shared" si="16"/>
        <v>0.45</v>
      </c>
      <c r="K350" s="2">
        <f t="shared" si="17"/>
        <v>27.279</v>
      </c>
    </row>
    <row r="351" spans="1:11" x14ac:dyDescent="0.3">
      <c r="A351" t="s">
        <v>1246</v>
      </c>
      <c r="B351" t="s">
        <v>724</v>
      </c>
      <c r="C351">
        <v>89</v>
      </c>
      <c r="D351" t="s">
        <v>901</v>
      </c>
      <c r="E351">
        <v>6.97</v>
      </c>
      <c r="F351" s="2">
        <v>86.63</v>
      </c>
      <c r="G351">
        <v>4</v>
      </c>
      <c r="H351">
        <v>7</v>
      </c>
      <c r="I351" t="str">
        <f t="shared" si="15"/>
        <v>-</v>
      </c>
      <c r="J351" s="3">
        <f t="shared" si="16"/>
        <v>0.45</v>
      </c>
      <c r="K351" s="2">
        <f t="shared" si="17"/>
        <v>38.983499999999999</v>
      </c>
    </row>
    <row r="352" spans="1:11" x14ac:dyDescent="0.3">
      <c r="A352" t="s">
        <v>1247</v>
      </c>
      <c r="B352" t="s">
        <v>701</v>
      </c>
      <c r="C352">
        <v>12</v>
      </c>
      <c r="D352" t="s">
        <v>896</v>
      </c>
      <c r="E352">
        <v>2.08</v>
      </c>
      <c r="F352" s="2">
        <v>36.93</v>
      </c>
      <c r="G352">
        <v>0</v>
      </c>
      <c r="H352">
        <v>1</v>
      </c>
      <c r="I352" t="str">
        <f t="shared" si="15"/>
        <v>B2B</v>
      </c>
      <c r="J352" s="3">
        <f t="shared" si="16"/>
        <v>0.1</v>
      </c>
      <c r="K352" s="2">
        <f t="shared" si="17"/>
        <v>3.6930000000000001</v>
      </c>
    </row>
    <row r="353" spans="1:11" x14ac:dyDescent="0.3">
      <c r="A353" t="s">
        <v>1248</v>
      </c>
      <c r="B353" t="s">
        <v>695</v>
      </c>
      <c r="C353">
        <v>47</v>
      </c>
      <c r="D353" t="s">
        <v>896</v>
      </c>
      <c r="E353">
        <v>6.3</v>
      </c>
      <c r="F353" s="2">
        <v>36.42</v>
      </c>
      <c r="G353">
        <v>1</v>
      </c>
      <c r="H353">
        <v>4</v>
      </c>
      <c r="I353" t="str">
        <f t="shared" si="15"/>
        <v>B2B</v>
      </c>
      <c r="J353" s="3">
        <f t="shared" si="16"/>
        <v>0.45</v>
      </c>
      <c r="K353" s="2">
        <f t="shared" si="17"/>
        <v>16.389000000000003</v>
      </c>
    </row>
    <row r="354" spans="1:11" x14ac:dyDescent="0.3">
      <c r="A354" t="s">
        <v>1249</v>
      </c>
      <c r="B354" t="s">
        <v>737</v>
      </c>
      <c r="C354">
        <v>117</v>
      </c>
      <c r="D354" t="s">
        <v>901</v>
      </c>
      <c r="E354">
        <v>5.63</v>
      </c>
      <c r="F354" s="2">
        <v>29.18</v>
      </c>
      <c r="G354">
        <v>5</v>
      </c>
      <c r="H354">
        <v>10</v>
      </c>
      <c r="I354" t="str">
        <f t="shared" si="15"/>
        <v>B2B</v>
      </c>
      <c r="J354" s="3">
        <f t="shared" si="16"/>
        <v>0.45</v>
      </c>
      <c r="K354" s="2">
        <f t="shared" si="17"/>
        <v>13.131</v>
      </c>
    </row>
    <row r="355" spans="1:11" x14ac:dyDescent="0.3">
      <c r="A355" t="s">
        <v>1250</v>
      </c>
      <c r="B355" t="s">
        <v>702</v>
      </c>
      <c r="C355">
        <v>43</v>
      </c>
      <c r="D355" t="s">
        <v>894</v>
      </c>
      <c r="E355">
        <v>8.1</v>
      </c>
      <c r="F355" s="2">
        <v>76.42</v>
      </c>
      <c r="G355">
        <v>1</v>
      </c>
      <c r="H355">
        <v>4</v>
      </c>
      <c r="I355" t="str">
        <f t="shared" si="15"/>
        <v>B2B</v>
      </c>
      <c r="J355" s="3">
        <f t="shared" si="16"/>
        <v>0.45</v>
      </c>
      <c r="K355" s="2">
        <f t="shared" si="17"/>
        <v>34.389000000000003</v>
      </c>
    </row>
    <row r="356" spans="1:11" x14ac:dyDescent="0.3">
      <c r="A356" t="s">
        <v>1251</v>
      </c>
      <c r="B356" t="s">
        <v>695</v>
      </c>
      <c r="C356">
        <v>100</v>
      </c>
      <c r="D356" t="s">
        <v>899</v>
      </c>
      <c r="E356">
        <v>7.85</v>
      </c>
      <c r="F356" s="2">
        <v>61.2</v>
      </c>
      <c r="G356">
        <v>3</v>
      </c>
      <c r="H356">
        <v>8</v>
      </c>
      <c r="I356" t="str">
        <f t="shared" si="15"/>
        <v>B2B</v>
      </c>
      <c r="J356" s="3">
        <f t="shared" si="16"/>
        <v>0.45</v>
      </c>
      <c r="K356" s="2">
        <f t="shared" si="17"/>
        <v>27.540000000000003</v>
      </c>
    </row>
    <row r="357" spans="1:11" x14ac:dyDescent="0.3">
      <c r="A357" t="s">
        <v>1252</v>
      </c>
      <c r="B357" t="s">
        <v>674</v>
      </c>
      <c r="C357">
        <v>35</v>
      </c>
      <c r="D357" t="s">
        <v>901</v>
      </c>
      <c r="E357">
        <v>7.02</v>
      </c>
      <c r="F357" s="2">
        <v>29.57</v>
      </c>
      <c r="G357">
        <v>5</v>
      </c>
      <c r="H357">
        <v>3</v>
      </c>
      <c r="I357" t="str">
        <f t="shared" si="15"/>
        <v>B2B</v>
      </c>
      <c r="J357" s="3">
        <f t="shared" si="16"/>
        <v>0.45</v>
      </c>
      <c r="K357" s="2">
        <f t="shared" si="17"/>
        <v>13.3065</v>
      </c>
    </row>
    <row r="358" spans="1:11" x14ac:dyDescent="0.3">
      <c r="A358" t="s">
        <v>1253</v>
      </c>
      <c r="B358" t="s">
        <v>725</v>
      </c>
      <c r="C358">
        <v>19</v>
      </c>
      <c r="D358" t="s">
        <v>901</v>
      </c>
      <c r="E358">
        <v>7.5</v>
      </c>
      <c r="F358" s="2">
        <v>37.43</v>
      </c>
      <c r="G358">
        <v>2</v>
      </c>
      <c r="H358">
        <v>2</v>
      </c>
      <c r="I358" t="str">
        <f t="shared" si="15"/>
        <v>B2B</v>
      </c>
      <c r="J358" s="3">
        <f t="shared" si="16"/>
        <v>0.45</v>
      </c>
      <c r="K358" s="2">
        <f t="shared" si="17"/>
        <v>16.843499999999999</v>
      </c>
    </row>
    <row r="359" spans="1:11" x14ac:dyDescent="0.3">
      <c r="A359" t="s">
        <v>1254</v>
      </c>
      <c r="B359" t="s">
        <v>701</v>
      </c>
      <c r="C359">
        <v>112</v>
      </c>
      <c r="D359" t="s">
        <v>901</v>
      </c>
      <c r="E359">
        <v>8.0500000000000007</v>
      </c>
      <c r="F359" s="2">
        <v>93.98</v>
      </c>
      <c r="G359">
        <v>0</v>
      </c>
      <c r="H359">
        <v>9</v>
      </c>
      <c r="I359" t="str">
        <f t="shared" si="15"/>
        <v>-</v>
      </c>
      <c r="J359" s="3">
        <f t="shared" si="16"/>
        <v>0.45</v>
      </c>
      <c r="K359" s="2">
        <f t="shared" si="17"/>
        <v>42.291000000000004</v>
      </c>
    </row>
    <row r="360" spans="1:11" x14ac:dyDescent="0.3">
      <c r="A360" t="s">
        <v>1255</v>
      </c>
      <c r="B360" t="s">
        <v>692</v>
      </c>
      <c r="C360">
        <v>103</v>
      </c>
      <c r="D360" t="s">
        <v>896</v>
      </c>
      <c r="E360">
        <v>4.5</v>
      </c>
      <c r="F360" s="2">
        <v>67.87</v>
      </c>
      <c r="G360">
        <v>3</v>
      </c>
      <c r="H360">
        <v>9</v>
      </c>
      <c r="I360" t="str">
        <f t="shared" si="15"/>
        <v>B2B</v>
      </c>
      <c r="J360" s="3">
        <f t="shared" si="16"/>
        <v>0.45</v>
      </c>
      <c r="K360" s="2">
        <f t="shared" si="17"/>
        <v>30.541500000000003</v>
      </c>
    </row>
    <row r="361" spans="1:11" x14ac:dyDescent="0.3">
      <c r="A361" t="s">
        <v>1256</v>
      </c>
      <c r="B361" t="s">
        <v>710</v>
      </c>
      <c r="C361">
        <v>29</v>
      </c>
      <c r="D361" t="s">
        <v>894</v>
      </c>
      <c r="E361">
        <v>5.83</v>
      </c>
      <c r="F361" s="2">
        <v>84.32</v>
      </c>
      <c r="G361">
        <v>3</v>
      </c>
      <c r="H361">
        <v>2</v>
      </c>
      <c r="I361" t="str">
        <f t="shared" si="15"/>
        <v>-</v>
      </c>
      <c r="J361" s="3">
        <f t="shared" si="16"/>
        <v>0.45</v>
      </c>
      <c r="K361" s="2">
        <f t="shared" si="17"/>
        <v>37.943999999999996</v>
      </c>
    </row>
    <row r="362" spans="1:11" x14ac:dyDescent="0.3">
      <c r="A362" t="s">
        <v>1257</v>
      </c>
      <c r="B362" t="s">
        <v>681</v>
      </c>
      <c r="C362">
        <v>36</v>
      </c>
      <c r="D362" t="s">
        <v>899</v>
      </c>
      <c r="E362">
        <v>5.18</v>
      </c>
      <c r="F362" s="2">
        <v>13.19</v>
      </c>
      <c r="G362">
        <v>4</v>
      </c>
      <c r="H362">
        <v>3</v>
      </c>
      <c r="I362" t="str">
        <f t="shared" si="15"/>
        <v>B2B</v>
      </c>
      <c r="J362" s="3">
        <f t="shared" si="16"/>
        <v>0.45</v>
      </c>
      <c r="K362" s="2">
        <f t="shared" si="17"/>
        <v>5.9355000000000002</v>
      </c>
    </row>
    <row r="363" spans="1:11" x14ac:dyDescent="0.3">
      <c r="A363" t="s">
        <v>1258</v>
      </c>
      <c r="B363" t="s">
        <v>715</v>
      </c>
      <c r="C363">
        <v>2</v>
      </c>
      <c r="D363" t="s">
        <v>894</v>
      </c>
      <c r="E363">
        <v>0.35</v>
      </c>
      <c r="F363" s="2">
        <v>51.68</v>
      </c>
      <c r="G363">
        <v>3</v>
      </c>
      <c r="H363">
        <v>0</v>
      </c>
      <c r="I363" t="str">
        <f t="shared" si="15"/>
        <v>B2B</v>
      </c>
      <c r="J363" s="3">
        <f t="shared" si="16"/>
        <v>0.45</v>
      </c>
      <c r="K363" s="2">
        <f t="shared" si="17"/>
        <v>23.256</v>
      </c>
    </row>
    <row r="364" spans="1:11" x14ac:dyDescent="0.3">
      <c r="A364" t="s">
        <v>1259</v>
      </c>
      <c r="B364" t="s">
        <v>703</v>
      </c>
      <c r="C364">
        <v>13</v>
      </c>
      <c r="D364" t="s">
        <v>901</v>
      </c>
      <c r="E364">
        <v>5.17</v>
      </c>
      <c r="F364" s="2">
        <v>65.599999999999994</v>
      </c>
      <c r="G364">
        <v>5</v>
      </c>
      <c r="H364">
        <v>1</v>
      </c>
      <c r="I364" t="str">
        <f t="shared" si="15"/>
        <v>B2B</v>
      </c>
      <c r="J364" s="3">
        <f t="shared" si="16"/>
        <v>0.45</v>
      </c>
      <c r="K364" s="2">
        <f t="shared" si="17"/>
        <v>29.52</v>
      </c>
    </row>
    <row r="365" spans="1:11" x14ac:dyDescent="0.3">
      <c r="A365" t="s">
        <v>1260</v>
      </c>
      <c r="B365" t="s">
        <v>693</v>
      </c>
      <c r="C365">
        <v>49</v>
      </c>
      <c r="D365" t="s">
        <v>896</v>
      </c>
      <c r="E365">
        <v>3.82</v>
      </c>
      <c r="F365" s="2">
        <v>53.94</v>
      </c>
      <c r="G365">
        <v>5</v>
      </c>
      <c r="H365">
        <v>4</v>
      </c>
      <c r="I365" t="str">
        <f t="shared" si="15"/>
        <v>B2B</v>
      </c>
      <c r="J365" s="3">
        <f t="shared" si="16"/>
        <v>0.1</v>
      </c>
      <c r="K365" s="2">
        <f t="shared" si="17"/>
        <v>5.3940000000000001</v>
      </c>
    </row>
    <row r="366" spans="1:11" x14ac:dyDescent="0.3">
      <c r="A366" t="s">
        <v>1261</v>
      </c>
      <c r="B366" t="s">
        <v>725</v>
      </c>
      <c r="C366">
        <v>29</v>
      </c>
      <c r="D366" t="s">
        <v>896</v>
      </c>
      <c r="E366">
        <v>8.2200000000000006</v>
      </c>
      <c r="F366" s="2">
        <v>42.02</v>
      </c>
      <c r="G366">
        <v>1</v>
      </c>
      <c r="H366">
        <v>2</v>
      </c>
      <c r="I366" t="str">
        <f t="shared" si="15"/>
        <v>B2B</v>
      </c>
      <c r="J366" s="3">
        <f t="shared" si="16"/>
        <v>0.45</v>
      </c>
      <c r="K366" s="2">
        <f t="shared" si="17"/>
        <v>18.909000000000002</v>
      </c>
    </row>
    <row r="367" spans="1:11" x14ac:dyDescent="0.3">
      <c r="A367" t="s">
        <v>1262</v>
      </c>
      <c r="B367" t="s">
        <v>737</v>
      </c>
      <c r="C367">
        <v>49</v>
      </c>
      <c r="D367" t="s">
        <v>901</v>
      </c>
      <c r="E367">
        <v>1.43</v>
      </c>
      <c r="F367" s="2">
        <v>65.400000000000006</v>
      </c>
      <c r="G367">
        <v>2</v>
      </c>
      <c r="H367">
        <v>4</v>
      </c>
      <c r="I367" t="str">
        <f t="shared" si="15"/>
        <v>B2B</v>
      </c>
      <c r="J367" s="3">
        <f t="shared" si="16"/>
        <v>0.1</v>
      </c>
      <c r="K367" s="2">
        <f t="shared" si="17"/>
        <v>6.5400000000000009</v>
      </c>
    </row>
    <row r="368" spans="1:11" x14ac:dyDescent="0.3">
      <c r="A368" t="s">
        <v>1263</v>
      </c>
      <c r="B368" t="s">
        <v>718</v>
      </c>
      <c r="C368">
        <v>14</v>
      </c>
      <c r="D368" t="s">
        <v>896</v>
      </c>
      <c r="E368">
        <v>5.75</v>
      </c>
      <c r="F368" s="2">
        <v>39.57</v>
      </c>
      <c r="G368">
        <v>3</v>
      </c>
      <c r="H368">
        <v>1</v>
      </c>
      <c r="I368" t="str">
        <f t="shared" si="15"/>
        <v>B2B</v>
      </c>
      <c r="J368" s="3">
        <f t="shared" si="16"/>
        <v>0.45</v>
      </c>
      <c r="K368" s="2">
        <f t="shared" si="17"/>
        <v>17.8065</v>
      </c>
    </row>
    <row r="369" spans="1:11" x14ac:dyDescent="0.3">
      <c r="A369" t="s">
        <v>1264</v>
      </c>
      <c r="B369" t="s">
        <v>701</v>
      </c>
      <c r="C369">
        <v>101</v>
      </c>
      <c r="D369" t="s">
        <v>894</v>
      </c>
      <c r="E369">
        <v>7.93</v>
      </c>
      <c r="F369" s="2">
        <v>41.85</v>
      </c>
      <c r="G369">
        <v>4</v>
      </c>
      <c r="H369">
        <v>8</v>
      </c>
      <c r="I369" t="str">
        <f t="shared" si="15"/>
        <v>B2B</v>
      </c>
      <c r="J369" s="3">
        <f t="shared" si="16"/>
        <v>0.45</v>
      </c>
      <c r="K369" s="2">
        <f t="shared" si="17"/>
        <v>18.8325</v>
      </c>
    </row>
    <row r="370" spans="1:11" x14ac:dyDescent="0.3">
      <c r="A370" t="s">
        <v>1265</v>
      </c>
      <c r="B370" t="s">
        <v>737</v>
      </c>
      <c r="C370">
        <v>119</v>
      </c>
      <c r="D370" t="s">
        <v>896</v>
      </c>
      <c r="E370">
        <v>7.52</v>
      </c>
      <c r="F370" s="2">
        <v>10.46</v>
      </c>
      <c r="G370">
        <v>5</v>
      </c>
      <c r="H370">
        <v>10</v>
      </c>
      <c r="I370" t="str">
        <f t="shared" si="15"/>
        <v>B2B</v>
      </c>
      <c r="J370" s="3">
        <f t="shared" si="16"/>
        <v>0.45</v>
      </c>
      <c r="K370" s="2">
        <f t="shared" si="17"/>
        <v>4.7070000000000007</v>
      </c>
    </row>
    <row r="371" spans="1:11" x14ac:dyDescent="0.3">
      <c r="A371" t="s">
        <v>1266</v>
      </c>
      <c r="B371" t="s">
        <v>681</v>
      </c>
      <c r="C371">
        <v>16</v>
      </c>
      <c r="D371" t="s">
        <v>894</v>
      </c>
      <c r="E371">
        <v>6.52</v>
      </c>
      <c r="F371" s="2">
        <v>90.12</v>
      </c>
      <c r="G371">
        <v>5</v>
      </c>
      <c r="H371">
        <v>1</v>
      </c>
      <c r="I371" t="str">
        <f t="shared" si="15"/>
        <v>-</v>
      </c>
      <c r="J371" s="3">
        <f t="shared" si="16"/>
        <v>0.45</v>
      </c>
      <c r="K371" s="2">
        <f t="shared" si="17"/>
        <v>40.554000000000002</v>
      </c>
    </row>
    <row r="372" spans="1:11" x14ac:dyDescent="0.3">
      <c r="A372" t="s">
        <v>1267</v>
      </c>
      <c r="B372" t="s">
        <v>737</v>
      </c>
      <c r="C372">
        <v>23</v>
      </c>
      <c r="D372" t="s">
        <v>894</v>
      </c>
      <c r="E372">
        <v>4.47</v>
      </c>
      <c r="F372" s="2">
        <v>26.75</v>
      </c>
      <c r="G372">
        <v>3</v>
      </c>
      <c r="H372">
        <v>2</v>
      </c>
      <c r="I372" t="str">
        <f t="shared" si="15"/>
        <v>B2B</v>
      </c>
      <c r="J372" s="3">
        <f t="shared" si="16"/>
        <v>0.45</v>
      </c>
      <c r="K372" s="2">
        <f t="shared" si="17"/>
        <v>12.0375</v>
      </c>
    </row>
    <row r="373" spans="1:11" x14ac:dyDescent="0.3">
      <c r="A373" t="s">
        <v>1268</v>
      </c>
      <c r="B373" t="s">
        <v>693</v>
      </c>
      <c r="C373">
        <v>68</v>
      </c>
      <c r="D373" t="s">
        <v>896</v>
      </c>
      <c r="E373">
        <v>7.7</v>
      </c>
      <c r="F373" s="2">
        <v>41.91</v>
      </c>
      <c r="G373">
        <v>1</v>
      </c>
      <c r="H373">
        <v>6</v>
      </c>
      <c r="I373" t="str">
        <f t="shared" si="15"/>
        <v>B2B</v>
      </c>
      <c r="J373" s="3">
        <f t="shared" si="16"/>
        <v>0.45</v>
      </c>
      <c r="K373" s="2">
        <f t="shared" si="17"/>
        <v>18.859500000000001</v>
      </c>
    </row>
    <row r="374" spans="1:11" x14ac:dyDescent="0.3">
      <c r="A374" t="s">
        <v>1269</v>
      </c>
      <c r="B374" t="s">
        <v>681</v>
      </c>
      <c r="C374">
        <v>94</v>
      </c>
      <c r="D374" t="s">
        <v>901</v>
      </c>
      <c r="E374">
        <v>1.92</v>
      </c>
      <c r="F374" s="2">
        <v>19.12</v>
      </c>
      <c r="G374">
        <v>0</v>
      </c>
      <c r="H374">
        <v>8</v>
      </c>
      <c r="I374" t="str">
        <f t="shared" si="15"/>
        <v>B2B</v>
      </c>
      <c r="J374" s="3">
        <f t="shared" si="16"/>
        <v>0.1</v>
      </c>
      <c r="K374" s="2">
        <f t="shared" si="17"/>
        <v>1.9120000000000001</v>
      </c>
    </row>
    <row r="375" spans="1:11" x14ac:dyDescent="0.3">
      <c r="A375" t="s">
        <v>1270</v>
      </c>
      <c r="B375" t="s">
        <v>699</v>
      </c>
      <c r="C375">
        <v>113</v>
      </c>
      <c r="D375" t="s">
        <v>894</v>
      </c>
      <c r="E375">
        <v>1.48</v>
      </c>
      <c r="F375" s="2">
        <v>54.28</v>
      </c>
      <c r="G375">
        <v>0</v>
      </c>
      <c r="H375">
        <v>9</v>
      </c>
      <c r="I375" t="str">
        <f t="shared" si="15"/>
        <v>B2B</v>
      </c>
      <c r="J375" s="3">
        <f t="shared" si="16"/>
        <v>0.1</v>
      </c>
      <c r="K375" s="2">
        <f t="shared" si="17"/>
        <v>5.4280000000000008</v>
      </c>
    </row>
    <row r="376" spans="1:11" x14ac:dyDescent="0.3">
      <c r="A376" t="s">
        <v>1271</v>
      </c>
      <c r="B376" t="s">
        <v>698</v>
      </c>
      <c r="C376">
        <v>40</v>
      </c>
      <c r="D376" t="s">
        <v>899</v>
      </c>
      <c r="E376">
        <v>0.63</v>
      </c>
      <c r="F376" s="2">
        <v>17.63</v>
      </c>
      <c r="G376">
        <v>0</v>
      </c>
      <c r="H376">
        <v>3</v>
      </c>
      <c r="I376" t="str">
        <f t="shared" si="15"/>
        <v>B2B</v>
      </c>
      <c r="J376" s="3">
        <f t="shared" si="16"/>
        <v>0.1</v>
      </c>
      <c r="K376" s="2">
        <f t="shared" si="17"/>
        <v>1.7629999999999999</v>
      </c>
    </row>
    <row r="377" spans="1:11" x14ac:dyDescent="0.3">
      <c r="A377" t="s">
        <v>1272</v>
      </c>
      <c r="B377" t="s">
        <v>692</v>
      </c>
      <c r="C377">
        <v>76</v>
      </c>
      <c r="D377" t="s">
        <v>894</v>
      </c>
      <c r="E377">
        <v>3.12</v>
      </c>
      <c r="F377" s="2">
        <v>56.29</v>
      </c>
      <c r="G377">
        <v>1</v>
      </c>
      <c r="H377">
        <v>6</v>
      </c>
      <c r="I377" t="str">
        <f t="shared" si="15"/>
        <v>B2B</v>
      </c>
      <c r="J377" s="3">
        <f t="shared" si="16"/>
        <v>0.1</v>
      </c>
      <c r="K377" s="2">
        <f t="shared" si="17"/>
        <v>5.6290000000000004</v>
      </c>
    </row>
    <row r="378" spans="1:11" x14ac:dyDescent="0.3">
      <c r="A378" t="s">
        <v>1273</v>
      </c>
      <c r="B378" t="s">
        <v>737</v>
      </c>
      <c r="C378">
        <v>106</v>
      </c>
      <c r="D378" t="s">
        <v>896</v>
      </c>
      <c r="E378">
        <v>7.15</v>
      </c>
      <c r="F378" s="2">
        <v>23.83</v>
      </c>
      <c r="G378">
        <v>1</v>
      </c>
      <c r="H378">
        <v>9</v>
      </c>
      <c r="I378" t="str">
        <f t="shared" si="15"/>
        <v>B2B</v>
      </c>
      <c r="J378" s="3">
        <f t="shared" si="16"/>
        <v>0.45</v>
      </c>
      <c r="K378" s="2">
        <f t="shared" si="17"/>
        <v>10.7235</v>
      </c>
    </row>
    <row r="379" spans="1:11" x14ac:dyDescent="0.3">
      <c r="A379" t="s">
        <v>1274</v>
      </c>
      <c r="B379" t="s">
        <v>684</v>
      </c>
      <c r="C379">
        <v>104</v>
      </c>
      <c r="D379" t="s">
        <v>894</v>
      </c>
      <c r="E379">
        <v>1.1299999999999999</v>
      </c>
      <c r="F379" s="2">
        <v>21.15</v>
      </c>
      <c r="G379">
        <v>2</v>
      </c>
      <c r="H379">
        <v>9</v>
      </c>
      <c r="I379" t="str">
        <f t="shared" si="15"/>
        <v>B2B</v>
      </c>
      <c r="J379" s="3">
        <f t="shared" si="16"/>
        <v>0.1</v>
      </c>
      <c r="K379" s="2">
        <f t="shared" si="17"/>
        <v>2.1149999999999998</v>
      </c>
    </row>
    <row r="380" spans="1:11" x14ac:dyDescent="0.3">
      <c r="A380" t="s">
        <v>1275</v>
      </c>
      <c r="B380" t="s">
        <v>700</v>
      </c>
      <c r="C380">
        <v>63</v>
      </c>
      <c r="D380" t="s">
        <v>899</v>
      </c>
      <c r="E380">
        <v>4.38</v>
      </c>
      <c r="F380" s="2">
        <v>53.87</v>
      </c>
      <c r="G380">
        <v>4</v>
      </c>
      <c r="H380">
        <v>5</v>
      </c>
      <c r="I380" t="str">
        <f t="shared" si="15"/>
        <v>B2B</v>
      </c>
      <c r="J380" s="3">
        <f t="shared" si="16"/>
        <v>0.45</v>
      </c>
      <c r="K380" s="2">
        <f t="shared" si="17"/>
        <v>24.241499999999998</v>
      </c>
    </row>
    <row r="381" spans="1:11" x14ac:dyDescent="0.3">
      <c r="A381" t="s">
        <v>1276</v>
      </c>
      <c r="B381" t="s">
        <v>702</v>
      </c>
      <c r="C381">
        <v>13</v>
      </c>
      <c r="D381" t="s">
        <v>899</v>
      </c>
      <c r="E381">
        <v>3</v>
      </c>
      <c r="F381" s="2">
        <v>24.01</v>
      </c>
      <c r="G381">
        <v>0</v>
      </c>
      <c r="H381">
        <v>1</v>
      </c>
      <c r="I381" t="str">
        <f t="shared" si="15"/>
        <v>B2B</v>
      </c>
      <c r="J381" s="3">
        <f t="shared" si="16"/>
        <v>0.1</v>
      </c>
      <c r="K381" s="2">
        <f t="shared" si="17"/>
        <v>2.4010000000000002</v>
      </c>
    </row>
    <row r="382" spans="1:11" x14ac:dyDescent="0.3">
      <c r="A382" t="s">
        <v>1277</v>
      </c>
      <c r="B382" t="s">
        <v>710</v>
      </c>
      <c r="C382">
        <v>68</v>
      </c>
      <c r="D382" t="s">
        <v>899</v>
      </c>
      <c r="E382">
        <v>8.1199999999999992</v>
      </c>
      <c r="F382" s="2">
        <v>69.099999999999994</v>
      </c>
      <c r="G382">
        <v>5</v>
      </c>
      <c r="H382">
        <v>6</v>
      </c>
      <c r="I382" t="str">
        <f t="shared" si="15"/>
        <v>B2B</v>
      </c>
      <c r="J382" s="3">
        <f t="shared" si="16"/>
        <v>0.45</v>
      </c>
      <c r="K382" s="2">
        <f t="shared" si="17"/>
        <v>31.094999999999999</v>
      </c>
    </row>
    <row r="383" spans="1:11" x14ac:dyDescent="0.3">
      <c r="A383" t="s">
        <v>1278</v>
      </c>
      <c r="B383" t="s">
        <v>715</v>
      </c>
      <c r="C383">
        <v>45</v>
      </c>
      <c r="D383" t="s">
        <v>901</v>
      </c>
      <c r="E383">
        <v>0.43</v>
      </c>
      <c r="F383" s="2">
        <v>30.35</v>
      </c>
      <c r="G383">
        <v>1</v>
      </c>
      <c r="H383">
        <v>4</v>
      </c>
      <c r="I383" t="str">
        <f t="shared" si="15"/>
        <v>B2B</v>
      </c>
      <c r="J383" s="3">
        <f t="shared" si="16"/>
        <v>0.1</v>
      </c>
      <c r="K383" s="2">
        <f t="shared" si="17"/>
        <v>3.0350000000000001</v>
      </c>
    </row>
    <row r="384" spans="1:11" x14ac:dyDescent="0.3">
      <c r="A384" t="s">
        <v>1279</v>
      </c>
      <c r="B384" t="s">
        <v>687</v>
      </c>
      <c r="C384">
        <v>90</v>
      </c>
      <c r="D384" t="s">
        <v>899</v>
      </c>
      <c r="E384">
        <v>3.6</v>
      </c>
      <c r="F384" s="2">
        <v>45.58</v>
      </c>
      <c r="G384">
        <v>0</v>
      </c>
      <c r="H384">
        <v>8</v>
      </c>
      <c r="I384" t="str">
        <f t="shared" si="15"/>
        <v>B2B</v>
      </c>
      <c r="J384" s="3">
        <f t="shared" si="16"/>
        <v>0.1</v>
      </c>
      <c r="K384" s="2">
        <f t="shared" si="17"/>
        <v>4.5579999999999998</v>
      </c>
    </row>
    <row r="385" spans="1:11" x14ac:dyDescent="0.3">
      <c r="A385" t="s">
        <v>1280</v>
      </c>
      <c r="B385" t="s">
        <v>721</v>
      </c>
      <c r="C385">
        <v>74</v>
      </c>
      <c r="D385" t="s">
        <v>901</v>
      </c>
      <c r="E385">
        <v>4.22</v>
      </c>
      <c r="F385" s="2">
        <v>36.94</v>
      </c>
      <c r="G385">
        <v>5</v>
      </c>
      <c r="H385">
        <v>6</v>
      </c>
      <c r="I385" t="str">
        <f t="shared" si="15"/>
        <v>B2B</v>
      </c>
      <c r="J385" s="3">
        <f t="shared" si="16"/>
        <v>0.45</v>
      </c>
      <c r="K385" s="2">
        <f t="shared" si="17"/>
        <v>16.623000000000001</v>
      </c>
    </row>
    <row r="386" spans="1:11" x14ac:dyDescent="0.3">
      <c r="A386" t="s">
        <v>1281</v>
      </c>
      <c r="B386" t="s">
        <v>710</v>
      </c>
      <c r="C386">
        <v>111</v>
      </c>
      <c r="D386" t="s">
        <v>899</v>
      </c>
      <c r="E386">
        <v>3.23</v>
      </c>
      <c r="F386" s="2">
        <v>48.55</v>
      </c>
      <c r="G386">
        <v>2</v>
      </c>
      <c r="H386">
        <v>9</v>
      </c>
      <c r="I386" t="str">
        <f t="shared" ref="I386:I449" si="18">IF(F386&lt;80,"B2B","-")</f>
        <v>B2B</v>
      </c>
      <c r="J386" s="3">
        <f t="shared" ref="J386:J449" si="19">IF(AND(E386&gt;12,H386&gt;5),70%,
IF(OR(AND(E386&gt;=4,E386&lt;=12),AND(H386&lt;5,ISNUMBER(SEARCH("Premium",D386)))),45%,
IF(I386="B2B",10%,0%)))</f>
        <v>0.1</v>
      </c>
      <c r="K386" s="2">
        <f t="shared" ref="K386:K449" si="20">F386*J386</f>
        <v>4.8550000000000004</v>
      </c>
    </row>
    <row r="387" spans="1:11" x14ac:dyDescent="0.3">
      <c r="A387" t="s">
        <v>1282</v>
      </c>
      <c r="B387" t="s">
        <v>695</v>
      </c>
      <c r="C387">
        <v>37</v>
      </c>
      <c r="D387" t="s">
        <v>899</v>
      </c>
      <c r="E387">
        <v>1.45</v>
      </c>
      <c r="F387" s="2">
        <v>26.4</v>
      </c>
      <c r="G387">
        <v>3</v>
      </c>
      <c r="H387">
        <v>3</v>
      </c>
      <c r="I387" t="str">
        <f t="shared" si="18"/>
        <v>B2B</v>
      </c>
      <c r="J387" s="3">
        <f t="shared" si="19"/>
        <v>0.1</v>
      </c>
      <c r="K387" s="2">
        <f t="shared" si="20"/>
        <v>2.64</v>
      </c>
    </row>
    <row r="388" spans="1:11" x14ac:dyDescent="0.3">
      <c r="A388" t="s">
        <v>1283</v>
      </c>
      <c r="B388" t="s">
        <v>689</v>
      </c>
      <c r="C388">
        <v>71</v>
      </c>
      <c r="D388" t="s">
        <v>894</v>
      </c>
      <c r="E388">
        <v>3.18</v>
      </c>
      <c r="F388" s="2">
        <v>83.04</v>
      </c>
      <c r="G388">
        <v>4</v>
      </c>
      <c r="H388">
        <v>6</v>
      </c>
      <c r="I388" t="str">
        <f t="shared" si="18"/>
        <v>-</v>
      </c>
      <c r="J388" s="3">
        <f t="shared" si="19"/>
        <v>0</v>
      </c>
      <c r="K388" s="2">
        <f t="shared" si="20"/>
        <v>0</v>
      </c>
    </row>
    <row r="389" spans="1:11" x14ac:dyDescent="0.3">
      <c r="A389" t="s">
        <v>1284</v>
      </c>
      <c r="B389" t="s">
        <v>700</v>
      </c>
      <c r="C389">
        <v>35</v>
      </c>
      <c r="D389" t="s">
        <v>896</v>
      </c>
      <c r="E389">
        <v>8.27</v>
      </c>
      <c r="F389" s="2">
        <v>19.78</v>
      </c>
      <c r="G389">
        <v>5</v>
      </c>
      <c r="H389">
        <v>3</v>
      </c>
      <c r="I389" t="str">
        <f t="shared" si="18"/>
        <v>B2B</v>
      </c>
      <c r="J389" s="3">
        <f t="shared" si="19"/>
        <v>0.45</v>
      </c>
      <c r="K389" s="2">
        <f t="shared" si="20"/>
        <v>8.9010000000000016</v>
      </c>
    </row>
    <row r="390" spans="1:11" x14ac:dyDescent="0.3">
      <c r="A390" t="s">
        <v>1285</v>
      </c>
      <c r="B390" t="s">
        <v>705</v>
      </c>
      <c r="C390">
        <v>78</v>
      </c>
      <c r="D390" t="s">
        <v>899</v>
      </c>
      <c r="E390">
        <v>0.95</v>
      </c>
      <c r="F390" s="2">
        <v>49.47</v>
      </c>
      <c r="G390">
        <v>0</v>
      </c>
      <c r="H390">
        <v>6</v>
      </c>
      <c r="I390" t="str">
        <f t="shared" si="18"/>
        <v>B2B</v>
      </c>
      <c r="J390" s="3">
        <f t="shared" si="19"/>
        <v>0.1</v>
      </c>
      <c r="K390" s="2">
        <f t="shared" si="20"/>
        <v>4.9470000000000001</v>
      </c>
    </row>
    <row r="391" spans="1:11" x14ac:dyDescent="0.3">
      <c r="A391" t="s">
        <v>1286</v>
      </c>
      <c r="B391" t="s">
        <v>725</v>
      </c>
      <c r="C391">
        <v>13</v>
      </c>
      <c r="D391" t="s">
        <v>896</v>
      </c>
      <c r="E391">
        <v>2.88</v>
      </c>
      <c r="F391" s="2">
        <v>85.54</v>
      </c>
      <c r="G391">
        <v>3</v>
      </c>
      <c r="H391">
        <v>1</v>
      </c>
      <c r="I391" t="str">
        <f t="shared" si="18"/>
        <v>-</v>
      </c>
      <c r="J391" s="3">
        <f t="shared" si="19"/>
        <v>0</v>
      </c>
      <c r="K391" s="2">
        <f t="shared" si="20"/>
        <v>0</v>
      </c>
    </row>
    <row r="392" spans="1:11" x14ac:dyDescent="0.3">
      <c r="A392" t="s">
        <v>1287</v>
      </c>
      <c r="B392" t="s">
        <v>701</v>
      </c>
      <c r="C392">
        <v>115</v>
      </c>
      <c r="D392" t="s">
        <v>901</v>
      </c>
      <c r="E392">
        <v>7.78</v>
      </c>
      <c r="F392" s="2">
        <v>24.57</v>
      </c>
      <c r="G392">
        <v>3</v>
      </c>
      <c r="H392">
        <v>10</v>
      </c>
      <c r="I392" t="str">
        <f t="shared" si="18"/>
        <v>B2B</v>
      </c>
      <c r="J392" s="3">
        <f t="shared" si="19"/>
        <v>0.45</v>
      </c>
      <c r="K392" s="2">
        <f t="shared" si="20"/>
        <v>11.0565</v>
      </c>
    </row>
    <row r="393" spans="1:11" x14ac:dyDescent="0.3">
      <c r="A393" t="s">
        <v>1288</v>
      </c>
      <c r="B393" t="s">
        <v>678</v>
      </c>
      <c r="C393">
        <v>7</v>
      </c>
      <c r="D393" t="s">
        <v>896</v>
      </c>
      <c r="E393">
        <v>5.78</v>
      </c>
      <c r="F393" s="2">
        <v>41.84</v>
      </c>
      <c r="G393">
        <v>2</v>
      </c>
      <c r="H393">
        <v>1</v>
      </c>
      <c r="I393" t="str">
        <f t="shared" si="18"/>
        <v>B2B</v>
      </c>
      <c r="J393" s="3">
        <f t="shared" si="19"/>
        <v>0.45</v>
      </c>
      <c r="K393" s="2">
        <f t="shared" si="20"/>
        <v>18.828000000000003</v>
      </c>
    </row>
    <row r="394" spans="1:11" x14ac:dyDescent="0.3">
      <c r="A394" t="s">
        <v>1289</v>
      </c>
      <c r="B394" t="s">
        <v>703</v>
      </c>
      <c r="C394">
        <v>22</v>
      </c>
      <c r="D394" t="s">
        <v>896</v>
      </c>
      <c r="E394">
        <v>2.12</v>
      </c>
      <c r="F394" s="2">
        <v>49.06</v>
      </c>
      <c r="G394">
        <v>2</v>
      </c>
      <c r="H394">
        <v>2</v>
      </c>
      <c r="I394" t="str">
        <f t="shared" si="18"/>
        <v>B2B</v>
      </c>
      <c r="J394" s="3">
        <f t="shared" si="19"/>
        <v>0.1</v>
      </c>
      <c r="K394" s="2">
        <f t="shared" si="20"/>
        <v>4.9060000000000006</v>
      </c>
    </row>
    <row r="395" spans="1:11" x14ac:dyDescent="0.3">
      <c r="A395" t="s">
        <v>1290</v>
      </c>
      <c r="B395" t="s">
        <v>678</v>
      </c>
      <c r="C395">
        <v>41</v>
      </c>
      <c r="D395" t="s">
        <v>899</v>
      </c>
      <c r="E395">
        <v>7.08</v>
      </c>
      <c r="F395" s="2">
        <v>42.33</v>
      </c>
      <c r="G395">
        <v>3</v>
      </c>
      <c r="H395">
        <v>3</v>
      </c>
      <c r="I395" t="str">
        <f t="shared" si="18"/>
        <v>B2B</v>
      </c>
      <c r="J395" s="3">
        <f t="shared" si="19"/>
        <v>0.45</v>
      </c>
      <c r="K395" s="2">
        <f t="shared" si="20"/>
        <v>19.048500000000001</v>
      </c>
    </row>
    <row r="396" spans="1:11" x14ac:dyDescent="0.3">
      <c r="A396" t="s">
        <v>1291</v>
      </c>
      <c r="B396" t="s">
        <v>692</v>
      </c>
      <c r="C396">
        <v>97</v>
      </c>
      <c r="D396" t="s">
        <v>896</v>
      </c>
      <c r="E396">
        <v>4.5999999999999996</v>
      </c>
      <c r="F396" s="2">
        <v>88.35</v>
      </c>
      <c r="G396">
        <v>0</v>
      </c>
      <c r="H396">
        <v>8</v>
      </c>
      <c r="I396" t="str">
        <f t="shared" si="18"/>
        <v>-</v>
      </c>
      <c r="J396" s="3">
        <f t="shared" si="19"/>
        <v>0.45</v>
      </c>
      <c r="K396" s="2">
        <f t="shared" si="20"/>
        <v>39.7575</v>
      </c>
    </row>
    <row r="397" spans="1:11" x14ac:dyDescent="0.3">
      <c r="A397" t="s">
        <v>1292</v>
      </c>
      <c r="B397" t="s">
        <v>703</v>
      </c>
      <c r="C397">
        <v>50</v>
      </c>
      <c r="D397" t="s">
        <v>899</v>
      </c>
      <c r="E397">
        <v>7.25</v>
      </c>
      <c r="F397" s="2">
        <v>27.86</v>
      </c>
      <c r="G397">
        <v>3</v>
      </c>
      <c r="H397">
        <v>4</v>
      </c>
      <c r="I397" t="str">
        <f t="shared" si="18"/>
        <v>B2B</v>
      </c>
      <c r="J397" s="3">
        <f t="shared" si="19"/>
        <v>0.45</v>
      </c>
      <c r="K397" s="2">
        <f t="shared" si="20"/>
        <v>12.537000000000001</v>
      </c>
    </row>
    <row r="398" spans="1:11" x14ac:dyDescent="0.3">
      <c r="A398" t="s">
        <v>1293</v>
      </c>
      <c r="B398" t="s">
        <v>710</v>
      </c>
      <c r="C398">
        <v>24</v>
      </c>
      <c r="D398" t="s">
        <v>901</v>
      </c>
      <c r="E398">
        <v>6.53</v>
      </c>
      <c r="F398" s="2">
        <v>27.06</v>
      </c>
      <c r="G398">
        <v>1</v>
      </c>
      <c r="H398">
        <v>2</v>
      </c>
      <c r="I398" t="str">
        <f t="shared" si="18"/>
        <v>B2B</v>
      </c>
      <c r="J398" s="3">
        <f t="shared" si="19"/>
        <v>0.45</v>
      </c>
      <c r="K398" s="2">
        <f t="shared" si="20"/>
        <v>12.177</v>
      </c>
    </row>
    <row r="399" spans="1:11" x14ac:dyDescent="0.3">
      <c r="A399" t="s">
        <v>1294</v>
      </c>
      <c r="B399" t="s">
        <v>725</v>
      </c>
      <c r="C399">
        <v>45</v>
      </c>
      <c r="D399" t="s">
        <v>899</v>
      </c>
      <c r="E399">
        <v>7.32</v>
      </c>
      <c r="F399" s="2">
        <v>13.62</v>
      </c>
      <c r="G399">
        <v>4</v>
      </c>
      <c r="H399">
        <v>4</v>
      </c>
      <c r="I399" t="str">
        <f t="shared" si="18"/>
        <v>B2B</v>
      </c>
      <c r="J399" s="3">
        <f t="shared" si="19"/>
        <v>0.45</v>
      </c>
      <c r="K399" s="2">
        <f t="shared" si="20"/>
        <v>6.1289999999999996</v>
      </c>
    </row>
    <row r="400" spans="1:11" x14ac:dyDescent="0.3">
      <c r="A400" t="s">
        <v>1295</v>
      </c>
      <c r="B400" t="s">
        <v>687</v>
      </c>
      <c r="C400">
        <v>104</v>
      </c>
      <c r="D400" t="s">
        <v>896</v>
      </c>
      <c r="E400">
        <v>1</v>
      </c>
      <c r="F400" s="2">
        <v>45.51</v>
      </c>
      <c r="G400">
        <v>1</v>
      </c>
      <c r="H400">
        <v>9</v>
      </c>
      <c r="I400" t="str">
        <f t="shared" si="18"/>
        <v>B2B</v>
      </c>
      <c r="J400" s="3">
        <f t="shared" si="19"/>
        <v>0.1</v>
      </c>
      <c r="K400" s="2">
        <f t="shared" si="20"/>
        <v>4.5510000000000002</v>
      </c>
    </row>
    <row r="401" spans="1:11" x14ac:dyDescent="0.3">
      <c r="A401" t="s">
        <v>1296</v>
      </c>
      <c r="B401" t="s">
        <v>737</v>
      </c>
      <c r="C401">
        <v>95</v>
      </c>
      <c r="D401" t="s">
        <v>894</v>
      </c>
      <c r="E401">
        <v>2.4700000000000002</v>
      </c>
      <c r="F401" s="2">
        <v>76.95</v>
      </c>
      <c r="G401">
        <v>5</v>
      </c>
      <c r="H401">
        <v>8</v>
      </c>
      <c r="I401" t="str">
        <f t="shared" si="18"/>
        <v>B2B</v>
      </c>
      <c r="J401" s="3">
        <f t="shared" si="19"/>
        <v>0.1</v>
      </c>
      <c r="K401" s="2">
        <f t="shared" si="20"/>
        <v>7.6950000000000003</v>
      </c>
    </row>
    <row r="402" spans="1:11" x14ac:dyDescent="0.3">
      <c r="A402" t="s">
        <v>1297</v>
      </c>
      <c r="B402" t="s">
        <v>678</v>
      </c>
      <c r="C402">
        <v>83</v>
      </c>
      <c r="D402" t="s">
        <v>894</v>
      </c>
      <c r="E402">
        <v>1.75</v>
      </c>
      <c r="F402" s="2">
        <v>20.46</v>
      </c>
      <c r="G402">
        <v>1</v>
      </c>
      <c r="H402">
        <v>7</v>
      </c>
      <c r="I402" t="str">
        <f t="shared" si="18"/>
        <v>B2B</v>
      </c>
      <c r="J402" s="3">
        <f t="shared" si="19"/>
        <v>0.1</v>
      </c>
      <c r="K402" s="2">
        <f t="shared" si="20"/>
        <v>2.0460000000000003</v>
      </c>
    </row>
    <row r="403" spans="1:11" x14ac:dyDescent="0.3">
      <c r="A403" t="s">
        <v>1298</v>
      </c>
      <c r="B403" t="s">
        <v>701</v>
      </c>
      <c r="C403">
        <v>7</v>
      </c>
      <c r="D403" t="s">
        <v>901</v>
      </c>
      <c r="E403">
        <v>1.57</v>
      </c>
      <c r="F403" s="2">
        <v>68.38</v>
      </c>
      <c r="G403">
        <v>3</v>
      </c>
      <c r="H403">
        <v>1</v>
      </c>
      <c r="I403" t="str">
        <f t="shared" si="18"/>
        <v>B2B</v>
      </c>
      <c r="J403" s="3">
        <f t="shared" si="19"/>
        <v>0.1</v>
      </c>
      <c r="K403" s="2">
        <f t="shared" si="20"/>
        <v>6.8380000000000001</v>
      </c>
    </row>
    <row r="404" spans="1:11" x14ac:dyDescent="0.3">
      <c r="A404" t="s">
        <v>1299</v>
      </c>
      <c r="B404" t="s">
        <v>681</v>
      </c>
      <c r="C404">
        <v>39</v>
      </c>
      <c r="D404" t="s">
        <v>894</v>
      </c>
      <c r="E404">
        <v>0.02</v>
      </c>
      <c r="F404" s="2">
        <v>66.94</v>
      </c>
      <c r="G404">
        <v>5</v>
      </c>
      <c r="H404">
        <v>3</v>
      </c>
      <c r="I404" t="str">
        <f t="shared" si="18"/>
        <v>B2B</v>
      </c>
      <c r="J404" s="3">
        <f t="shared" si="19"/>
        <v>0.45</v>
      </c>
      <c r="K404" s="2">
        <f t="shared" si="20"/>
        <v>30.123000000000001</v>
      </c>
    </row>
    <row r="405" spans="1:11" x14ac:dyDescent="0.3">
      <c r="A405" t="s">
        <v>1300</v>
      </c>
      <c r="B405" t="s">
        <v>705</v>
      </c>
      <c r="C405">
        <v>15</v>
      </c>
      <c r="D405" t="s">
        <v>901</v>
      </c>
      <c r="E405">
        <v>1.35</v>
      </c>
      <c r="F405" s="2">
        <v>97.5</v>
      </c>
      <c r="G405">
        <v>4</v>
      </c>
      <c r="H405">
        <v>1</v>
      </c>
      <c r="I405" t="str">
        <f t="shared" si="18"/>
        <v>-</v>
      </c>
      <c r="J405" s="3">
        <f t="shared" si="19"/>
        <v>0</v>
      </c>
      <c r="K405" s="2">
        <f t="shared" si="20"/>
        <v>0</v>
      </c>
    </row>
    <row r="406" spans="1:11" x14ac:dyDescent="0.3">
      <c r="A406" t="s">
        <v>1301</v>
      </c>
      <c r="B406" t="s">
        <v>692</v>
      </c>
      <c r="C406">
        <v>35</v>
      </c>
      <c r="D406" t="s">
        <v>896</v>
      </c>
      <c r="E406">
        <v>4.87</v>
      </c>
      <c r="F406" s="2">
        <v>39.21</v>
      </c>
      <c r="G406">
        <v>1</v>
      </c>
      <c r="H406">
        <v>3</v>
      </c>
      <c r="I406" t="str">
        <f t="shared" si="18"/>
        <v>B2B</v>
      </c>
      <c r="J406" s="3">
        <f t="shared" si="19"/>
        <v>0.45</v>
      </c>
      <c r="K406" s="2">
        <f t="shared" si="20"/>
        <v>17.644500000000001</v>
      </c>
    </row>
    <row r="407" spans="1:11" x14ac:dyDescent="0.3">
      <c r="A407" t="s">
        <v>1302</v>
      </c>
      <c r="B407" t="s">
        <v>710</v>
      </c>
      <c r="C407">
        <v>47</v>
      </c>
      <c r="D407" t="s">
        <v>899</v>
      </c>
      <c r="E407">
        <v>1.85</v>
      </c>
      <c r="F407" s="2">
        <v>95.18</v>
      </c>
      <c r="G407">
        <v>0</v>
      </c>
      <c r="H407">
        <v>4</v>
      </c>
      <c r="I407" t="str">
        <f t="shared" si="18"/>
        <v>-</v>
      </c>
      <c r="J407" s="3">
        <f t="shared" si="19"/>
        <v>0</v>
      </c>
      <c r="K407" s="2">
        <f t="shared" si="20"/>
        <v>0</v>
      </c>
    </row>
    <row r="408" spans="1:11" x14ac:dyDescent="0.3">
      <c r="A408" t="s">
        <v>1303</v>
      </c>
      <c r="B408" t="s">
        <v>693</v>
      </c>
      <c r="C408">
        <v>36</v>
      </c>
      <c r="D408" t="s">
        <v>899</v>
      </c>
      <c r="E408">
        <v>5.05</v>
      </c>
      <c r="F408" s="2">
        <v>89.56</v>
      </c>
      <c r="G408">
        <v>1</v>
      </c>
      <c r="H408">
        <v>3</v>
      </c>
      <c r="I408" t="str">
        <f t="shared" si="18"/>
        <v>-</v>
      </c>
      <c r="J408" s="3">
        <f t="shared" si="19"/>
        <v>0.45</v>
      </c>
      <c r="K408" s="2">
        <f t="shared" si="20"/>
        <v>40.302</v>
      </c>
    </row>
    <row r="409" spans="1:11" x14ac:dyDescent="0.3">
      <c r="A409" t="s">
        <v>1304</v>
      </c>
      <c r="B409" t="s">
        <v>706</v>
      </c>
      <c r="C409">
        <v>45</v>
      </c>
      <c r="D409" t="s">
        <v>901</v>
      </c>
      <c r="E409">
        <v>5.93</v>
      </c>
      <c r="F409" s="2">
        <v>33.76</v>
      </c>
      <c r="G409">
        <v>0</v>
      </c>
      <c r="H409">
        <v>4</v>
      </c>
      <c r="I409" t="str">
        <f t="shared" si="18"/>
        <v>B2B</v>
      </c>
      <c r="J409" s="3">
        <f t="shared" si="19"/>
        <v>0.45</v>
      </c>
      <c r="K409" s="2">
        <f t="shared" si="20"/>
        <v>15.192</v>
      </c>
    </row>
    <row r="410" spans="1:11" x14ac:dyDescent="0.3">
      <c r="A410" t="s">
        <v>1305</v>
      </c>
      <c r="B410" t="s">
        <v>681</v>
      </c>
      <c r="C410">
        <v>92</v>
      </c>
      <c r="D410" t="s">
        <v>899</v>
      </c>
      <c r="E410">
        <v>7.0000000000000007E-2</v>
      </c>
      <c r="F410" s="2">
        <v>22.03</v>
      </c>
      <c r="G410">
        <v>3</v>
      </c>
      <c r="H410">
        <v>8</v>
      </c>
      <c r="I410" t="str">
        <f t="shared" si="18"/>
        <v>B2B</v>
      </c>
      <c r="J410" s="3">
        <f t="shared" si="19"/>
        <v>0.1</v>
      </c>
      <c r="K410" s="2">
        <f t="shared" si="20"/>
        <v>2.2030000000000003</v>
      </c>
    </row>
    <row r="411" spans="1:11" x14ac:dyDescent="0.3">
      <c r="A411" t="s">
        <v>1306</v>
      </c>
      <c r="B411" t="s">
        <v>721</v>
      </c>
      <c r="C411">
        <v>54</v>
      </c>
      <c r="D411" t="s">
        <v>899</v>
      </c>
      <c r="E411">
        <v>7.5</v>
      </c>
      <c r="F411" s="2">
        <v>90.85</v>
      </c>
      <c r="G411">
        <v>1</v>
      </c>
      <c r="H411">
        <v>4</v>
      </c>
      <c r="I411" t="str">
        <f t="shared" si="18"/>
        <v>-</v>
      </c>
      <c r="J411" s="3">
        <f t="shared" si="19"/>
        <v>0.45</v>
      </c>
      <c r="K411" s="2">
        <f t="shared" si="20"/>
        <v>40.8825</v>
      </c>
    </row>
    <row r="412" spans="1:11" x14ac:dyDescent="0.3">
      <c r="A412" t="s">
        <v>1307</v>
      </c>
      <c r="B412" t="s">
        <v>721</v>
      </c>
      <c r="C412">
        <v>32</v>
      </c>
      <c r="D412" t="s">
        <v>901</v>
      </c>
      <c r="E412">
        <v>7.92</v>
      </c>
      <c r="F412" s="2">
        <v>36.54</v>
      </c>
      <c r="G412">
        <v>3</v>
      </c>
      <c r="H412">
        <v>3</v>
      </c>
      <c r="I412" t="str">
        <f t="shared" si="18"/>
        <v>B2B</v>
      </c>
      <c r="J412" s="3">
        <f t="shared" si="19"/>
        <v>0.45</v>
      </c>
      <c r="K412" s="2">
        <f t="shared" si="20"/>
        <v>16.443000000000001</v>
      </c>
    </row>
    <row r="413" spans="1:11" x14ac:dyDescent="0.3">
      <c r="A413" t="s">
        <v>1308</v>
      </c>
      <c r="B413" t="s">
        <v>678</v>
      </c>
      <c r="C413">
        <v>41</v>
      </c>
      <c r="D413" t="s">
        <v>901</v>
      </c>
      <c r="E413">
        <v>6.73</v>
      </c>
      <c r="F413" s="2">
        <v>98.67</v>
      </c>
      <c r="G413">
        <v>5</v>
      </c>
      <c r="H413">
        <v>3</v>
      </c>
      <c r="I413" t="str">
        <f t="shared" si="18"/>
        <v>-</v>
      </c>
      <c r="J413" s="3">
        <f t="shared" si="19"/>
        <v>0.45</v>
      </c>
      <c r="K413" s="2">
        <f t="shared" si="20"/>
        <v>44.401499999999999</v>
      </c>
    </row>
    <row r="414" spans="1:11" x14ac:dyDescent="0.3">
      <c r="A414" t="s">
        <v>1309</v>
      </c>
      <c r="B414" t="s">
        <v>681</v>
      </c>
      <c r="C414">
        <v>115</v>
      </c>
      <c r="D414" t="s">
        <v>896</v>
      </c>
      <c r="E414">
        <v>4.37</v>
      </c>
      <c r="F414" s="2">
        <v>66.34</v>
      </c>
      <c r="G414">
        <v>3</v>
      </c>
      <c r="H414">
        <v>10</v>
      </c>
      <c r="I414" t="str">
        <f t="shared" si="18"/>
        <v>B2B</v>
      </c>
      <c r="J414" s="3">
        <f t="shared" si="19"/>
        <v>0.45</v>
      </c>
      <c r="K414" s="2">
        <f t="shared" si="20"/>
        <v>29.853000000000002</v>
      </c>
    </row>
    <row r="415" spans="1:11" x14ac:dyDescent="0.3">
      <c r="A415" t="s">
        <v>1310</v>
      </c>
      <c r="B415" t="s">
        <v>718</v>
      </c>
      <c r="C415">
        <v>7</v>
      </c>
      <c r="D415" t="s">
        <v>899</v>
      </c>
      <c r="E415">
        <v>3.88</v>
      </c>
      <c r="F415" s="2">
        <v>10.94</v>
      </c>
      <c r="G415">
        <v>0</v>
      </c>
      <c r="H415">
        <v>1</v>
      </c>
      <c r="I415" t="str">
        <f t="shared" si="18"/>
        <v>B2B</v>
      </c>
      <c r="J415" s="3">
        <f t="shared" si="19"/>
        <v>0.1</v>
      </c>
      <c r="K415" s="2">
        <f t="shared" si="20"/>
        <v>1.0940000000000001</v>
      </c>
    </row>
    <row r="416" spans="1:11" x14ac:dyDescent="0.3">
      <c r="A416" t="s">
        <v>1311</v>
      </c>
      <c r="B416" t="s">
        <v>684</v>
      </c>
      <c r="C416">
        <v>24</v>
      </c>
      <c r="D416" t="s">
        <v>899</v>
      </c>
      <c r="E416">
        <v>4.28</v>
      </c>
      <c r="F416" s="2">
        <v>41.99</v>
      </c>
      <c r="G416">
        <v>5</v>
      </c>
      <c r="H416">
        <v>2</v>
      </c>
      <c r="I416" t="str">
        <f t="shared" si="18"/>
        <v>B2B</v>
      </c>
      <c r="J416" s="3">
        <f t="shared" si="19"/>
        <v>0.45</v>
      </c>
      <c r="K416" s="2">
        <f t="shared" si="20"/>
        <v>18.895500000000002</v>
      </c>
    </row>
    <row r="417" spans="1:11" x14ac:dyDescent="0.3">
      <c r="A417" t="s">
        <v>1312</v>
      </c>
      <c r="B417" t="s">
        <v>700</v>
      </c>
      <c r="C417">
        <v>6</v>
      </c>
      <c r="D417" t="s">
        <v>894</v>
      </c>
      <c r="E417">
        <v>6.03</v>
      </c>
      <c r="F417" s="2">
        <v>75.739999999999995</v>
      </c>
      <c r="G417">
        <v>4</v>
      </c>
      <c r="H417">
        <v>0</v>
      </c>
      <c r="I417" t="str">
        <f t="shared" si="18"/>
        <v>B2B</v>
      </c>
      <c r="J417" s="3">
        <f t="shared" si="19"/>
        <v>0.45</v>
      </c>
      <c r="K417" s="2">
        <f t="shared" si="20"/>
        <v>34.082999999999998</v>
      </c>
    </row>
    <row r="418" spans="1:11" x14ac:dyDescent="0.3">
      <c r="A418" t="s">
        <v>1313</v>
      </c>
      <c r="B418" t="s">
        <v>702</v>
      </c>
      <c r="C418">
        <v>1</v>
      </c>
      <c r="D418" t="s">
        <v>894</v>
      </c>
      <c r="E418">
        <v>6.13</v>
      </c>
      <c r="F418" s="2">
        <v>35.17</v>
      </c>
      <c r="G418">
        <v>1</v>
      </c>
      <c r="H418">
        <v>0</v>
      </c>
      <c r="I418" t="str">
        <f t="shared" si="18"/>
        <v>B2B</v>
      </c>
      <c r="J418" s="3">
        <f t="shared" si="19"/>
        <v>0.45</v>
      </c>
      <c r="K418" s="2">
        <f t="shared" si="20"/>
        <v>15.826500000000001</v>
      </c>
    </row>
    <row r="419" spans="1:11" x14ac:dyDescent="0.3">
      <c r="A419" t="s">
        <v>1314</v>
      </c>
      <c r="B419" t="s">
        <v>693</v>
      </c>
      <c r="C419">
        <v>7</v>
      </c>
      <c r="D419" t="s">
        <v>896</v>
      </c>
      <c r="E419">
        <v>4.47</v>
      </c>
      <c r="F419" s="2">
        <v>33.04</v>
      </c>
      <c r="G419">
        <v>5</v>
      </c>
      <c r="H419">
        <v>1</v>
      </c>
      <c r="I419" t="str">
        <f t="shared" si="18"/>
        <v>B2B</v>
      </c>
      <c r="J419" s="3">
        <f t="shared" si="19"/>
        <v>0.45</v>
      </c>
      <c r="K419" s="2">
        <f t="shared" si="20"/>
        <v>14.868</v>
      </c>
    </row>
    <row r="420" spans="1:11" x14ac:dyDescent="0.3">
      <c r="A420" t="s">
        <v>1315</v>
      </c>
      <c r="B420" t="s">
        <v>698</v>
      </c>
      <c r="C420">
        <v>85</v>
      </c>
      <c r="D420" t="s">
        <v>901</v>
      </c>
      <c r="E420">
        <v>2.2000000000000002</v>
      </c>
      <c r="F420" s="2">
        <v>11.41</v>
      </c>
      <c r="G420">
        <v>0</v>
      </c>
      <c r="H420">
        <v>7</v>
      </c>
      <c r="I420" t="str">
        <f t="shared" si="18"/>
        <v>B2B</v>
      </c>
      <c r="J420" s="3">
        <f t="shared" si="19"/>
        <v>0.1</v>
      </c>
      <c r="K420" s="2">
        <f t="shared" si="20"/>
        <v>1.141</v>
      </c>
    </row>
    <row r="421" spans="1:11" x14ac:dyDescent="0.3">
      <c r="A421" t="s">
        <v>1316</v>
      </c>
      <c r="B421" t="s">
        <v>737</v>
      </c>
      <c r="C421">
        <v>96</v>
      </c>
      <c r="D421" t="s">
        <v>901</v>
      </c>
      <c r="E421">
        <v>2.58</v>
      </c>
      <c r="F421" s="2">
        <v>69.16</v>
      </c>
      <c r="G421">
        <v>4</v>
      </c>
      <c r="H421">
        <v>8</v>
      </c>
      <c r="I421" t="str">
        <f t="shared" si="18"/>
        <v>B2B</v>
      </c>
      <c r="J421" s="3">
        <f t="shared" si="19"/>
        <v>0.1</v>
      </c>
      <c r="K421" s="2">
        <f t="shared" si="20"/>
        <v>6.9160000000000004</v>
      </c>
    </row>
    <row r="422" spans="1:11" x14ac:dyDescent="0.3">
      <c r="A422" t="s">
        <v>1317</v>
      </c>
      <c r="B422" t="s">
        <v>737</v>
      </c>
      <c r="C422">
        <v>42</v>
      </c>
      <c r="D422" t="s">
        <v>899</v>
      </c>
      <c r="E422">
        <v>7.27</v>
      </c>
      <c r="F422" s="2">
        <v>88.12</v>
      </c>
      <c r="G422">
        <v>0</v>
      </c>
      <c r="H422">
        <v>4</v>
      </c>
      <c r="I422" t="str">
        <f t="shared" si="18"/>
        <v>-</v>
      </c>
      <c r="J422" s="3">
        <f t="shared" si="19"/>
        <v>0.45</v>
      </c>
      <c r="K422" s="2">
        <f t="shared" si="20"/>
        <v>39.654000000000003</v>
      </c>
    </row>
    <row r="423" spans="1:11" x14ac:dyDescent="0.3">
      <c r="A423" t="s">
        <v>1318</v>
      </c>
      <c r="B423" t="s">
        <v>715</v>
      </c>
      <c r="C423">
        <v>28</v>
      </c>
      <c r="D423" t="s">
        <v>901</v>
      </c>
      <c r="E423">
        <v>1.87</v>
      </c>
      <c r="F423" s="2">
        <v>94.51</v>
      </c>
      <c r="G423">
        <v>3</v>
      </c>
      <c r="H423">
        <v>2</v>
      </c>
      <c r="I423" t="str">
        <f t="shared" si="18"/>
        <v>-</v>
      </c>
      <c r="J423" s="3">
        <f t="shared" si="19"/>
        <v>0</v>
      </c>
      <c r="K423" s="2">
        <f t="shared" si="20"/>
        <v>0</v>
      </c>
    </row>
    <row r="424" spans="1:11" x14ac:dyDescent="0.3">
      <c r="A424" t="s">
        <v>1319</v>
      </c>
      <c r="B424" t="s">
        <v>705</v>
      </c>
      <c r="C424">
        <v>37</v>
      </c>
      <c r="D424" t="s">
        <v>901</v>
      </c>
      <c r="E424">
        <v>2.52</v>
      </c>
      <c r="F424" s="2">
        <v>62.49</v>
      </c>
      <c r="G424">
        <v>3</v>
      </c>
      <c r="H424">
        <v>3</v>
      </c>
      <c r="I424" t="str">
        <f t="shared" si="18"/>
        <v>B2B</v>
      </c>
      <c r="J424" s="3">
        <f t="shared" si="19"/>
        <v>0.1</v>
      </c>
      <c r="K424" s="2">
        <f t="shared" si="20"/>
        <v>6.2490000000000006</v>
      </c>
    </row>
    <row r="425" spans="1:11" x14ac:dyDescent="0.3">
      <c r="A425" t="s">
        <v>1320</v>
      </c>
      <c r="B425" t="s">
        <v>678</v>
      </c>
      <c r="C425">
        <v>61</v>
      </c>
      <c r="D425" t="s">
        <v>896</v>
      </c>
      <c r="E425">
        <v>6.03</v>
      </c>
      <c r="F425" s="2">
        <v>75.03</v>
      </c>
      <c r="G425">
        <v>0</v>
      </c>
      <c r="H425">
        <v>5</v>
      </c>
      <c r="I425" t="str">
        <f t="shared" si="18"/>
        <v>B2B</v>
      </c>
      <c r="J425" s="3">
        <f t="shared" si="19"/>
        <v>0.45</v>
      </c>
      <c r="K425" s="2">
        <f t="shared" si="20"/>
        <v>33.763500000000001</v>
      </c>
    </row>
    <row r="426" spans="1:11" x14ac:dyDescent="0.3">
      <c r="A426" t="s">
        <v>1321</v>
      </c>
      <c r="B426" t="s">
        <v>715</v>
      </c>
      <c r="C426">
        <v>36</v>
      </c>
      <c r="D426" t="s">
        <v>894</v>
      </c>
      <c r="E426">
        <v>2.2799999999999998</v>
      </c>
      <c r="F426" s="2">
        <v>71.930000000000007</v>
      </c>
      <c r="G426">
        <v>0</v>
      </c>
      <c r="H426">
        <v>3</v>
      </c>
      <c r="I426" t="str">
        <f t="shared" si="18"/>
        <v>B2B</v>
      </c>
      <c r="J426" s="3">
        <f t="shared" si="19"/>
        <v>0.45</v>
      </c>
      <c r="K426" s="2">
        <f t="shared" si="20"/>
        <v>32.368500000000004</v>
      </c>
    </row>
    <row r="427" spans="1:11" x14ac:dyDescent="0.3">
      <c r="A427" t="s">
        <v>1322</v>
      </c>
      <c r="B427" t="s">
        <v>695</v>
      </c>
      <c r="C427">
        <v>117</v>
      </c>
      <c r="D427" t="s">
        <v>894</v>
      </c>
      <c r="E427">
        <v>4.7</v>
      </c>
      <c r="F427" s="2">
        <v>95.11</v>
      </c>
      <c r="G427">
        <v>0</v>
      </c>
      <c r="H427">
        <v>10</v>
      </c>
      <c r="I427" t="str">
        <f t="shared" si="18"/>
        <v>-</v>
      </c>
      <c r="J427" s="3">
        <f t="shared" si="19"/>
        <v>0.45</v>
      </c>
      <c r="K427" s="2">
        <f t="shared" si="20"/>
        <v>42.799500000000002</v>
      </c>
    </row>
    <row r="428" spans="1:11" x14ac:dyDescent="0.3">
      <c r="A428" t="s">
        <v>1323</v>
      </c>
      <c r="B428" t="s">
        <v>724</v>
      </c>
      <c r="C428">
        <v>78</v>
      </c>
      <c r="D428" t="s">
        <v>894</v>
      </c>
      <c r="E428">
        <v>1</v>
      </c>
      <c r="F428" s="2">
        <v>33.159999999999997</v>
      </c>
      <c r="G428">
        <v>5</v>
      </c>
      <c r="H428">
        <v>6</v>
      </c>
      <c r="I428" t="str">
        <f t="shared" si="18"/>
        <v>B2B</v>
      </c>
      <c r="J428" s="3">
        <f t="shared" si="19"/>
        <v>0.1</v>
      </c>
      <c r="K428" s="2">
        <f t="shared" si="20"/>
        <v>3.3159999999999998</v>
      </c>
    </row>
    <row r="429" spans="1:11" x14ac:dyDescent="0.3">
      <c r="A429" t="s">
        <v>1324</v>
      </c>
      <c r="B429" t="s">
        <v>701</v>
      </c>
      <c r="C429">
        <v>13</v>
      </c>
      <c r="D429" t="s">
        <v>896</v>
      </c>
      <c r="E429">
        <v>1.45</v>
      </c>
      <c r="F429" s="2">
        <v>66.36</v>
      </c>
      <c r="G429">
        <v>0</v>
      </c>
      <c r="H429">
        <v>1</v>
      </c>
      <c r="I429" t="str">
        <f t="shared" si="18"/>
        <v>B2B</v>
      </c>
      <c r="J429" s="3">
        <f t="shared" si="19"/>
        <v>0.1</v>
      </c>
      <c r="K429" s="2">
        <f t="shared" si="20"/>
        <v>6.6360000000000001</v>
      </c>
    </row>
    <row r="430" spans="1:11" x14ac:dyDescent="0.3">
      <c r="A430" t="s">
        <v>1325</v>
      </c>
      <c r="B430" t="s">
        <v>693</v>
      </c>
      <c r="C430">
        <v>56</v>
      </c>
      <c r="D430" t="s">
        <v>899</v>
      </c>
      <c r="E430">
        <v>1.9</v>
      </c>
      <c r="F430" s="2">
        <v>64.39</v>
      </c>
      <c r="G430">
        <v>1</v>
      </c>
      <c r="H430">
        <v>5</v>
      </c>
      <c r="I430" t="str">
        <f t="shared" si="18"/>
        <v>B2B</v>
      </c>
      <c r="J430" s="3">
        <f t="shared" si="19"/>
        <v>0.1</v>
      </c>
      <c r="K430" s="2">
        <f t="shared" si="20"/>
        <v>6.4390000000000001</v>
      </c>
    </row>
    <row r="431" spans="1:11" x14ac:dyDescent="0.3">
      <c r="A431" t="s">
        <v>1326</v>
      </c>
      <c r="B431" t="s">
        <v>715</v>
      </c>
      <c r="C431">
        <v>24</v>
      </c>
      <c r="D431" t="s">
        <v>896</v>
      </c>
      <c r="E431">
        <v>0.38</v>
      </c>
      <c r="F431" s="2">
        <v>28.55</v>
      </c>
      <c r="G431">
        <v>1</v>
      </c>
      <c r="H431">
        <v>2</v>
      </c>
      <c r="I431" t="str">
        <f t="shared" si="18"/>
        <v>B2B</v>
      </c>
      <c r="J431" s="3">
        <f t="shared" si="19"/>
        <v>0.1</v>
      </c>
      <c r="K431" s="2">
        <f t="shared" si="20"/>
        <v>2.8550000000000004</v>
      </c>
    </row>
    <row r="432" spans="1:11" x14ac:dyDescent="0.3">
      <c r="A432" t="s">
        <v>1327</v>
      </c>
      <c r="B432" t="s">
        <v>710</v>
      </c>
      <c r="C432">
        <v>33</v>
      </c>
      <c r="D432" t="s">
        <v>899</v>
      </c>
      <c r="E432">
        <v>4.55</v>
      </c>
      <c r="F432" s="2">
        <v>49.8</v>
      </c>
      <c r="G432">
        <v>0</v>
      </c>
      <c r="H432">
        <v>3</v>
      </c>
      <c r="I432" t="str">
        <f t="shared" si="18"/>
        <v>B2B</v>
      </c>
      <c r="J432" s="3">
        <f t="shared" si="19"/>
        <v>0.45</v>
      </c>
      <c r="K432" s="2">
        <f t="shared" si="20"/>
        <v>22.41</v>
      </c>
    </row>
    <row r="433" spans="1:11" x14ac:dyDescent="0.3">
      <c r="A433" t="s">
        <v>1328</v>
      </c>
      <c r="B433" t="s">
        <v>689</v>
      </c>
      <c r="C433">
        <v>63</v>
      </c>
      <c r="D433" t="s">
        <v>896</v>
      </c>
      <c r="E433">
        <v>2.02</v>
      </c>
      <c r="F433" s="2">
        <v>39.18</v>
      </c>
      <c r="G433">
        <v>2</v>
      </c>
      <c r="H433">
        <v>5</v>
      </c>
      <c r="I433" t="str">
        <f t="shared" si="18"/>
        <v>B2B</v>
      </c>
      <c r="J433" s="3">
        <f t="shared" si="19"/>
        <v>0.1</v>
      </c>
      <c r="K433" s="2">
        <f t="shared" si="20"/>
        <v>3.9180000000000001</v>
      </c>
    </row>
    <row r="434" spans="1:11" x14ac:dyDescent="0.3">
      <c r="A434" t="s">
        <v>1329</v>
      </c>
      <c r="B434" t="s">
        <v>700</v>
      </c>
      <c r="C434">
        <v>47</v>
      </c>
      <c r="D434" t="s">
        <v>896</v>
      </c>
      <c r="E434">
        <v>2.48</v>
      </c>
      <c r="F434" s="2">
        <v>28.35</v>
      </c>
      <c r="G434">
        <v>1</v>
      </c>
      <c r="H434">
        <v>4</v>
      </c>
      <c r="I434" t="str">
        <f t="shared" si="18"/>
        <v>B2B</v>
      </c>
      <c r="J434" s="3">
        <f t="shared" si="19"/>
        <v>0.1</v>
      </c>
      <c r="K434" s="2">
        <f t="shared" si="20"/>
        <v>2.8350000000000004</v>
      </c>
    </row>
    <row r="435" spans="1:11" x14ac:dyDescent="0.3">
      <c r="A435" t="s">
        <v>1330</v>
      </c>
      <c r="B435" t="s">
        <v>693</v>
      </c>
      <c r="C435">
        <v>43</v>
      </c>
      <c r="D435" t="s">
        <v>899</v>
      </c>
      <c r="E435">
        <v>0.33</v>
      </c>
      <c r="F435" s="2">
        <v>66.680000000000007</v>
      </c>
      <c r="G435">
        <v>5</v>
      </c>
      <c r="H435">
        <v>4</v>
      </c>
      <c r="I435" t="str">
        <f t="shared" si="18"/>
        <v>B2B</v>
      </c>
      <c r="J435" s="3">
        <f t="shared" si="19"/>
        <v>0.1</v>
      </c>
      <c r="K435" s="2">
        <f t="shared" si="20"/>
        <v>6.668000000000001</v>
      </c>
    </row>
    <row r="436" spans="1:11" x14ac:dyDescent="0.3">
      <c r="A436" t="s">
        <v>1331</v>
      </c>
      <c r="B436" t="s">
        <v>725</v>
      </c>
      <c r="C436">
        <v>39</v>
      </c>
      <c r="D436" t="s">
        <v>901</v>
      </c>
      <c r="E436">
        <v>5.45</v>
      </c>
      <c r="F436" s="2">
        <v>87.24</v>
      </c>
      <c r="G436">
        <v>4</v>
      </c>
      <c r="H436">
        <v>3</v>
      </c>
      <c r="I436" t="str">
        <f t="shared" si="18"/>
        <v>-</v>
      </c>
      <c r="J436" s="3">
        <f t="shared" si="19"/>
        <v>0.45</v>
      </c>
      <c r="K436" s="2">
        <f t="shared" si="20"/>
        <v>39.257999999999996</v>
      </c>
    </row>
    <row r="437" spans="1:11" x14ac:dyDescent="0.3">
      <c r="A437" t="s">
        <v>1332</v>
      </c>
      <c r="B437" t="s">
        <v>724</v>
      </c>
      <c r="C437">
        <v>15</v>
      </c>
      <c r="D437" t="s">
        <v>894</v>
      </c>
      <c r="E437">
        <v>1.25</v>
      </c>
      <c r="F437" s="2">
        <v>45.59</v>
      </c>
      <c r="G437">
        <v>0</v>
      </c>
      <c r="H437">
        <v>1</v>
      </c>
      <c r="I437" t="str">
        <f t="shared" si="18"/>
        <v>B2B</v>
      </c>
      <c r="J437" s="3">
        <f t="shared" si="19"/>
        <v>0.45</v>
      </c>
      <c r="K437" s="2">
        <f t="shared" si="20"/>
        <v>20.515500000000003</v>
      </c>
    </row>
    <row r="438" spans="1:11" x14ac:dyDescent="0.3">
      <c r="A438" t="s">
        <v>1333</v>
      </c>
      <c r="B438" t="s">
        <v>695</v>
      </c>
      <c r="C438">
        <v>13</v>
      </c>
      <c r="D438" t="s">
        <v>901</v>
      </c>
      <c r="E438">
        <v>8.0299999999999994</v>
      </c>
      <c r="F438" s="2">
        <v>50.15</v>
      </c>
      <c r="G438">
        <v>0</v>
      </c>
      <c r="H438">
        <v>1</v>
      </c>
      <c r="I438" t="str">
        <f t="shared" si="18"/>
        <v>B2B</v>
      </c>
      <c r="J438" s="3">
        <f t="shared" si="19"/>
        <v>0.45</v>
      </c>
      <c r="K438" s="2">
        <f t="shared" si="20"/>
        <v>22.567499999999999</v>
      </c>
    </row>
    <row r="439" spans="1:11" x14ac:dyDescent="0.3">
      <c r="A439" t="s">
        <v>1334</v>
      </c>
      <c r="B439" t="s">
        <v>710</v>
      </c>
      <c r="C439">
        <v>86</v>
      </c>
      <c r="D439" t="s">
        <v>894</v>
      </c>
      <c r="E439">
        <v>7.53</v>
      </c>
      <c r="F439" s="2">
        <v>75.680000000000007</v>
      </c>
      <c r="G439">
        <v>0</v>
      </c>
      <c r="H439">
        <v>7</v>
      </c>
      <c r="I439" t="str">
        <f t="shared" si="18"/>
        <v>B2B</v>
      </c>
      <c r="J439" s="3">
        <f t="shared" si="19"/>
        <v>0.45</v>
      </c>
      <c r="K439" s="2">
        <f t="shared" si="20"/>
        <v>34.056000000000004</v>
      </c>
    </row>
    <row r="440" spans="1:11" x14ac:dyDescent="0.3">
      <c r="A440" t="s">
        <v>1335</v>
      </c>
      <c r="B440" t="s">
        <v>684</v>
      </c>
      <c r="C440">
        <v>2</v>
      </c>
      <c r="D440" t="s">
        <v>899</v>
      </c>
      <c r="E440">
        <v>2.37</v>
      </c>
      <c r="F440" s="2">
        <v>49.05</v>
      </c>
      <c r="G440">
        <v>4</v>
      </c>
      <c r="H440">
        <v>0</v>
      </c>
      <c r="I440" t="str">
        <f t="shared" si="18"/>
        <v>B2B</v>
      </c>
      <c r="J440" s="3">
        <f t="shared" si="19"/>
        <v>0.1</v>
      </c>
      <c r="K440" s="2">
        <f t="shared" si="20"/>
        <v>4.9050000000000002</v>
      </c>
    </row>
    <row r="441" spans="1:11" x14ac:dyDescent="0.3">
      <c r="A441" t="s">
        <v>1336</v>
      </c>
      <c r="B441" t="s">
        <v>736</v>
      </c>
      <c r="C441">
        <v>88</v>
      </c>
      <c r="D441" t="s">
        <v>899</v>
      </c>
      <c r="E441">
        <v>7.9</v>
      </c>
      <c r="F441" s="2">
        <v>23.35</v>
      </c>
      <c r="G441">
        <v>5</v>
      </c>
      <c r="H441">
        <v>7</v>
      </c>
      <c r="I441" t="str">
        <f t="shared" si="18"/>
        <v>B2B</v>
      </c>
      <c r="J441" s="3">
        <f t="shared" si="19"/>
        <v>0.45</v>
      </c>
      <c r="K441" s="2">
        <f t="shared" si="20"/>
        <v>10.5075</v>
      </c>
    </row>
    <row r="442" spans="1:11" x14ac:dyDescent="0.3">
      <c r="A442" t="s">
        <v>1337</v>
      </c>
      <c r="B442" t="s">
        <v>681</v>
      </c>
      <c r="C442">
        <v>71</v>
      </c>
      <c r="D442" t="s">
        <v>901</v>
      </c>
      <c r="E442">
        <v>1.1299999999999999</v>
      </c>
      <c r="F442" s="2">
        <v>53.11</v>
      </c>
      <c r="G442">
        <v>2</v>
      </c>
      <c r="H442">
        <v>6</v>
      </c>
      <c r="I442" t="str">
        <f t="shared" si="18"/>
        <v>B2B</v>
      </c>
      <c r="J442" s="3">
        <f t="shared" si="19"/>
        <v>0.1</v>
      </c>
      <c r="K442" s="2">
        <f t="shared" si="20"/>
        <v>5.3109999999999999</v>
      </c>
    </row>
    <row r="443" spans="1:11" x14ac:dyDescent="0.3">
      <c r="A443" t="s">
        <v>1338</v>
      </c>
      <c r="B443" t="s">
        <v>737</v>
      </c>
      <c r="C443">
        <v>99</v>
      </c>
      <c r="D443" t="s">
        <v>896</v>
      </c>
      <c r="E443">
        <v>2.2999999999999998</v>
      </c>
      <c r="F443" s="2">
        <v>54.64</v>
      </c>
      <c r="G443">
        <v>5</v>
      </c>
      <c r="H443">
        <v>8</v>
      </c>
      <c r="I443" t="str">
        <f t="shared" si="18"/>
        <v>B2B</v>
      </c>
      <c r="J443" s="3">
        <f t="shared" si="19"/>
        <v>0.1</v>
      </c>
      <c r="K443" s="2">
        <f t="shared" si="20"/>
        <v>5.4640000000000004</v>
      </c>
    </row>
    <row r="444" spans="1:11" x14ac:dyDescent="0.3">
      <c r="A444" t="s">
        <v>1339</v>
      </c>
      <c r="B444" t="s">
        <v>705</v>
      </c>
      <c r="C444">
        <v>111</v>
      </c>
      <c r="D444" t="s">
        <v>896</v>
      </c>
      <c r="E444">
        <v>7.45</v>
      </c>
      <c r="F444" s="2">
        <v>51.35</v>
      </c>
      <c r="G444">
        <v>0</v>
      </c>
      <c r="H444">
        <v>9</v>
      </c>
      <c r="I444" t="str">
        <f t="shared" si="18"/>
        <v>B2B</v>
      </c>
      <c r="J444" s="3">
        <f t="shared" si="19"/>
        <v>0.45</v>
      </c>
      <c r="K444" s="2">
        <f t="shared" si="20"/>
        <v>23.107500000000002</v>
      </c>
    </row>
    <row r="445" spans="1:11" x14ac:dyDescent="0.3">
      <c r="A445" t="s">
        <v>1340</v>
      </c>
      <c r="B445" t="s">
        <v>705</v>
      </c>
      <c r="C445">
        <v>17</v>
      </c>
      <c r="D445" t="s">
        <v>899</v>
      </c>
      <c r="E445">
        <v>6.73</v>
      </c>
      <c r="F445" s="2">
        <v>83.4</v>
      </c>
      <c r="G445">
        <v>1</v>
      </c>
      <c r="H445">
        <v>1</v>
      </c>
      <c r="I445" t="str">
        <f t="shared" si="18"/>
        <v>-</v>
      </c>
      <c r="J445" s="3">
        <f t="shared" si="19"/>
        <v>0.45</v>
      </c>
      <c r="K445" s="2">
        <f t="shared" si="20"/>
        <v>37.53</v>
      </c>
    </row>
    <row r="446" spans="1:11" x14ac:dyDescent="0.3">
      <c r="A446" t="s">
        <v>1341</v>
      </c>
      <c r="B446" t="s">
        <v>687</v>
      </c>
      <c r="C446">
        <v>43</v>
      </c>
      <c r="D446" t="s">
        <v>901</v>
      </c>
      <c r="E446">
        <v>0.43</v>
      </c>
      <c r="F446" s="2">
        <v>25.85</v>
      </c>
      <c r="G446">
        <v>1</v>
      </c>
      <c r="H446">
        <v>4</v>
      </c>
      <c r="I446" t="str">
        <f t="shared" si="18"/>
        <v>B2B</v>
      </c>
      <c r="J446" s="3">
        <f t="shared" si="19"/>
        <v>0.1</v>
      </c>
      <c r="K446" s="2">
        <f t="shared" si="20"/>
        <v>2.5850000000000004</v>
      </c>
    </row>
    <row r="447" spans="1:11" x14ac:dyDescent="0.3">
      <c r="A447" t="s">
        <v>1342</v>
      </c>
      <c r="B447" t="s">
        <v>710</v>
      </c>
      <c r="C447">
        <v>47</v>
      </c>
      <c r="D447" t="s">
        <v>896</v>
      </c>
      <c r="E447">
        <v>5.47</v>
      </c>
      <c r="F447" s="2">
        <v>61.27</v>
      </c>
      <c r="G447">
        <v>3</v>
      </c>
      <c r="H447">
        <v>4</v>
      </c>
      <c r="I447" t="str">
        <f t="shared" si="18"/>
        <v>B2B</v>
      </c>
      <c r="J447" s="3">
        <f t="shared" si="19"/>
        <v>0.45</v>
      </c>
      <c r="K447" s="2">
        <f t="shared" si="20"/>
        <v>27.5715</v>
      </c>
    </row>
    <row r="448" spans="1:11" x14ac:dyDescent="0.3">
      <c r="A448" t="s">
        <v>1343</v>
      </c>
      <c r="B448" t="s">
        <v>706</v>
      </c>
      <c r="C448">
        <v>95</v>
      </c>
      <c r="D448" t="s">
        <v>896</v>
      </c>
      <c r="E448">
        <v>2.12</v>
      </c>
      <c r="F448" s="2">
        <v>94.9</v>
      </c>
      <c r="G448">
        <v>4</v>
      </c>
      <c r="H448">
        <v>8</v>
      </c>
      <c r="I448" t="str">
        <f t="shared" si="18"/>
        <v>-</v>
      </c>
      <c r="J448" s="3">
        <f t="shared" si="19"/>
        <v>0</v>
      </c>
      <c r="K448" s="2">
        <f t="shared" si="20"/>
        <v>0</v>
      </c>
    </row>
    <row r="449" spans="1:11" x14ac:dyDescent="0.3">
      <c r="A449" t="s">
        <v>1344</v>
      </c>
      <c r="B449" t="s">
        <v>724</v>
      </c>
      <c r="C449">
        <v>104</v>
      </c>
      <c r="D449" t="s">
        <v>896</v>
      </c>
      <c r="E449">
        <v>7.02</v>
      </c>
      <c r="F449" s="2">
        <v>26.24</v>
      </c>
      <c r="G449">
        <v>3</v>
      </c>
      <c r="H449">
        <v>9</v>
      </c>
      <c r="I449" t="str">
        <f t="shared" si="18"/>
        <v>B2B</v>
      </c>
      <c r="J449" s="3">
        <f t="shared" si="19"/>
        <v>0.45</v>
      </c>
      <c r="K449" s="2">
        <f t="shared" si="20"/>
        <v>11.808</v>
      </c>
    </row>
    <row r="450" spans="1:11" x14ac:dyDescent="0.3">
      <c r="A450" t="s">
        <v>1345</v>
      </c>
      <c r="B450" t="s">
        <v>684</v>
      </c>
      <c r="C450">
        <v>47</v>
      </c>
      <c r="D450" t="s">
        <v>896</v>
      </c>
      <c r="E450">
        <v>1.78</v>
      </c>
      <c r="F450" s="2">
        <v>35.380000000000003</v>
      </c>
      <c r="G450">
        <v>1</v>
      </c>
      <c r="H450">
        <v>4</v>
      </c>
      <c r="I450" t="str">
        <f t="shared" ref="I450:I513" si="21">IF(F450&lt;80,"B2B","-")</f>
        <v>B2B</v>
      </c>
      <c r="J450" s="3">
        <f t="shared" ref="J450:J513" si="22">IF(AND(E450&gt;12,H450&gt;5),70%,
IF(OR(AND(E450&gt;=4,E450&lt;=12),AND(H450&lt;5,ISNUMBER(SEARCH("Premium",D450)))),45%,
IF(I450="B2B",10%,0%)))</f>
        <v>0.1</v>
      </c>
      <c r="K450" s="2">
        <f t="shared" ref="K450:K513" si="23">F450*J450</f>
        <v>3.5380000000000003</v>
      </c>
    </row>
    <row r="451" spans="1:11" x14ac:dyDescent="0.3">
      <c r="A451" t="s">
        <v>1346</v>
      </c>
      <c r="B451" t="s">
        <v>710</v>
      </c>
      <c r="C451">
        <v>96</v>
      </c>
      <c r="D451" t="s">
        <v>894</v>
      </c>
      <c r="E451">
        <v>4.55</v>
      </c>
      <c r="F451" s="2">
        <v>37.909999999999997</v>
      </c>
      <c r="G451">
        <v>2</v>
      </c>
      <c r="H451">
        <v>8</v>
      </c>
      <c r="I451" t="str">
        <f t="shared" si="21"/>
        <v>B2B</v>
      </c>
      <c r="J451" s="3">
        <f t="shared" si="22"/>
        <v>0.45</v>
      </c>
      <c r="K451" s="2">
        <f t="shared" si="23"/>
        <v>17.0595</v>
      </c>
    </row>
    <row r="452" spans="1:11" x14ac:dyDescent="0.3">
      <c r="A452" t="s">
        <v>1347</v>
      </c>
      <c r="B452" t="s">
        <v>703</v>
      </c>
      <c r="C452">
        <v>43</v>
      </c>
      <c r="D452" t="s">
        <v>894</v>
      </c>
      <c r="E452">
        <v>3.22</v>
      </c>
      <c r="F452" s="2">
        <v>35.81</v>
      </c>
      <c r="G452">
        <v>0</v>
      </c>
      <c r="H452">
        <v>4</v>
      </c>
      <c r="I452" t="str">
        <f t="shared" si="21"/>
        <v>B2B</v>
      </c>
      <c r="J452" s="3">
        <f t="shared" si="22"/>
        <v>0.45</v>
      </c>
      <c r="K452" s="2">
        <f t="shared" si="23"/>
        <v>16.114500000000003</v>
      </c>
    </row>
    <row r="453" spans="1:11" x14ac:dyDescent="0.3">
      <c r="A453" t="s">
        <v>1348</v>
      </c>
      <c r="B453" t="s">
        <v>681</v>
      </c>
      <c r="C453">
        <v>77</v>
      </c>
      <c r="D453" t="s">
        <v>901</v>
      </c>
      <c r="E453">
        <v>6.25</v>
      </c>
      <c r="F453" s="2">
        <v>24.03</v>
      </c>
      <c r="G453">
        <v>1</v>
      </c>
      <c r="H453">
        <v>6</v>
      </c>
      <c r="I453" t="str">
        <f t="shared" si="21"/>
        <v>B2B</v>
      </c>
      <c r="J453" s="3">
        <f t="shared" si="22"/>
        <v>0.45</v>
      </c>
      <c r="K453" s="2">
        <f t="shared" si="23"/>
        <v>10.813500000000001</v>
      </c>
    </row>
    <row r="454" spans="1:11" x14ac:dyDescent="0.3">
      <c r="A454" t="s">
        <v>1349</v>
      </c>
      <c r="B454" t="s">
        <v>701</v>
      </c>
      <c r="C454">
        <v>24</v>
      </c>
      <c r="D454" t="s">
        <v>899</v>
      </c>
      <c r="E454">
        <v>0.22</v>
      </c>
      <c r="F454" s="2">
        <v>89.3</v>
      </c>
      <c r="G454">
        <v>2</v>
      </c>
      <c r="H454">
        <v>2</v>
      </c>
      <c r="I454" t="str">
        <f t="shared" si="21"/>
        <v>-</v>
      </c>
      <c r="J454" s="3">
        <f t="shared" si="22"/>
        <v>0</v>
      </c>
      <c r="K454" s="2">
        <f t="shared" si="23"/>
        <v>0</v>
      </c>
    </row>
    <row r="455" spans="1:11" x14ac:dyDescent="0.3">
      <c r="A455" t="s">
        <v>1350</v>
      </c>
      <c r="B455" t="s">
        <v>737</v>
      </c>
      <c r="C455">
        <v>87</v>
      </c>
      <c r="D455" t="s">
        <v>894</v>
      </c>
      <c r="E455">
        <v>5.93</v>
      </c>
      <c r="F455" s="2">
        <v>12.89</v>
      </c>
      <c r="G455">
        <v>0</v>
      </c>
      <c r="H455">
        <v>7</v>
      </c>
      <c r="I455" t="str">
        <f t="shared" si="21"/>
        <v>B2B</v>
      </c>
      <c r="J455" s="3">
        <f t="shared" si="22"/>
        <v>0.45</v>
      </c>
      <c r="K455" s="2">
        <f t="shared" si="23"/>
        <v>5.8005000000000004</v>
      </c>
    </row>
    <row r="456" spans="1:11" x14ac:dyDescent="0.3">
      <c r="A456" t="s">
        <v>1351</v>
      </c>
      <c r="B456" t="s">
        <v>703</v>
      </c>
      <c r="C456">
        <v>55</v>
      </c>
      <c r="D456" t="s">
        <v>901</v>
      </c>
      <c r="E456">
        <v>8.23</v>
      </c>
      <c r="F456" s="2">
        <v>77.599999999999994</v>
      </c>
      <c r="G456">
        <v>4</v>
      </c>
      <c r="H456">
        <v>5</v>
      </c>
      <c r="I456" t="str">
        <f t="shared" si="21"/>
        <v>B2B</v>
      </c>
      <c r="J456" s="3">
        <f t="shared" si="22"/>
        <v>0.45</v>
      </c>
      <c r="K456" s="2">
        <f t="shared" si="23"/>
        <v>34.92</v>
      </c>
    </row>
    <row r="457" spans="1:11" x14ac:dyDescent="0.3">
      <c r="A457" t="s">
        <v>1352</v>
      </c>
      <c r="B457" t="s">
        <v>678</v>
      </c>
      <c r="C457">
        <v>20</v>
      </c>
      <c r="D457" t="s">
        <v>901</v>
      </c>
      <c r="E457">
        <v>3.62</v>
      </c>
      <c r="F457" s="2">
        <v>55.3</v>
      </c>
      <c r="G457">
        <v>4</v>
      </c>
      <c r="H457">
        <v>2</v>
      </c>
      <c r="I457" t="str">
        <f t="shared" si="21"/>
        <v>B2B</v>
      </c>
      <c r="J457" s="3">
        <f t="shared" si="22"/>
        <v>0.1</v>
      </c>
      <c r="K457" s="2">
        <f t="shared" si="23"/>
        <v>5.53</v>
      </c>
    </row>
    <row r="458" spans="1:11" x14ac:dyDescent="0.3">
      <c r="A458" t="s">
        <v>1353</v>
      </c>
      <c r="B458" t="s">
        <v>689</v>
      </c>
      <c r="C458">
        <v>115</v>
      </c>
      <c r="D458" t="s">
        <v>896</v>
      </c>
      <c r="E458">
        <v>3.17</v>
      </c>
      <c r="F458" s="2">
        <v>10.98</v>
      </c>
      <c r="G458">
        <v>0</v>
      </c>
      <c r="H458">
        <v>10</v>
      </c>
      <c r="I458" t="str">
        <f t="shared" si="21"/>
        <v>B2B</v>
      </c>
      <c r="J458" s="3">
        <f t="shared" si="22"/>
        <v>0.1</v>
      </c>
      <c r="K458" s="2">
        <f t="shared" si="23"/>
        <v>1.0980000000000001</v>
      </c>
    </row>
    <row r="459" spans="1:11" x14ac:dyDescent="0.3">
      <c r="A459" t="s">
        <v>1354</v>
      </c>
      <c r="B459" t="s">
        <v>724</v>
      </c>
      <c r="C459">
        <v>86</v>
      </c>
      <c r="D459" t="s">
        <v>894</v>
      </c>
      <c r="E459">
        <v>0.45</v>
      </c>
      <c r="F459" s="2">
        <v>84.94</v>
      </c>
      <c r="G459">
        <v>4</v>
      </c>
      <c r="H459">
        <v>7</v>
      </c>
      <c r="I459" t="str">
        <f t="shared" si="21"/>
        <v>-</v>
      </c>
      <c r="J459" s="3">
        <f t="shared" si="22"/>
        <v>0</v>
      </c>
      <c r="K459" s="2">
        <f t="shared" si="23"/>
        <v>0</v>
      </c>
    </row>
    <row r="460" spans="1:11" x14ac:dyDescent="0.3">
      <c r="A460" t="s">
        <v>1355</v>
      </c>
      <c r="B460" t="s">
        <v>678</v>
      </c>
      <c r="C460">
        <v>88</v>
      </c>
      <c r="D460" t="s">
        <v>894</v>
      </c>
      <c r="E460">
        <v>5.98</v>
      </c>
      <c r="F460" s="2">
        <v>71.19</v>
      </c>
      <c r="G460">
        <v>3</v>
      </c>
      <c r="H460">
        <v>7</v>
      </c>
      <c r="I460" t="str">
        <f t="shared" si="21"/>
        <v>B2B</v>
      </c>
      <c r="J460" s="3">
        <f t="shared" si="22"/>
        <v>0.45</v>
      </c>
      <c r="K460" s="2">
        <f t="shared" si="23"/>
        <v>32.035499999999999</v>
      </c>
    </row>
    <row r="461" spans="1:11" x14ac:dyDescent="0.3">
      <c r="A461" t="s">
        <v>1356</v>
      </c>
      <c r="B461" t="s">
        <v>703</v>
      </c>
      <c r="C461">
        <v>39</v>
      </c>
      <c r="D461" t="s">
        <v>896</v>
      </c>
      <c r="E461">
        <v>0.9</v>
      </c>
      <c r="F461" s="2">
        <v>88.84</v>
      </c>
      <c r="G461">
        <v>0</v>
      </c>
      <c r="H461">
        <v>3</v>
      </c>
      <c r="I461" t="str">
        <f t="shared" si="21"/>
        <v>-</v>
      </c>
      <c r="J461" s="3">
        <f t="shared" si="22"/>
        <v>0</v>
      </c>
      <c r="K461" s="2">
        <f t="shared" si="23"/>
        <v>0</v>
      </c>
    </row>
    <row r="462" spans="1:11" x14ac:dyDescent="0.3">
      <c r="A462" t="s">
        <v>1357</v>
      </c>
      <c r="B462" t="s">
        <v>736</v>
      </c>
      <c r="C462">
        <v>80</v>
      </c>
      <c r="D462" t="s">
        <v>896</v>
      </c>
      <c r="E462">
        <v>5.65</v>
      </c>
      <c r="F462" s="2">
        <v>59.87</v>
      </c>
      <c r="G462">
        <v>0</v>
      </c>
      <c r="H462">
        <v>7</v>
      </c>
      <c r="I462" t="str">
        <f t="shared" si="21"/>
        <v>B2B</v>
      </c>
      <c r="J462" s="3">
        <f t="shared" si="22"/>
        <v>0.45</v>
      </c>
      <c r="K462" s="2">
        <f t="shared" si="23"/>
        <v>26.941499999999998</v>
      </c>
    </row>
    <row r="463" spans="1:11" x14ac:dyDescent="0.3">
      <c r="A463" t="s">
        <v>1358</v>
      </c>
      <c r="B463" t="s">
        <v>678</v>
      </c>
      <c r="C463">
        <v>105</v>
      </c>
      <c r="D463" t="s">
        <v>896</v>
      </c>
      <c r="E463">
        <v>4.95</v>
      </c>
      <c r="F463" s="2">
        <v>84.66</v>
      </c>
      <c r="G463">
        <v>2</v>
      </c>
      <c r="H463">
        <v>9</v>
      </c>
      <c r="I463" t="str">
        <f t="shared" si="21"/>
        <v>-</v>
      </c>
      <c r="J463" s="3">
        <f t="shared" si="22"/>
        <v>0.45</v>
      </c>
      <c r="K463" s="2">
        <f t="shared" si="23"/>
        <v>38.097000000000001</v>
      </c>
    </row>
    <row r="464" spans="1:11" x14ac:dyDescent="0.3">
      <c r="A464" t="s">
        <v>1359</v>
      </c>
      <c r="B464" t="s">
        <v>684</v>
      </c>
      <c r="C464">
        <v>37</v>
      </c>
      <c r="D464" t="s">
        <v>896</v>
      </c>
      <c r="E464">
        <v>0.62</v>
      </c>
      <c r="F464" s="2">
        <v>92.72</v>
      </c>
      <c r="G464">
        <v>0</v>
      </c>
      <c r="H464">
        <v>3</v>
      </c>
      <c r="I464" t="str">
        <f t="shared" si="21"/>
        <v>-</v>
      </c>
      <c r="J464" s="3">
        <f t="shared" si="22"/>
        <v>0</v>
      </c>
      <c r="K464" s="2">
        <f t="shared" si="23"/>
        <v>0</v>
      </c>
    </row>
    <row r="465" spans="1:11" x14ac:dyDescent="0.3">
      <c r="A465" t="s">
        <v>1360</v>
      </c>
      <c r="B465" t="s">
        <v>710</v>
      </c>
      <c r="C465">
        <v>45</v>
      </c>
      <c r="D465" t="s">
        <v>894</v>
      </c>
      <c r="E465">
        <v>4.07</v>
      </c>
      <c r="F465" s="2">
        <v>55.17</v>
      </c>
      <c r="G465">
        <v>2</v>
      </c>
      <c r="H465">
        <v>4</v>
      </c>
      <c r="I465" t="str">
        <f t="shared" si="21"/>
        <v>B2B</v>
      </c>
      <c r="J465" s="3">
        <f t="shared" si="22"/>
        <v>0.45</v>
      </c>
      <c r="K465" s="2">
        <f t="shared" si="23"/>
        <v>24.826500000000003</v>
      </c>
    </row>
    <row r="466" spans="1:11" x14ac:dyDescent="0.3">
      <c r="A466" t="s">
        <v>1361</v>
      </c>
      <c r="B466" t="s">
        <v>715</v>
      </c>
      <c r="C466">
        <v>113</v>
      </c>
      <c r="D466" t="s">
        <v>901</v>
      </c>
      <c r="E466">
        <v>7.13</v>
      </c>
      <c r="F466" s="2">
        <v>73.84</v>
      </c>
      <c r="G466">
        <v>0</v>
      </c>
      <c r="H466">
        <v>9</v>
      </c>
      <c r="I466" t="str">
        <f t="shared" si="21"/>
        <v>B2B</v>
      </c>
      <c r="J466" s="3">
        <f t="shared" si="22"/>
        <v>0.45</v>
      </c>
      <c r="K466" s="2">
        <f t="shared" si="23"/>
        <v>33.228000000000002</v>
      </c>
    </row>
    <row r="467" spans="1:11" x14ac:dyDescent="0.3">
      <c r="A467" t="s">
        <v>1362</v>
      </c>
      <c r="B467" t="s">
        <v>689</v>
      </c>
      <c r="C467">
        <v>14</v>
      </c>
      <c r="D467" t="s">
        <v>901</v>
      </c>
      <c r="E467">
        <v>5.07</v>
      </c>
      <c r="F467" s="2">
        <v>48.13</v>
      </c>
      <c r="G467">
        <v>2</v>
      </c>
      <c r="H467">
        <v>1</v>
      </c>
      <c r="I467" t="str">
        <f t="shared" si="21"/>
        <v>B2B</v>
      </c>
      <c r="J467" s="3">
        <f t="shared" si="22"/>
        <v>0.45</v>
      </c>
      <c r="K467" s="2">
        <f t="shared" si="23"/>
        <v>21.6585</v>
      </c>
    </row>
    <row r="468" spans="1:11" x14ac:dyDescent="0.3">
      <c r="A468" t="s">
        <v>1363</v>
      </c>
      <c r="B468" t="s">
        <v>705</v>
      </c>
      <c r="C468">
        <v>35</v>
      </c>
      <c r="D468" t="s">
        <v>896</v>
      </c>
      <c r="E468">
        <v>7.42</v>
      </c>
      <c r="F468" s="2">
        <v>24.11</v>
      </c>
      <c r="G468">
        <v>2</v>
      </c>
      <c r="H468">
        <v>3</v>
      </c>
      <c r="I468" t="str">
        <f t="shared" si="21"/>
        <v>B2B</v>
      </c>
      <c r="J468" s="3">
        <f t="shared" si="22"/>
        <v>0.45</v>
      </c>
      <c r="K468" s="2">
        <f t="shared" si="23"/>
        <v>10.849500000000001</v>
      </c>
    </row>
    <row r="469" spans="1:11" x14ac:dyDescent="0.3">
      <c r="A469" t="s">
        <v>1364</v>
      </c>
      <c r="B469" t="s">
        <v>689</v>
      </c>
      <c r="C469">
        <v>118</v>
      </c>
      <c r="D469" t="s">
        <v>896</v>
      </c>
      <c r="E469">
        <v>1.33</v>
      </c>
      <c r="F469" s="2">
        <v>97.58</v>
      </c>
      <c r="G469">
        <v>3</v>
      </c>
      <c r="H469">
        <v>10</v>
      </c>
      <c r="I469" t="str">
        <f t="shared" si="21"/>
        <v>-</v>
      </c>
      <c r="J469" s="3">
        <f t="shared" si="22"/>
        <v>0</v>
      </c>
      <c r="K469" s="2">
        <f t="shared" si="23"/>
        <v>0</v>
      </c>
    </row>
    <row r="470" spans="1:11" x14ac:dyDescent="0.3">
      <c r="A470" t="s">
        <v>1365</v>
      </c>
      <c r="B470" t="s">
        <v>705</v>
      </c>
      <c r="C470">
        <v>64</v>
      </c>
      <c r="D470" t="s">
        <v>896</v>
      </c>
      <c r="E470">
        <v>0.25</v>
      </c>
      <c r="F470" s="2">
        <v>56.94</v>
      </c>
      <c r="G470">
        <v>4</v>
      </c>
      <c r="H470">
        <v>5</v>
      </c>
      <c r="I470" t="str">
        <f t="shared" si="21"/>
        <v>B2B</v>
      </c>
      <c r="J470" s="3">
        <f t="shared" si="22"/>
        <v>0.1</v>
      </c>
      <c r="K470" s="2">
        <f t="shared" si="23"/>
        <v>5.694</v>
      </c>
    </row>
    <row r="471" spans="1:11" x14ac:dyDescent="0.3">
      <c r="A471" t="s">
        <v>1366</v>
      </c>
      <c r="B471" t="s">
        <v>710</v>
      </c>
      <c r="C471">
        <v>85</v>
      </c>
      <c r="D471" t="s">
        <v>896</v>
      </c>
      <c r="E471">
        <v>1.25</v>
      </c>
      <c r="F471" s="2">
        <v>98.01</v>
      </c>
      <c r="G471">
        <v>1</v>
      </c>
      <c r="H471">
        <v>7</v>
      </c>
      <c r="I471" t="str">
        <f t="shared" si="21"/>
        <v>-</v>
      </c>
      <c r="J471" s="3">
        <f t="shared" si="22"/>
        <v>0</v>
      </c>
      <c r="K471" s="2">
        <f t="shared" si="23"/>
        <v>0</v>
      </c>
    </row>
    <row r="472" spans="1:11" x14ac:dyDescent="0.3">
      <c r="A472" t="s">
        <v>1367</v>
      </c>
      <c r="B472" t="s">
        <v>695</v>
      </c>
      <c r="C472">
        <v>48</v>
      </c>
      <c r="D472" t="s">
        <v>901</v>
      </c>
      <c r="E472">
        <v>3.12</v>
      </c>
      <c r="F472" s="2">
        <v>21.26</v>
      </c>
      <c r="G472">
        <v>2</v>
      </c>
      <c r="H472">
        <v>4</v>
      </c>
      <c r="I472" t="str">
        <f t="shared" si="21"/>
        <v>B2B</v>
      </c>
      <c r="J472" s="3">
        <f t="shared" si="22"/>
        <v>0.1</v>
      </c>
      <c r="K472" s="2">
        <f t="shared" si="23"/>
        <v>2.1260000000000003</v>
      </c>
    </row>
    <row r="473" spans="1:11" x14ac:dyDescent="0.3">
      <c r="A473" t="s">
        <v>1368</v>
      </c>
      <c r="B473" t="s">
        <v>715</v>
      </c>
      <c r="C473">
        <v>120</v>
      </c>
      <c r="D473" t="s">
        <v>896</v>
      </c>
      <c r="E473">
        <v>1.2</v>
      </c>
      <c r="F473" s="2">
        <v>29.07</v>
      </c>
      <c r="G473">
        <v>3</v>
      </c>
      <c r="H473">
        <v>10</v>
      </c>
      <c r="I473" t="str">
        <f t="shared" si="21"/>
        <v>B2B</v>
      </c>
      <c r="J473" s="3">
        <f t="shared" si="22"/>
        <v>0.1</v>
      </c>
      <c r="K473" s="2">
        <f t="shared" si="23"/>
        <v>2.907</v>
      </c>
    </row>
    <row r="474" spans="1:11" x14ac:dyDescent="0.3">
      <c r="A474" t="s">
        <v>1369</v>
      </c>
      <c r="B474" t="s">
        <v>699</v>
      </c>
      <c r="C474">
        <v>34</v>
      </c>
      <c r="D474" t="s">
        <v>899</v>
      </c>
      <c r="E474">
        <v>0.67</v>
      </c>
      <c r="F474" s="2">
        <v>65.709999999999994</v>
      </c>
      <c r="G474">
        <v>5</v>
      </c>
      <c r="H474">
        <v>3</v>
      </c>
      <c r="I474" t="str">
        <f t="shared" si="21"/>
        <v>B2B</v>
      </c>
      <c r="J474" s="3">
        <f t="shared" si="22"/>
        <v>0.1</v>
      </c>
      <c r="K474" s="2">
        <f t="shared" si="23"/>
        <v>6.5709999999999997</v>
      </c>
    </row>
    <row r="475" spans="1:11" x14ac:dyDescent="0.3">
      <c r="A475" t="s">
        <v>1370</v>
      </c>
      <c r="B475" t="s">
        <v>737</v>
      </c>
      <c r="C475">
        <v>104</v>
      </c>
      <c r="D475" t="s">
        <v>896</v>
      </c>
      <c r="E475">
        <v>2.08</v>
      </c>
      <c r="F475" s="2">
        <v>29.7</v>
      </c>
      <c r="G475">
        <v>2</v>
      </c>
      <c r="H475">
        <v>9</v>
      </c>
      <c r="I475" t="str">
        <f t="shared" si="21"/>
        <v>B2B</v>
      </c>
      <c r="J475" s="3">
        <f t="shared" si="22"/>
        <v>0.1</v>
      </c>
      <c r="K475" s="2">
        <f t="shared" si="23"/>
        <v>2.97</v>
      </c>
    </row>
    <row r="476" spans="1:11" x14ac:dyDescent="0.3">
      <c r="A476" t="s">
        <v>1371</v>
      </c>
      <c r="B476" t="s">
        <v>736</v>
      </c>
      <c r="C476">
        <v>117</v>
      </c>
      <c r="D476" t="s">
        <v>901</v>
      </c>
      <c r="E476">
        <v>0.65</v>
      </c>
      <c r="F476" s="2">
        <v>26.53</v>
      </c>
      <c r="G476">
        <v>1</v>
      </c>
      <c r="H476">
        <v>10</v>
      </c>
      <c r="I476" t="str">
        <f t="shared" si="21"/>
        <v>B2B</v>
      </c>
      <c r="J476" s="3">
        <f t="shared" si="22"/>
        <v>0.1</v>
      </c>
      <c r="K476" s="2">
        <f t="shared" si="23"/>
        <v>2.6530000000000005</v>
      </c>
    </row>
    <row r="477" spans="1:11" x14ac:dyDescent="0.3">
      <c r="A477" t="s">
        <v>1372</v>
      </c>
      <c r="B477" t="s">
        <v>705</v>
      </c>
      <c r="C477">
        <v>92</v>
      </c>
      <c r="D477" t="s">
        <v>899</v>
      </c>
      <c r="E477">
        <v>0.1</v>
      </c>
      <c r="F477" s="2">
        <v>77.14</v>
      </c>
      <c r="G477">
        <v>5</v>
      </c>
      <c r="H477">
        <v>8</v>
      </c>
      <c r="I477" t="str">
        <f t="shared" si="21"/>
        <v>B2B</v>
      </c>
      <c r="J477" s="3">
        <f t="shared" si="22"/>
        <v>0.1</v>
      </c>
      <c r="K477" s="2">
        <f t="shared" si="23"/>
        <v>7.7140000000000004</v>
      </c>
    </row>
    <row r="478" spans="1:11" x14ac:dyDescent="0.3">
      <c r="A478" t="s">
        <v>1373</v>
      </c>
      <c r="B478" t="s">
        <v>692</v>
      </c>
      <c r="C478">
        <v>103</v>
      </c>
      <c r="D478" t="s">
        <v>901</v>
      </c>
      <c r="E478">
        <v>4.8499999999999996</v>
      </c>
      <c r="F478" s="2">
        <v>60.34</v>
      </c>
      <c r="G478">
        <v>5</v>
      </c>
      <c r="H478">
        <v>9</v>
      </c>
      <c r="I478" t="str">
        <f t="shared" si="21"/>
        <v>B2B</v>
      </c>
      <c r="J478" s="3">
        <f t="shared" si="22"/>
        <v>0.45</v>
      </c>
      <c r="K478" s="2">
        <f t="shared" si="23"/>
        <v>27.153000000000002</v>
      </c>
    </row>
    <row r="479" spans="1:11" x14ac:dyDescent="0.3">
      <c r="A479" t="s">
        <v>1374</v>
      </c>
      <c r="B479" t="s">
        <v>695</v>
      </c>
      <c r="C479">
        <v>10</v>
      </c>
      <c r="D479" t="s">
        <v>894</v>
      </c>
      <c r="E479">
        <v>7.08</v>
      </c>
      <c r="F479" s="2">
        <v>85.75</v>
      </c>
      <c r="G479">
        <v>0</v>
      </c>
      <c r="H479">
        <v>1</v>
      </c>
      <c r="I479" t="str">
        <f t="shared" si="21"/>
        <v>-</v>
      </c>
      <c r="J479" s="3">
        <f t="shared" si="22"/>
        <v>0.45</v>
      </c>
      <c r="K479" s="2">
        <f t="shared" si="23"/>
        <v>38.587499999999999</v>
      </c>
    </row>
    <row r="480" spans="1:11" x14ac:dyDescent="0.3">
      <c r="A480" t="s">
        <v>1375</v>
      </c>
      <c r="B480" t="s">
        <v>692</v>
      </c>
      <c r="C480">
        <v>101</v>
      </c>
      <c r="D480" t="s">
        <v>899</v>
      </c>
      <c r="E480">
        <v>6.93</v>
      </c>
      <c r="F480" s="2">
        <v>83.49</v>
      </c>
      <c r="G480">
        <v>2</v>
      </c>
      <c r="H480">
        <v>8</v>
      </c>
      <c r="I480" t="str">
        <f t="shared" si="21"/>
        <v>-</v>
      </c>
      <c r="J480" s="3">
        <f t="shared" si="22"/>
        <v>0.45</v>
      </c>
      <c r="K480" s="2">
        <f t="shared" si="23"/>
        <v>37.570499999999996</v>
      </c>
    </row>
    <row r="481" spans="1:11" x14ac:dyDescent="0.3">
      <c r="A481" t="s">
        <v>1376</v>
      </c>
      <c r="B481" t="s">
        <v>681</v>
      </c>
      <c r="C481">
        <v>1</v>
      </c>
      <c r="D481" t="s">
        <v>901</v>
      </c>
      <c r="E481">
        <v>3.55</v>
      </c>
      <c r="F481" s="2">
        <v>52.16</v>
      </c>
      <c r="G481">
        <v>3</v>
      </c>
      <c r="H481">
        <v>0</v>
      </c>
      <c r="I481" t="str">
        <f t="shared" si="21"/>
        <v>B2B</v>
      </c>
      <c r="J481" s="3">
        <f t="shared" si="22"/>
        <v>0.1</v>
      </c>
      <c r="K481" s="2">
        <f t="shared" si="23"/>
        <v>5.2160000000000002</v>
      </c>
    </row>
    <row r="482" spans="1:11" x14ac:dyDescent="0.3">
      <c r="A482" t="s">
        <v>1377</v>
      </c>
      <c r="B482" t="s">
        <v>678</v>
      </c>
      <c r="C482">
        <v>111</v>
      </c>
      <c r="D482" t="s">
        <v>899</v>
      </c>
      <c r="E482">
        <v>1.27</v>
      </c>
      <c r="F482" s="2">
        <v>38.19</v>
      </c>
      <c r="G482">
        <v>5</v>
      </c>
      <c r="H482">
        <v>9</v>
      </c>
      <c r="I482" t="str">
        <f t="shared" si="21"/>
        <v>B2B</v>
      </c>
      <c r="J482" s="3">
        <f t="shared" si="22"/>
        <v>0.1</v>
      </c>
      <c r="K482" s="2">
        <f t="shared" si="23"/>
        <v>3.819</v>
      </c>
    </row>
    <row r="483" spans="1:11" x14ac:dyDescent="0.3">
      <c r="A483" t="s">
        <v>1378</v>
      </c>
      <c r="B483" t="s">
        <v>706</v>
      </c>
      <c r="C483">
        <v>120</v>
      </c>
      <c r="D483" t="s">
        <v>894</v>
      </c>
      <c r="E483">
        <v>6.52</v>
      </c>
      <c r="F483" s="2">
        <v>67.77</v>
      </c>
      <c r="G483">
        <v>4</v>
      </c>
      <c r="H483">
        <v>10</v>
      </c>
      <c r="I483" t="str">
        <f t="shared" si="21"/>
        <v>B2B</v>
      </c>
      <c r="J483" s="3">
        <f t="shared" si="22"/>
        <v>0.45</v>
      </c>
      <c r="K483" s="2">
        <f t="shared" si="23"/>
        <v>30.496499999999997</v>
      </c>
    </row>
    <row r="484" spans="1:11" x14ac:dyDescent="0.3">
      <c r="A484" t="s">
        <v>1379</v>
      </c>
      <c r="B484" t="s">
        <v>702</v>
      </c>
      <c r="C484">
        <v>20</v>
      </c>
      <c r="D484" t="s">
        <v>896</v>
      </c>
      <c r="E484">
        <v>1.55</v>
      </c>
      <c r="F484" s="2">
        <v>84.45</v>
      </c>
      <c r="G484">
        <v>0</v>
      </c>
      <c r="H484">
        <v>2</v>
      </c>
      <c r="I484" t="str">
        <f t="shared" si="21"/>
        <v>-</v>
      </c>
      <c r="J484" s="3">
        <f t="shared" si="22"/>
        <v>0</v>
      </c>
      <c r="K484" s="2">
        <f t="shared" si="23"/>
        <v>0</v>
      </c>
    </row>
    <row r="485" spans="1:11" x14ac:dyDescent="0.3">
      <c r="A485" t="s">
        <v>1380</v>
      </c>
      <c r="B485" t="s">
        <v>678</v>
      </c>
      <c r="C485">
        <v>100</v>
      </c>
      <c r="D485" t="s">
        <v>901</v>
      </c>
      <c r="E485">
        <v>4</v>
      </c>
      <c r="F485" s="2">
        <v>24.83</v>
      </c>
      <c r="G485">
        <v>4</v>
      </c>
      <c r="H485">
        <v>8</v>
      </c>
      <c r="I485" t="str">
        <f t="shared" si="21"/>
        <v>B2B</v>
      </c>
      <c r="J485" s="3">
        <f t="shared" si="22"/>
        <v>0.45</v>
      </c>
      <c r="K485" s="2">
        <f t="shared" si="23"/>
        <v>11.173499999999999</v>
      </c>
    </row>
    <row r="486" spans="1:11" x14ac:dyDescent="0.3">
      <c r="A486" t="s">
        <v>1381</v>
      </c>
      <c r="B486" t="s">
        <v>705</v>
      </c>
      <c r="C486">
        <v>84</v>
      </c>
      <c r="D486" t="s">
        <v>899</v>
      </c>
      <c r="E486">
        <v>6.33</v>
      </c>
      <c r="F486" s="2">
        <v>82.3</v>
      </c>
      <c r="G486">
        <v>1</v>
      </c>
      <c r="H486">
        <v>7</v>
      </c>
      <c r="I486" t="str">
        <f t="shared" si="21"/>
        <v>-</v>
      </c>
      <c r="J486" s="3">
        <f t="shared" si="22"/>
        <v>0.45</v>
      </c>
      <c r="K486" s="2">
        <f t="shared" si="23"/>
        <v>37.034999999999997</v>
      </c>
    </row>
    <row r="487" spans="1:11" x14ac:dyDescent="0.3">
      <c r="A487" t="s">
        <v>1382</v>
      </c>
      <c r="B487" t="s">
        <v>678</v>
      </c>
      <c r="C487">
        <v>19</v>
      </c>
      <c r="D487" t="s">
        <v>899</v>
      </c>
      <c r="E487">
        <v>1.18</v>
      </c>
      <c r="F487" s="2">
        <v>68.2</v>
      </c>
      <c r="G487">
        <v>0</v>
      </c>
      <c r="H487">
        <v>2</v>
      </c>
      <c r="I487" t="str">
        <f t="shared" si="21"/>
        <v>B2B</v>
      </c>
      <c r="J487" s="3">
        <f t="shared" si="22"/>
        <v>0.1</v>
      </c>
      <c r="K487" s="2">
        <f t="shared" si="23"/>
        <v>6.82</v>
      </c>
    </row>
    <row r="488" spans="1:11" x14ac:dyDescent="0.3">
      <c r="A488" t="s">
        <v>1383</v>
      </c>
      <c r="B488" t="s">
        <v>736</v>
      </c>
      <c r="C488">
        <v>41</v>
      </c>
      <c r="D488" t="s">
        <v>894</v>
      </c>
      <c r="E488">
        <v>6.38</v>
      </c>
      <c r="F488" s="2">
        <v>27.53</v>
      </c>
      <c r="G488">
        <v>4</v>
      </c>
      <c r="H488">
        <v>3</v>
      </c>
      <c r="I488" t="str">
        <f t="shared" si="21"/>
        <v>B2B</v>
      </c>
      <c r="J488" s="3">
        <f t="shared" si="22"/>
        <v>0.45</v>
      </c>
      <c r="K488" s="2">
        <f t="shared" si="23"/>
        <v>12.388500000000001</v>
      </c>
    </row>
    <row r="489" spans="1:11" x14ac:dyDescent="0.3">
      <c r="A489" t="s">
        <v>1384</v>
      </c>
      <c r="B489" t="s">
        <v>699</v>
      </c>
      <c r="C489">
        <v>19</v>
      </c>
      <c r="D489" t="s">
        <v>894</v>
      </c>
      <c r="E489">
        <v>4.5</v>
      </c>
      <c r="F489" s="2">
        <v>19.760000000000002</v>
      </c>
      <c r="G489">
        <v>3</v>
      </c>
      <c r="H489">
        <v>2</v>
      </c>
      <c r="I489" t="str">
        <f t="shared" si="21"/>
        <v>B2B</v>
      </c>
      <c r="J489" s="3">
        <f t="shared" si="22"/>
        <v>0.45</v>
      </c>
      <c r="K489" s="2">
        <f t="shared" si="23"/>
        <v>8.8920000000000012</v>
      </c>
    </row>
    <row r="490" spans="1:11" x14ac:dyDescent="0.3">
      <c r="A490" t="s">
        <v>1385</v>
      </c>
      <c r="B490" t="s">
        <v>725</v>
      </c>
      <c r="C490">
        <v>50</v>
      </c>
      <c r="D490" t="s">
        <v>901</v>
      </c>
      <c r="E490">
        <v>5.95</v>
      </c>
      <c r="F490" s="2">
        <v>17</v>
      </c>
      <c r="G490">
        <v>3</v>
      </c>
      <c r="H490">
        <v>4</v>
      </c>
      <c r="I490" t="str">
        <f t="shared" si="21"/>
        <v>B2B</v>
      </c>
      <c r="J490" s="3">
        <f t="shared" si="22"/>
        <v>0.45</v>
      </c>
      <c r="K490" s="2">
        <f t="shared" si="23"/>
        <v>7.65</v>
      </c>
    </row>
    <row r="491" spans="1:11" x14ac:dyDescent="0.3">
      <c r="A491" t="s">
        <v>1386</v>
      </c>
      <c r="B491" t="s">
        <v>700</v>
      </c>
      <c r="C491">
        <v>58</v>
      </c>
      <c r="D491" t="s">
        <v>894</v>
      </c>
      <c r="E491">
        <v>8.08</v>
      </c>
      <c r="F491" s="2">
        <v>64.290000000000006</v>
      </c>
      <c r="G491">
        <v>4</v>
      </c>
      <c r="H491">
        <v>5</v>
      </c>
      <c r="I491" t="str">
        <f t="shared" si="21"/>
        <v>B2B</v>
      </c>
      <c r="J491" s="3">
        <f t="shared" si="22"/>
        <v>0.45</v>
      </c>
      <c r="K491" s="2">
        <f t="shared" si="23"/>
        <v>28.930500000000002</v>
      </c>
    </row>
    <row r="492" spans="1:11" x14ac:dyDescent="0.3">
      <c r="A492" t="s">
        <v>1387</v>
      </c>
      <c r="B492" t="s">
        <v>687</v>
      </c>
      <c r="C492">
        <v>93</v>
      </c>
      <c r="D492" t="s">
        <v>896</v>
      </c>
      <c r="E492">
        <v>2.5499999999999998</v>
      </c>
      <c r="F492" s="2">
        <v>86.19</v>
      </c>
      <c r="G492">
        <v>0</v>
      </c>
      <c r="H492">
        <v>8</v>
      </c>
      <c r="I492" t="str">
        <f t="shared" si="21"/>
        <v>-</v>
      </c>
      <c r="J492" s="3">
        <f t="shared" si="22"/>
        <v>0</v>
      </c>
      <c r="K492" s="2">
        <f t="shared" si="23"/>
        <v>0</v>
      </c>
    </row>
    <row r="493" spans="1:11" x14ac:dyDescent="0.3">
      <c r="A493" t="s">
        <v>1388</v>
      </c>
      <c r="B493" t="s">
        <v>678</v>
      </c>
      <c r="C493">
        <v>102</v>
      </c>
      <c r="D493" t="s">
        <v>901</v>
      </c>
      <c r="E493">
        <v>4</v>
      </c>
      <c r="F493" s="2">
        <v>12.52</v>
      </c>
      <c r="G493">
        <v>2</v>
      </c>
      <c r="H493">
        <v>8</v>
      </c>
      <c r="I493" t="str">
        <f t="shared" si="21"/>
        <v>B2B</v>
      </c>
      <c r="J493" s="3">
        <f t="shared" si="22"/>
        <v>0.45</v>
      </c>
      <c r="K493" s="2">
        <f t="shared" si="23"/>
        <v>5.6340000000000003</v>
      </c>
    </row>
    <row r="494" spans="1:11" x14ac:dyDescent="0.3">
      <c r="A494" t="s">
        <v>1389</v>
      </c>
      <c r="B494" t="s">
        <v>699</v>
      </c>
      <c r="C494">
        <v>101</v>
      </c>
      <c r="D494" t="s">
        <v>896</v>
      </c>
      <c r="E494">
        <v>3.5</v>
      </c>
      <c r="F494" s="2">
        <v>35.4</v>
      </c>
      <c r="G494">
        <v>1</v>
      </c>
      <c r="H494">
        <v>8</v>
      </c>
      <c r="I494" t="str">
        <f t="shared" si="21"/>
        <v>B2B</v>
      </c>
      <c r="J494" s="3">
        <f t="shared" si="22"/>
        <v>0.1</v>
      </c>
      <c r="K494" s="2">
        <f t="shared" si="23"/>
        <v>3.54</v>
      </c>
    </row>
    <row r="495" spans="1:11" x14ac:dyDescent="0.3">
      <c r="A495" t="s">
        <v>1390</v>
      </c>
      <c r="B495" t="s">
        <v>725</v>
      </c>
      <c r="C495">
        <v>62</v>
      </c>
      <c r="D495" t="s">
        <v>901</v>
      </c>
      <c r="E495">
        <v>6.15</v>
      </c>
      <c r="F495" s="2">
        <v>58.74</v>
      </c>
      <c r="G495">
        <v>1</v>
      </c>
      <c r="H495">
        <v>5</v>
      </c>
      <c r="I495" t="str">
        <f t="shared" si="21"/>
        <v>B2B</v>
      </c>
      <c r="J495" s="3">
        <f t="shared" si="22"/>
        <v>0.45</v>
      </c>
      <c r="K495" s="2">
        <f t="shared" si="23"/>
        <v>26.433</v>
      </c>
    </row>
    <row r="496" spans="1:11" x14ac:dyDescent="0.3">
      <c r="A496" t="s">
        <v>1391</v>
      </c>
      <c r="B496" t="s">
        <v>724</v>
      </c>
      <c r="C496">
        <v>105</v>
      </c>
      <c r="D496" t="s">
        <v>901</v>
      </c>
      <c r="E496">
        <v>2.87</v>
      </c>
      <c r="F496" s="2">
        <v>15.88</v>
      </c>
      <c r="G496">
        <v>5</v>
      </c>
      <c r="H496">
        <v>9</v>
      </c>
      <c r="I496" t="str">
        <f t="shared" si="21"/>
        <v>B2B</v>
      </c>
      <c r="J496" s="3">
        <f t="shared" si="22"/>
        <v>0.1</v>
      </c>
      <c r="K496" s="2">
        <f t="shared" si="23"/>
        <v>1.5880000000000001</v>
      </c>
    </row>
    <row r="497" spans="1:11" x14ac:dyDescent="0.3">
      <c r="A497" t="s">
        <v>1392</v>
      </c>
      <c r="B497" t="s">
        <v>700</v>
      </c>
      <c r="C497">
        <v>9</v>
      </c>
      <c r="D497" t="s">
        <v>901</v>
      </c>
      <c r="E497">
        <v>3.78</v>
      </c>
      <c r="F497" s="2">
        <v>63.74</v>
      </c>
      <c r="G497">
        <v>3</v>
      </c>
      <c r="H497">
        <v>1</v>
      </c>
      <c r="I497" t="str">
        <f t="shared" si="21"/>
        <v>B2B</v>
      </c>
      <c r="J497" s="3">
        <f t="shared" si="22"/>
        <v>0.1</v>
      </c>
      <c r="K497" s="2">
        <f t="shared" si="23"/>
        <v>6.3740000000000006</v>
      </c>
    </row>
    <row r="498" spans="1:11" x14ac:dyDescent="0.3">
      <c r="A498" t="s">
        <v>1393</v>
      </c>
      <c r="B498" t="s">
        <v>715</v>
      </c>
      <c r="C498">
        <v>15</v>
      </c>
      <c r="D498" t="s">
        <v>899</v>
      </c>
      <c r="E498">
        <v>6.67</v>
      </c>
      <c r="F498" s="2">
        <v>78.09</v>
      </c>
      <c r="G498">
        <v>0</v>
      </c>
      <c r="H498">
        <v>1</v>
      </c>
      <c r="I498" t="str">
        <f t="shared" si="21"/>
        <v>B2B</v>
      </c>
      <c r="J498" s="3">
        <f t="shared" si="22"/>
        <v>0.45</v>
      </c>
      <c r="K498" s="2">
        <f t="shared" si="23"/>
        <v>35.140500000000003</v>
      </c>
    </row>
    <row r="499" spans="1:11" x14ac:dyDescent="0.3">
      <c r="A499" t="s">
        <v>1394</v>
      </c>
      <c r="B499" t="s">
        <v>702</v>
      </c>
      <c r="C499">
        <v>74</v>
      </c>
      <c r="D499" t="s">
        <v>901</v>
      </c>
      <c r="E499">
        <v>5.5</v>
      </c>
      <c r="F499" s="2">
        <v>37.82</v>
      </c>
      <c r="G499">
        <v>5</v>
      </c>
      <c r="H499">
        <v>6</v>
      </c>
      <c r="I499" t="str">
        <f t="shared" si="21"/>
        <v>B2B</v>
      </c>
      <c r="J499" s="3">
        <f t="shared" si="22"/>
        <v>0.45</v>
      </c>
      <c r="K499" s="2">
        <f t="shared" si="23"/>
        <v>17.019000000000002</v>
      </c>
    </row>
    <row r="500" spans="1:11" x14ac:dyDescent="0.3">
      <c r="A500" t="s">
        <v>1395</v>
      </c>
      <c r="B500" t="s">
        <v>710</v>
      </c>
      <c r="C500">
        <v>55</v>
      </c>
      <c r="D500" t="s">
        <v>899</v>
      </c>
      <c r="E500">
        <v>5.92</v>
      </c>
      <c r="F500" s="2">
        <v>59.65</v>
      </c>
      <c r="G500">
        <v>0</v>
      </c>
      <c r="H500">
        <v>5</v>
      </c>
      <c r="I500" t="str">
        <f t="shared" si="21"/>
        <v>B2B</v>
      </c>
      <c r="J500" s="3">
        <f t="shared" si="22"/>
        <v>0.45</v>
      </c>
      <c r="K500" s="2">
        <f t="shared" si="23"/>
        <v>26.842500000000001</v>
      </c>
    </row>
    <row r="501" spans="1:11" x14ac:dyDescent="0.3">
      <c r="A501" t="s">
        <v>1396</v>
      </c>
      <c r="B501" t="s">
        <v>684</v>
      </c>
      <c r="C501">
        <v>94</v>
      </c>
      <c r="D501" t="s">
        <v>901</v>
      </c>
      <c r="E501">
        <v>0.1</v>
      </c>
      <c r="F501" s="2">
        <v>67.459999999999994</v>
      </c>
      <c r="G501">
        <v>5</v>
      </c>
      <c r="H501">
        <v>8</v>
      </c>
      <c r="I501" t="str">
        <f t="shared" si="21"/>
        <v>B2B</v>
      </c>
      <c r="J501" s="3">
        <f t="shared" si="22"/>
        <v>0.1</v>
      </c>
      <c r="K501" s="2">
        <f t="shared" si="23"/>
        <v>6.7459999999999996</v>
      </c>
    </row>
    <row r="502" spans="1:11" x14ac:dyDescent="0.3">
      <c r="A502" t="s">
        <v>1397</v>
      </c>
      <c r="B502" t="s">
        <v>737</v>
      </c>
      <c r="C502">
        <v>120</v>
      </c>
      <c r="D502" t="s">
        <v>899</v>
      </c>
      <c r="E502">
        <v>0.45</v>
      </c>
      <c r="F502" s="2">
        <v>24.46</v>
      </c>
      <c r="G502">
        <v>3</v>
      </c>
      <c r="H502">
        <v>10</v>
      </c>
      <c r="I502" t="str">
        <f t="shared" si="21"/>
        <v>B2B</v>
      </c>
      <c r="J502" s="3">
        <f t="shared" si="22"/>
        <v>0.1</v>
      </c>
      <c r="K502" s="2">
        <f t="shared" si="23"/>
        <v>2.4460000000000002</v>
      </c>
    </row>
    <row r="503" spans="1:11" x14ac:dyDescent="0.3">
      <c r="A503" t="s">
        <v>1398</v>
      </c>
      <c r="B503" t="s">
        <v>715</v>
      </c>
      <c r="C503">
        <v>38</v>
      </c>
      <c r="D503" t="s">
        <v>899</v>
      </c>
      <c r="E503">
        <v>1.8</v>
      </c>
      <c r="F503" s="2">
        <v>72.7</v>
      </c>
      <c r="G503">
        <v>3</v>
      </c>
      <c r="H503">
        <v>3</v>
      </c>
      <c r="I503" t="str">
        <f t="shared" si="21"/>
        <v>B2B</v>
      </c>
      <c r="J503" s="3">
        <f t="shared" si="22"/>
        <v>0.1</v>
      </c>
      <c r="K503" s="2">
        <f t="shared" si="23"/>
        <v>7.2700000000000005</v>
      </c>
    </row>
    <row r="504" spans="1:11" x14ac:dyDescent="0.3">
      <c r="A504" t="s">
        <v>1399</v>
      </c>
      <c r="B504" t="s">
        <v>713</v>
      </c>
      <c r="C504">
        <v>21</v>
      </c>
      <c r="D504" t="s">
        <v>901</v>
      </c>
      <c r="E504">
        <v>7.4</v>
      </c>
      <c r="F504" s="2">
        <v>41.92</v>
      </c>
      <c r="G504">
        <v>3</v>
      </c>
      <c r="H504">
        <v>2</v>
      </c>
      <c r="I504" t="str">
        <f t="shared" si="21"/>
        <v>B2B</v>
      </c>
      <c r="J504" s="3">
        <f t="shared" si="22"/>
        <v>0.45</v>
      </c>
      <c r="K504" s="2">
        <f t="shared" si="23"/>
        <v>18.864000000000001</v>
      </c>
    </row>
    <row r="505" spans="1:11" x14ac:dyDescent="0.3">
      <c r="A505" t="s">
        <v>1400</v>
      </c>
      <c r="B505" t="s">
        <v>681</v>
      </c>
      <c r="C505">
        <v>9</v>
      </c>
      <c r="D505" t="s">
        <v>899</v>
      </c>
      <c r="E505">
        <v>0.18</v>
      </c>
      <c r="F505" s="2">
        <v>72.36</v>
      </c>
      <c r="G505">
        <v>2</v>
      </c>
      <c r="H505">
        <v>1</v>
      </c>
      <c r="I505" t="str">
        <f t="shared" si="21"/>
        <v>B2B</v>
      </c>
      <c r="J505" s="3">
        <f t="shared" si="22"/>
        <v>0.1</v>
      </c>
      <c r="K505" s="2">
        <f t="shared" si="23"/>
        <v>7.2360000000000007</v>
      </c>
    </row>
    <row r="506" spans="1:11" x14ac:dyDescent="0.3">
      <c r="A506" t="s">
        <v>1401</v>
      </c>
      <c r="B506" t="s">
        <v>702</v>
      </c>
      <c r="C506">
        <v>36</v>
      </c>
      <c r="D506" t="s">
        <v>901</v>
      </c>
      <c r="E506">
        <v>8.1199999999999992</v>
      </c>
      <c r="F506" s="2">
        <v>45.02</v>
      </c>
      <c r="G506">
        <v>2</v>
      </c>
      <c r="H506">
        <v>3</v>
      </c>
      <c r="I506" t="str">
        <f t="shared" si="21"/>
        <v>B2B</v>
      </c>
      <c r="J506" s="3">
        <f t="shared" si="22"/>
        <v>0.45</v>
      </c>
      <c r="K506" s="2">
        <f t="shared" si="23"/>
        <v>20.259</v>
      </c>
    </row>
    <row r="507" spans="1:11" x14ac:dyDescent="0.3">
      <c r="A507" t="s">
        <v>1402</v>
      </c>
      <c r="B507" t="s">
        <v>684</v>
      </c>
      <c r="C507">
        <v>74</v>
      </c>
      <c r="D507" t="s">
        <v>899</v>
      </c>
      <c r="E507">
        <v>6.47</v>
      </c>
      <c r="F507" s="2">
        <v>10.89</v>
      </c>
      <c r="G507">
        <v>4</v>
      </c>
      <c r="H507">
        <v>6</v>
      </c>
      <c r="I507" t="str">
        <f t="shared" si="21"/>
        <v>B2B</v>
      </c>
      <c r="J507" s="3">
        <f t="shared" si="22"/>
        <v>0.45</v>
      </c>
      <c r="K507" s="2">
        <f t="shared" si="23"/>
        <v>4.9005000000000001</v>
      </c>
    </row>
    <row r="508" spans="1:11" x14ac:dyDescent="0.3">
      <c r="A508" t="s">
        <v>1403</v>
      </c>
      <c r="B508" t="s">
        <v>684</v>
      </c>
      <c r="C508">
        <v>47</v>
      </c>
      <c r="D508" t="s">
        <v>894</v>
      </c>
      <c r="E508">
        <v>5.83</v>
      </c>
      <c r="F508" s="2">
        <v>80.48</v>
      </c>
      <c r="G508">
        <v>3</v>
      </c>
      <c r="H508">
        <v>4</v>
      </c>
      <c r="I508" t="str">
        <f t="shared" si="21"/>
        <v>-</v>
      </c>
      <c r="J508" s="3">
        <f t="shared" si="22"/>
        <v>0.45</v>
      </c>
      <c r="K508" s="2">
        <f t="shared" si="23"/>
        <v>36.216000000000001</v>
      </c>
    </row>
    <row r="509" spans="1:11" x14ac:dyDescent="0.3">
      <c r="A509" t="s">
        <v>1404</v>
      </c>
      <c r="B509" t="s">
        <v>718</v>
      </c>
      <c r="C509">
        <v>46</v>
      </c>
      <c r="D509" t="s">
        <v>896</v>
      </c>
      <c r="E509">
        <v>3.6</v>
      </c>
      <c r="F509" s="2">
        <v>63.74</v>
      </c>
      <c r="G509">
        <v>4</v>
      </c>
      <c r="H509">
        <v>4</v>
      </c>
      <c r="I509" t="str">
        <f t="shared" si="21"/>
        <v>B2B</v>
      </c>
      <c r="J509" s="3">
        <f t="shared" si="22"/>
        <v>0.1</v>
      </c>
      <c r="K509" s="2">
        <f t="shared" si="23"/>
        <v>6.3740000000000006</v>
      </c>
    </row>
    <row r="510" spans="1:11" x14ac:dyDescent="0.3">
      <c r="A510" t="s">
        <v>1405</v>
      </c>
      <c r="B510" t="s">
        <v>700</v>
      </c>
      <c r="C510">
        <v>12</v>
      </c>
      <c r="D510" t="s">
        <v>901</v>
      </c>
      <c r="E510">
        <v>2.2999999999999998</v>
      </c>
      <c r="F510" s="2">
        <v>17</v>
      </c>
      <c r="G510">
        <v>2</v>
      </c>
      <c r="H510">
        <v>1</v>
      </c>
      <c r="I510" t="str">
        <f t="shared" si="21"/>
        <v>B2B</v>
      </c>
      <c r="J510" s="3">
        <f t="shared" si="22"/>
        <v>0.1</v>
      </c>
      <c r="K510" s="2">
        <f t="shared" si="23"/>
        <v>1.7000000000000002</v>
      </c>
    </row>
    <row r="511" spans="1:11" x14ac:dyDescent="0.3">
      <c r="A511" t="s">
        <v>1406</v>
      </c>
      <c r="B511" t="s">
        <v>737</v>
      </c>
      <c r="C511">
        <v>10</v>
      </c>
      <c r="D511" t="s">
        <v>896</v>
      </c>
      <c r="E511">
        <v>2.15</v>
      </c>
      <c r="F511" s="2">
        <v>70.12</v>
      </c>
      <c r="G511">
        <v>0</v>
      </c>
      <c r="H511">
        <v>1</v>
      </c>
      <c r="I511" t="str">
        <f t="shared" si="21"/>
        <v>B2B</v>
      </c>
      <c r="J511" s="3">
        <f t="shared" si="22"/>
        <v>0.1</v>
      </c>
      <c r="K511" s="2">
        <f t="shared" si="23"/>
        <v>7.0120000000000005</v>
      </c>
    </row>
    <row r="512" spans="1:11" x14ac:dyDescent="0.3">
      <c r="A512" t="s">
        <v>1407</v>
      </c>
      <c r="B512" t="s">
        <v>684</v>
      </c>
      <c r="C512">
        <v>23</v>
      </c>
      <c r="D512" t="s">
        <v>899</v>
      </c>
      <c r="E512">
        <v>5.42</v>
      </c>
      <c r="F512" s="2">
        <v>65.489999999999995</v>
      </c>
      <c r="G512">
        <v>1</v>
      </c>
      <c r="H512">
        <v>2</v>
      </c>
      <c r="I512" t="str">
        <f t="shared" si="21"/>
        <v>B2B</v>
      </c>
      <c r="J512" s="3">
        <f t="shared" si="22"/>
        <v>0.45</v>
      </c>
      <c r="K512" s="2">
        <f t="shared" si="23"/>
        <v>29.470499999999998</v>
      </c>
    </row>
    <row r="513" spans="1:11" x14ac:dyDescent="0.3">
      <c r="A513" t="s">
        <v>1408</v>
      </c>
      <c r="B513" t="s">
        <v>713</v>
      </c>
      <c r="C513">
        <v>91</v>
      </c>
      <c r="D513" t="s">
        <v>901</v>
      </c>
      <c r="E513">
        <v>1.5</v>
      </c>
      <c r="F513" s="2">
        <v>39.14</v>
      </c>
      <c r="G513">
        <v>3</v>
      </c>
      <c r="H513">
        <v>8</v>
      </c>
      <c r="I513" t="str">
        <f t="shared" si="21"/>
        <v>B2B</v>
      </c>
      <c r="J513" s="3">
        <f t="shared" si="22"/>
        <v>0.1</v>
      </c>
      <c r="K513" s="2">
        <f t="shared" si="23"/>
        <v>3.9140000000000001</v>
      </c>
    </row>
    <row r="514" spans="1:11" x14ac:dyDescent="0.3">
      <c r="A514" t="s">
        <v>1409</v>
      </c>
      <c r="B514" t="s">
        <v>687</v>
      </c>
      <c r="C514">
        <v>99</v>
      </c>
      <c r="D514" t="s">
        <v>896</v>
      </c>
      <c r="E514">
        <v>0.7</v>
      </c>
      <c r="F514" s="2">
        <v>98.77</v>
      </c>
      <c r="G514">
        <v>3</v>
      </c>
      <c r="H514">
        <v>8</v>
      </c>
      <c r="I514" t="str">
        <f t="shared" ref="I514:I577" si="24">IF(F514&lt;80,"B2B","-")</f>
        <v>-</v>
      </c>
      <c r="J514" s="3">
        <f t="shared" ref="J514:J577" si="25">IF(AND(E514&gt;12,H514&gt;5),70%,
IF(OR(AND(E514&gt;=4,E514&lt;=12),AND(H514&lt;5,ISNUMBER(SEARCH("Premium",D514)))),45%,
IF(I514="B2B",10%,0%)))</f>
        <v>0</v>
      </c>
      <c r="K514" s="2">
        <f t="shared" ref="K514:K577" si="26">F514*J514</f>
        <v>0</v>
      </c>
    </row>
    <row r="515" spans="1:11" x14ac:dyDescent="0.3">
      <c r="A515" t="s">
        <v>1410</v>
      </c>
      <c r="B515" t="s">
        <v>674</v>
      </c>
      <c r="C515">
        <v>59</v>
      </c>
      <c r="D515" t="s">
        <v>896</v>
      </c>
      <c r="E515">
        <v>1.2</v>
      </c>
      <c r="F515" s="2">
        <v>94.51</v>
      </c>
      <c r="G515">
        <v>2</v>
      </c>
      <c r="H515">
        <v>5</v>
      </c>
      <c r="I515" t="str">
        <f t="shared" si="24"/>
        <v>-</v>
      </c>
      <c r="J515" s="3">
        <f t="shared" si="25"/>
        <v>0</v>
      </c>
      <c r="K515" s="2">
        <f t="shared" si="26"/>
        <v>0</v>
      </c>
    </row>
    <row r="516" spans="1:11" x14ac:dyDescent="0.3">
      <c r="A516" t="s">
        <v>1411</v>
      </c>
      <c r="B516" t="s">
        <v>721</v>
      </c>
      <c r="C516">
        <v>34</v>
      </c>
      <c r="D516" t="s">
        <v>899</v>
      </c>
      <c r="E516">
        <v>0.57999999999999996</v>
      </c>
      <c r="F516" s="2">
        <v>76.86</v>
      </c>
      <c r="G516">
        <v>1</v>
      </c>
      <c r="H516">
        <v>3</v>
      </c>
      <c r="I516" t="str">
        <f t="shared" si="24"/>
        <v>B2B</v>
      </c>
      <c r="J516" s="3">
        <f t="shared" si="25"/>
        <v>0.1</v>
      </c>
      <c r="K516" s="2">
        <f t="shared" si="26"/>
        <v>7.6859999999999999</v>
      </c>
    </row>
    <row r="517" spans="1:11" x14ac:dyDescent="0.3">
      <c r="A517" t="s">
        <v>1412</v>
      </c>
      <c r="B517" t="s">
        <v>715</v>
      </c>
      <c r="C517">
        <v>61</v>
      </c>
      <c r="D517" t="s">
        <v>894</v>
      </c>
      <c r="E517">
        <v>2.33</v>
      </c>
      <c r="F517" s="2">
        <v>76.3</v>
      </c>
      <c r="G517">
        <v>4</v>
      </c>
      <c r="H517">
        <v>5</v>
      </c>
      <c r="I517" t="str">
        <f t="shared" si="24"/>
        <v>B2B</v>
      </c>
      <c r="J517" s="3">
        <f t="shared" si="25"/>
        <v>0.1</v>
      </c>
      <c r="K517" s="2">
        <f t="shared" si="26"/>
        <v>7.63</v>
      </c>
    </row>
    <row r="518" spans="1:11" x14ac:dyDescent="0.3">
      <c r="A518" t="s">
        <v>1413</v>
      </c>
      <c r="B518" t="s">
        <v>687</v>
      </c>
      <c r="C518">
        <v>33</v>
      </c>
      <c r="D518" t="s">
        <v>896</v>
      </c>
      <c r="E518">
        <v>3.45</v>
      </c>
      <c r="F518" s="2">
        <v>38.49</v>
      </c>
      <c r="G518">
        <v>4</v>
      </c>
      <c r="H518">
        <v>3</v>
      </c>
      <c r="I518" t="str">
        <f t="shared" si="24"/>
        <v>B2B</v>
      </c>
      <c r="J518" s="3">
        <f t="shared" si="25"/>
        <v>0.1</v>
      </c>
      <c r="K518" s="2">
        <f t="shared" si="26"/>
        <v>3.8490000000000002</v>
      </c>
    </row>
    <row r="519" spans="1:11" x14ac:dyDescent="0.3">
      <c r="A519" t="s">
        <v>1414</v>
      </c>
      <c r="B519" t="s">
        <v>736</v>
      </c>
      <c r="C519">
        <v>98</v>
      </c>
      <c r="D519" t="s">
        <v>896</v>
      </c>
      <c r="E519">
        <v>0.68</v>
      </c>
      <c r="F519" s="2">
        <v>23.55</v>
      </c>
      <c r="G519">
        <v>1</v>
      </c>
      <c r="H519">
        <v>8</v>
      </c>
      <c r="I519" t="str">
        <f t="shared" si="24"/>
        <v>B2B</v>
      </c>
      <c r="J519" s="3">
        <f t="shared" si="25"/>
        <v>0.1</v>
      </c>
      <c r="K519" s="2">
        <f t="shared" si="26"/>
        <v>2.355</v>
      </c>
    </row>
    <row r="520" spans="1:11" x14ac:dyDescent="0.3">
      <c r="A520" t="s">
        <v>1415</v>
      </c>
      <c r="B520" t="s">
        <v>699</v>
      </c>
      <c r="C520">
        <v>113</v>
      </c>
      <c r="D520" t="s">
        <v>896</v>
      </c>
      <c r="E520">
        <v>2.5299999999999998</v>
      </c>
      <c r="F520" s="2">
        <v>51.28</v>
      </c>
      <c r="G520">
        <v>4</v>
      </c>
      <c r="H520">
        <v>9</v>
      </c>
      <c r="I520" t="str">
        <f t="shared" si="24"/>
        <v>B2B</v>
      </c>
      <c r="J520" s="3">
        <f t="shared" si="25"/>
        <v>0.1</v>
      </c>
      <c r="K520" s="2">
        <f t="shared" si="26"/>
        <v>5.1280000000000001</v>
      </c>
    </row>
    <row r="521" spans="1:11" x14ac:dyDescent="0.3">
      <c r="A521" t="s">
        <v>1416</v>
      </c>
      <c r="B521" t="s">
        <v>700</v>
      </c>
      <c r="C521">
        <v>57</v>
      </c>
      <c r="D521" t="s">
        <v>899</v>
      </c>
      <c r="E521">
        <v>7.45</v>
      </c>
      <c r="F521" s="2">
        <v>23.27</v>
      </c>
      <c r="G521">
        <v>3</v>
      </c>
      <c r="H521">
        <v>5</v>
      </c>
      <c r="I521" t="str">
        <f t="shared" si="24"/>
        <v>B2B</v>
      </c>
      <c r="J521" s="3">
        <f t="shared" si="25"/>
        <v>0.45</v>
      </c>
      <c r="K521" s="2">
        <f t="shared" si="26"/>
        <v>10.471500000000001</v>
      </c>
    </row>
    <row r="522" spans="1:11" x14ac:dyDescent="0.3">
      <c r="A522" t="s">
        <v>1417</v>
      </c>
      <c r="B522" t="s">
        <v>710</v>
      </c>
      <c r="C522">
        <v>84</v>
      </c>
      <c r="D522" t="s">
        <v>899</v>
      </c>
      <c r="E522">
        <v>6.07</v>
      </c>
      <c r="F522" s="2">
        <v>87.79</v>
      </c>
      <c r="G522">
        <v>3</v>
      </c>
      <c r="H522">
        <v>7</v>
      </c>
      <c r="I522" t="str">
        <f t="shared" si="24"/>
        <v>-</v>
      </c>
      <c r="J522" s="3">
        <f t="shared" si="25"/>
        <v>0.45</v>
      </c>
      <c r="K522" s="2">
        <f t="shared" si="26"/>
        <v>39.505500000000005</v>
      </c>
    </row>
    <row r="523" spans="1:11" x14ac:dyDescent="0.3">
      <c r="A523" t="s">
        <v>1418</v>
      </c>
      <c r="B523" t="s">
        <v>724</v>
      </c>
      <c r="C523">
        <v>119</v>
      </c>
      <c r="D523" t="s">
        <v>901</v>
      </c>
      <c r="E523">
        <v>3.85</v>
      </c>
      <c r="F523" s="2">
        <v>20.22</v>
      </c>
      <c r="G523">
        <v>2</v>
      </c>
      <c r="H523">
        <v>10</v>
      </c>
      <c r="I523" t="str">
        <f t="shared" si="24"/>
        <v>B2B</v>
      </c>
      <c r="J523" s="3">
        <f t="shared" si="25"/>
        <v>0.1</v>
      </c>
      <c r="K523" s="2">
        <f t="shared" si="26"/>
        <v>2.0219999999999998</v>
      </c>
    </row>
    <row r="524" spans="1:11" x14ac:dyDescent="0.3">
      <c r="A524" t="s">
        <v>1419</v>
      </c>
      <c r="B524" t="s">
        <v>681</v>
      </c>
      <c r="C524">
        <v>18</v>
      </c>
      <c r="D524" t="s">
        <v>899</v>
      </c>
      <c r="E524">
        <v>7.43</v>
      </c>
      <c r="F524" s="2">
        <v>97.3</v>
      </c>
      <c r="G524">
        <v>5</v>
      </c>
      <c r="H524">
        <v>2</v>
      </c>
      <c r="I524" t="str">
        <f t="shared" si="24"/>
        <v>-</v>
      </c>
      <c r="J524" s="3">
        <f t="shared" si="25"/>
        <v>0.45</v>
      </c>
      <c r="K524" s="2">
        <f t="shared" si="26"/>
        <v>43.784999999999997</v>
      </c>
    </row>
    <row r="525" spans="1:11" x14ac:dyDescent="0.3">
      <c r="A525" t="s">
        <v>1420</v>
      </c>
      <c r="B525" t="s">
        <v>713</v>
      </c>
      <c r="C525">
        <v>16</v>
      </c>
      <c r="D525" t="s">
        <v>896</v>
      </c>
      <c r="E525">
        <v>3.57</v>
      </c>
      <c r="F525" s="2">
        <v>46.57</v>
      </c>
      <c r="G525">
        <v>5</v>
      </c>
      <c r="H525">
        <v>1</v>
      </c>
      <c r="I525" t="str">
        <f t="shared" si="24"/>
        <v>B2B</v>
      </c>
      <c r="J525" s="3">
        <f t="shared" si="25"/>
        <v>0.1</v>
      </c>
      <c r="K525" s="2">
        <f t="shared" si="26"/>
        <v>4.657</v>
      </c>
    </row>
    <row r="526" spans="1:11" x14ac:dyDescent="0.3">
      <c r="A526" t="s">
        <v>1421</v>
      </c>
      <c r="B526" t="s">
        <v>692</v>
      </c>
      <c r="C526">
        <v>73</v>
      </c>
      <c r="D526" t="s">
        <v>896</v>
      </c>
      <c r="E526">
        <v>4.47</v>
      </c>
      <c r="F526" s="2">
        <v>56.86</v>
      </c>
      <c r="G526">
        <v>5</v>
      </c>
      <c r="H526">
        <v>6</v>
      </c>
      <c r="I526" t="str">
        <f t="shared" si="24"/>
        <v>B2B</v>
      </c>
      <c r="J526" s="3">
        <f t="shared" si="25"/>
        <v>0.45</v>
      </c>
      <c r="K526" s="2">
        <f t="shared" si="26"/>
        <v>25.587</v>
      </c>
    </row>
    <row r="527" spans="1:11" x14ac:dyDescent="0.3">
      <c r="A527" t="s">
        <v>1422</v>
      </c>
      <c r="B527" t="s">
        <v>695</v>
      </c>
      <c r="C527">
        <v>63</v>
      </c>
      <c r="D527" t="s">
        <v>901</v>
      </c>
      <c r="E527">
        <v>1.82</v>
      </c>
      <c r="F527" s="2">
        <v>10.33</v>
      </c>
      <c r="G527">
        <v>3</v>
      </c>
      <c r="H527">
        <v>5</v>
      </c>
      <c r="I527" t="str">
        <f t="shared" si="24"/>
        <v>B2B</v>
      </c>
      <c r="J527" s="3">
        <f t="shared" si="25"/>
        <v>0.1</v>
      </c>
      <c r="K527" s="2">
        <f t="shared" si="26"/>
        <v>1.0330000000000001</v>
      </c>
    </row>
    <row r="528" spans="1:11" x14ac:dyDescent="0.3">
      <c r="A528" t="s">
        <v>1423</v>
      </c>
      <c r="B528" t="s">
        <v>705</v>
      </c>
      <c r="C528">
        <v>6</v>
      </c>
      <c r="D528" t="s">
        <v>896</v>
      </c>
      <c r="E528">
        <v>5.7</v>
      </c>
      <c r="F528" s="2">
        <v>50.55</v>
      </c>
      <c r="G528">
        <v>5</v>
      </c>
      <c r="H528">
        <v>0</v>
      </c>
      <c r="I528" t="str">
        <f t="shared" si="24"/>
        <v>B2B</v>
      </c>
      <c r="J528" s="3">
        <f t="shared" si="25"/>
        <v>0.45</v>
      </c>
      <c r="K528" s="2">
        <f t="shared" si="26"/>
        <v>22.747499999999999</v>
      </c>
    </row>
    <row r="529" spans="1:11" x14ac:dyDescent="0.3">
      <c r="A529" t="s">
        <v>1424</v>
      </c>
      <c r="B529" t="s">
        <v>693</v>
      </c>
      <c r="C529">
        <v>47</v>
      </c>
      <c r="D529" t="s">
        <v>894</v>
      </c>
      <c r="E529">
        <v>7.62</v>
      </c>
      <c r="F529" s="2">
        <v>84.93</v>
      </c>
      <c r="G529">
        <v>2</v>
      </c>
      <c r="H529">
        <v>4</v>
      </c>
      <c r="I529" t="str">
        <f t="shared" si="24"/>
        <v>-</v>
      </c>
      <c r="J529" s="3">
        <f t="shared" si="25"/>
        <v>0.45</v>
      </c>
      <c r="K529" s="2">
        <f t="shared" si="26"/>
        <v>38.218500000000006</v>
      </c>
    </row>
    <row r="530" spans="1:11" x14ac:dyDescent="0.3">
      <c r="A530" t="s">
        <v>1425</v>
      </c>
      <c r="B530" t="s">
        <v>700</v>
      </c>
      <c r="C530">
        <v>110</v>
      </c>
      <c r="D530" t="s">
        <v>899</v>
      </c>
      <c r="E530">
        <v>2.2000000000000002</v>
      </c>
      <c r="F530" s="2">
        <v>21.31</v>
      </c>
      <c r="G530">
        <v>5</v>
      </c>
      <c r="H530">
        <v>9</v>
      </c>
      <c r="I530" t="str">
        <f t="shared" si="24"/>
        <v>B2B</v>
      </c>
      <c r="J530" s="3">
        <f t="shared" si="25"/>
        <v>0.1</v>
      </c>
      <c r="K530" s="2">
        <f t="shared" si="26"/>
        <v>2.1309999999999998</v>
      </c>
    </row>
    <row r="531" spans="1:11" x14ac:dyDescent="0.3">
      <c r="A531" t="s">
        <v>1426</v>
      </c>
      <c r="B531" t="s">
        <v>700</v>
      </c>
      <c r="C531">
        <v>37</v>
      </c>
      <c r="D531" t="s">
        <v>894</v>
      </c>
      <c r="E531">
        <v>1.57</v>
      </c>
      <c r="F531" s="2">
        <v>50.44</v>
      </c>
      <c r="G531">
        <v>4</v>
      </c>
      <c r="H531">
        <v>3</v>
      </c>
      <c r="I531" t="str">
        <f t="shared" si="24"/>
        <v>B2B</v>
      </c>
      <c r="J531" s="3">
        <f t="shared" si="25"/>
        <v>0.45</v>
      </c>
      <c r="K531" s="2">
        <f t="shared" si="26"/>
        <v>22.698</v>
      </c>
    </row>
    <row r="532" spans="1:11" x14ac:dyDescent="0.3">
      <c r="A532" t="s">
        <v>1427</v>
      </c>
      <c r="B532" t="s">
        <v>725</v>
      </c>
      <c r="C532">
        <v>52</v>
      </c>
      <c r="D532" t="s">
        <v>894</v>
      </c>
      <c r="E532">
        <v>7.08</v>
      </c>
      <c r="F532" s="2">
        <v>97.25</v>
      </c>
      <c r="G532">
        <v>0</v>
      </c>
      <c r="H532">
        <v>4</v>
      </c>
      <c r="I532" t="str">
        <f t="shared" si="24"/>
        <v>-</v>
      </c>
      <c r="J532" s="3">
        <f t="shared" si="25"/>
        <v>0.45</v>
      </c>
      <c r="K532" s="2">
        <f t="shared" si="26"/>
        <v>43.762500000000003</v>
      </c>
    </row>
    <row r="533" spans="1:11" x14ac:dyDescent="0.3">
      <c r="A533" t="s">
        <v>1428</v>
      </c>
      <c r="B533" t="s">
        <v>715</v>
      </c>
      <c r="C533">
        <v>53</v>
      </c>
      <c r="D533" t="s">
        <v>896</v>
      </c>
      <c r="E533">
        <v>0.45</v>
      </c>
      <c r="F533" s="2">
        <v>18.77</v>
      </c>
      <c r="G533">
        <v>0</v>
      </c>
      <c r="H533">
        <v>4</v>
      </c>
      <c r="I533" t="str">
        <f t="shared" si="24"/>
        <v>B2B</v>
      </c>
      <c r="J533" s="3">
        <f t="shared" si="25"/>
        <v>0.1</v>
      </c>
      <c r="K533" s="2">
        <f t="shared" si="26"/>
        <v>1.877</v>
      </c>
    </row>
    <row r="534" spans="1:11" x14ac:dyDescent="0.3">
      <c r="A534" t="s">
        <v>1429</v>
      </c>
      <c r="B534" t="s">
        <v>698</v>
      </c>
      <c r="C534">
        <v>110</v>
      </c>
      <c r="D534" t="s">
        <v>901</v>
      </c>
      <c r="E534">
        <v>0.78</v>
      </c>
      <c r="F534" s="2">
        <v>29.68</v>
      </c>
      <c r="G534">
        <v>0</v>
      </c>
      <c r="H534">
        <v>9</v>
      </c>
      <c r="I534" t="str">
        <f t="shared" si="24"/>
        <v>B2B</v>
      </c>
      <c r="J534" s="3">
        <f t="shared" si="25"/>
        <v>0.1</v>
      </c>
      <c r="K534" s="2">
        <f t="shared" si="26"/>
        <v>2.968</v>
      </c>
    </row>
    <row r="535" spans="1:11" x14ac:dyDescent="0.3">
      <c r="A535" t="s">
        <v>1430</v>
      </c>
      <c r="B535" t="s">
        <v>737</v>
      </c>
      <c r="C535">
        <v>80</v>
      </c>
      <c r="D535" t="s">
        <v>896</v>
      </c>
      <c r="E535">
        <v>7.63</v>
      </c>
      <c r="F535" s="2">
        <v>98.11</v>
      </c>
      <c r="G535">
        <v>0</v>
      </c>
      <c r="H535">
        <v>7</v>
      </c>
      <c r="I535" t="str">
        <f t="shared" si="24"/>
        <v>-</v>
      </c>
      <c r="J535" s="3">
        <f t="shared" si="25"/>
        <v>0.45</v>
      </c>
      <c r="K535" s="2">
        <f t="shared" si="26"/>
        <v>44.149500000000003</v>
      </c>
    </row>
    <row r="536" spans="1:11" x14ac:dyDescent="0.3">
      <c r="A536" t="s">
        <v>1431</v>
      </c>
      <c r="B536" t="s">
        <v>706</v>
      </c>
      <c r="C536">
        <v>118</v>
      </c>
      <c r="D536" t="s">
        <v>899</v>
      </c>
      <c r="E536">
        <v>7.68</v>
      </c>
      <c r="F536" s="2">
        <v>47.82</v>
      </c>
      <c r="G536">
        <v>5</v>
      </c>
      <c r="H536">
        <v>10</v>
      </c>
      <c r="I536" t="str">
        <f t="shared" si="24"/>
        <v>B2B</v>
      </c>
      <c r="J536" s="3">
        <f t="shared" si="25"/>
        <v>0.45</v>
      </c>
      <c r="K536" s="2">
        <f t="shared" si="26"/>
        <v>21.519000000000002</v>
      </c>
    </row>
    <row r="537" spans="1:11" x14ac:dyDescent="0.3">
      <c r="A537" t="s">
        <v>1432</v>
      </c>
      <c r="B537" t="s">
        <v>678</v>
      </c>
      <c r="C537">
        <v>88</v>
      </c>
      <c r="D537" t="s">
        <v>894</v>
      </c>
      <c r="E537">
        <v>3.65</v>
      </c>
      <c r="F537" s="2">
        <v>59.15</v>
      </c>
      <c r="G537">
        <v>0</v>
      </c>
      <c r="H537">
        <v>7</v>
      </c>
      <c r="I537" t="str">
        <f t="shared" si="24"/>
        <v>B2B</v>
      </c>
      <c r="J537" s="3">
        <f t="shared" si="25"/>
        <v>0.1</v>
      </c>
      <c r="K537" s="2">
        <f t="shared" si="26"/>
        <v>5.915</v>
      </c>
    </row>
    <row r="538" spans="1:11" x14ac:dyDescent="0.3">
      <c r="A538" t="s">
        <v>1433</v>
      </c>
      <c r="B538" t="s">
        <v>721</v>
      </c>
      <c r="C538">
        <v>17</v>
      </c>
      <c r="D538" t="s">
        <v>896</v>
      </c>
      <c r="E538">
        <v>2.92</v>
      </c>
      <c r="F538" s="2">
        <v>24.95</v>
      </c>
      <c r="G538">
        <v>4</v>
      </c>
      <c r="H538">
        <v>1</v>
      </c>
      <c r="I538" t="str">
        <f t="shared" si="24"/>
        <v>B2B</v>
      </c>
      <c r="J538" s="3">
        <f t="shared" si="25"/>
        <v>0.1</v>
      </c>
      <c r="K538" s="2">
        <f t="shared" si="26"/>
        <v>2.4950000000000001</v>
      </c>
    </row>
    <row r="539" spans="1:11" x14ac:dyDescent="0.3">
      <c r="A539" t="s">
        <v>1434</v>
      </c>
      <c r="B539" t="s">
        <v>689</v>
      </c>
      <c r="C539">
        <v>57</v>
      </c>
      <c r="D539" t="s">
        <v>899</v>
      </c>
      <c r="E539">
        <v>8.2200000000000006</v>
      </c>
      <c r="F539" s="2">
        <v>43.98</v>
      </c>
      <c r="G539">
        <v>3</v>
      </c>
      <c r="H539">
        <v>5</v>
      </c>
      <c r="I539" t="str">
        <f t="shared" si="24"/>
        <v>B2B</v>
      </c>
      <c r="J539" s="3">
        <f t="shared" si="25"/>
        <v>0.45</v>
      </c>
      <c r="K539" s="2">
        <f t="shared" si="26"/>
        <v>19.791</v>
      </c>
    </row>
    <row r="540" spans="1:11" x14ac:dyDescent="0.3">
      <c r="A540" t="s">
        <v>1435</v>
      </c>
      <c r="B540" t="s">
        <v>715</v>
      </c>
      <c r="C540">
        <v>47</v>
      </c>
      <c r="D540" t="s">
        <v>901</v>
      </c>
      <c r="E540">
        <v>6.42</v>
      </c>
      <c r="F540" s="2">
        <v>41.33</v>
      </c>
      <c r="G540">
        <v>0</v>
      </c>
      <c r="H540">
        <v>4</v>
      </c>
      <c r="I540" t="str">
        <f t="shared" si="24"/>
        <v>B2B</v>
      </c>
      <c r="J540" s="3">
        <f t="shared" si="25"/>
        <v>0.45</v>
      </c>
      <c r="K540" s="2">
        <f t="shared" si="26"/>
        <v>18.598500000000001</v>
      </c>
    </row>
    <row r="541" spans="1:11" x14ac:dyDescent="0.3">
      <c r="A541" t="s">
        <v>1436</v>
      </c>
      <c r="B541" t="s">
        <v>713</v>
      </c>
      <c r="C541">
        <v>66</v>
      </c>
      <c r="D541" t="s">
        <v>896</v>
      </c>
      <c r="E541">
        <v>2.5299999999999998</v>
      </c>
      <c r="F541" s="2">
        <v>95.71</v>
      </c>
      <c r="G541">
        <v>3</v>
      </c>
      <c r="H541">
        <v>6</v>
      </c>
      <c r="I541" t="str">
        <f t="shared" si="24"/>
        <v>-</v>
      </c>
      <c r="J541" s="3">
        <f t="shared" si="25"/>
        <v>0</v>
      </c>
      <c r="K541" s="2">
        <f t="shared" si="26"/>
        <v>0</v>
      </c>
    </row>
    <row r="542" spans="1:11" x14ac:dyDescent="0.3">
      <c r="A542" t="s">
        <v>1437</v>
      </c>
      <c r="B542" t="s">
        <v>736</v>
      </c>
      <c r="C542">
        <v>109</v>
      </c>
      <c r="D542" t="s">
        <v>901</v>
      </c>
      <c r="E542">
        <v>1.4</v>
      </c>
      <c r="F542" s="2">
        <v>97.46</v>
      </c>
      <c r="G542">
        <v>5</v>
      </c>
      <c r="H542">
        <v>9</v>
      </c>
      <c r="I542" t="str">
        <f t="shared" si="24"/>
        <v>-</v>
      </c>
      <c r="J542" s="3">
        <f t="shared" si="25"/>
        <v>0</v>
      </c>
      <c r="K542" s="2">
        <f t="shared" si="26"/>
        <v>0</v>
      </c>
    </row>
    <row r="543" spans="1:11" x14ac:dyDescent="0.3">
      <c r="A543" t="s">
        <v>1438</v>
      </c>
      <c r="B543" t="s">
        <v>703</v>
      </c>
      <c r="C543">
        <v>80</v>
      </c>
      <c r="D543" t="s">
        <v>901</v>
      </c>
      <c r="E543">
        <v>1.68</v>
      </c>
      <c r="F543" s="2">
        <v>61.92</v>
      </c>
      <c r="G543">
        <v>4</v>
      </c>
      <c r="H543">
        <v>7</v>
      </c>
      <c r="I543" t="str">
        <f t="shared" si="24"/>
        <v>B2B</v>
      </c>
      <c r="J543" s="3">
        <f t="shared" si="25"/>
        <v>0.1</v>
      </c>
      <c r="K543" s="2">
        <f t="shared" si="26"/>
        <v>6.1920000000000002</v>
      </c>
    </row>
    <row r="544" spans="1:11" x14ac:dyDescent="0.3">
      <c r="A544" t="s">
        <v>1439</v>
      </c>
      <c r="B544" t="s">
        <v>721</v>
      </c>
      <c r="C544">
        <v>41</v>
      </c>
      <c r="D544" t="s">
        <v>894</v>
      </c>
      <c r="E544">
        <v>2.97</v>
      </c>
      <c r="F544" s="2">
        <v>11.29</v>
      </c>
      <c r="G544">
        <v>4</v>
      </c>
      <c r="H544">
        <v>3</v>
      </c>
      <c r="I544" t="str">
        <f t="shared" si="24"/>
        <v>B2B</v>
      </c>
      <c r="J544" s="3">
        <f t="shared" si="25"/>
        <v>0.45</v>
      </c>
      <c r="K544" s="2">
        <f t="shared" si="26"/>
        <v>5.0804999999999998</v>
      </c>
    </row>
    <row r="545" spans="1:11" x14ac:dyDescent="0.3">
      <c r="A545" t="s">
        <v>1440</v>
      </c>
      <c r="B545" t="s">
        <v>721</v>
      </c>
      <c r="C545">
        <v>48</v>
      </c>
      <c r="D545" t="s">
        <v>899</v>
      </c>
      <c r="E545">
        <v>8.0299999999999994</v>
      </c>
      <c r="F545" s="2">
        <v>83.24</v>
      </c>
      <c r="G545">
        <v>0</v>
      </c>
      <c r="H545">
        <v>4</v>
      </c>
      <c r="I545" t="str">
        <f t="shared" si="24"/>
        <v>-</v>
      </c>
      <c r="J545" s="3">
        <f t="shared" si="25"/>
        <v>0.45</v>
      </c>
      <c r="K545" s="2">
        <f t="shared" si="26"/>
        <v>37.457999999999998</v>
      </c>
    </row>
    <row r="546" spans="1:11" x14ac:dyDescent="0.3">
      <c r="A546" t="s">
        <v>1441</v>
      </c>
      <c r="B546" t="s">
        <v>725</v>
      </c>
      <c r="C546">
        <v>11</v>
      </c>
      <c r="D546" t="s">
        <v>896</v>
      </c>
      <c r="E546">
        <v>3.57</v>
      </c>
      <c r="F546" s="2">
        <v>11.46</v>
      </c>
      <c r="G546">
        <v>5</v>
      </c>
      <c r="H546">
        <v>1</v>
      </c>
      <c r="I546" t="str">
        <f t="shared" si="24"/>
        <v>B2B</v>
      </c>
      <c r="J546" s="3">
        <f t="shared" si="25"/>
        <v>0.1</v>
      </c>
      <c r="K546" s="2">
        <f t="shared" si="26"/>
        <v>1.1460000000000001</v>
      </c>
    </row>
    <row r="547" spans="1:11" x14ac:dyDescent="0.3">
      <c r="A547" t="s">
        <v>1442</v>
      </c>
      <c r="B547" t="s">
        <v>706</v>
      </c>
      <c r="C547">
        <v>88</v>
      </c>
      <c r="D547" t="s">
        <v>899</v>
      </c>
      <c r="E547">
        <v>4.0999999999999996</v>
      </c>
      <c r="F547" s="2">
        <v>90.7</v>
      </c>
      <c r="G547">
        <v>3</v>
      </c>
      <c r="H547">
        <v>7</v>
      </c>
      <c r="I547" t="str">
        <f t="shared" si="24"/>
        <v>-</v>
      </c>
      <c r="J547" s="3">
        <f t="shared" si="25"/>
        <v>0.45</v>
      </c>
      <c r="K547" s="2">
        <f t="shared" si="26"/>
        <v>40.815000000000005</v>
      </c>
    </row>
    <row r="548" spans="1:11" x14ac:dyDescent="0.3">
      <c r="A548" t="s">
        <v>1443</v>
      </c>
      <c r="B548" t="s">
        <v>678</v>
      </c>
      <c r="C548">
        <v>53</v>
      </c>
      <c r="D548" t="s">
        <v>894</v>
      </c>
      <c r="E548">
        <v>4.05</v>
      </c>
      <c r="F548" s="2">
        <v>55.19</v>
      </c>
      <c r="G548">
        <v>4</v>
      </c>
      <c r="H548">
        <v>4</v>
      </c>
      <c r="I548" t="str">
        <f t="shared" si="24"/>
        <v>B2B</v>
      </c>
      <c r="J548" s="3">
        <f t="shared" si="25"/>
        <v>0.45</v>
      </c>
      <c r="K548" s="2">
        <f t="shared" si="26"/>
        <v>24.8355</v>
      </c>
    </row>
    <row r="549" spans="1:11" x14ac:dyDescent="0.3">
      <c r="A549" t="s">
        <v>1444</v>
      </c>
      <c r="B549" t="s">
        <v>674</v>
      </c>
      <c r="C549">
        <v>65</v>
      </c>
      <c r="D549" t="s">
        <v>896</v>
      </c>
      <c r="E549">
        <v>4.57</v>
      </c>
      <c r="F549" s="2">
        <v>88.1</v>
      </c>
      <c r="G549">
        <v>4</v>
      </c>
      <c r="H549">
        <v>5</v>
      </c>
      <c r="I549" t="str">
        <f t="shared" si="24"/>
        <v>-</v>
      </c>
      <c r="J549" s="3">
        <f t="shared" si="25"/>
        <v>0.45</v>
      </c>
      <c r="K549" s="2">
        <f t="shared" si="26"/>
        <v>39.644999999999996</v>
      </c>
    </row>
    <row r="550" spans="1:11" x14ac:dyDescent="0.3">
      <c r="A550" t="s">
        <v>1445</v>
      </c>
      <c r="B550" t="s">
        <v>687</v>
      </c>
      <c r="C550">
        <v>58</v>
      </c>
      <c r="D550" t="s">
        <v>896</v>
      </c>
      <c r="E550">
        <v>5.87</v>
      </c>
      <c r="F550" s="2">
        <v>72.94</v>
      </c>
      <c r="G550">
        <v>0</v>
      </c>
      <c r="H550">
        <v>5</v>
      </c>
      <c r="I550" t="str">
        <f t="shared" si="24"/>
        <v>B2B</v>
      </c>
      <c r="J550" s="3">
        <f t="shared" si="25"/>
        <v>0.45</v>
      </c>
      <c r="K550" s="2">
        <f t="shared" si="26"/>
        <v>32.823</v>
      </c>
    </row>
    <row r="551" spans="1:11" x14ac:dyDescent="0.3">
      <c r="A551" t="s">
        <v>1446</v>
      </c>
      <c r="B551" t="s">
        <v>702</v>
      </c>
      <c r="C551">
        <v>34</v>
      </c>
      <c r="D551" t="s">
        <v>901</v>
      </c>
      <c r="E551">
        <v>6.68</v>
      </c>
      <c r="F551" s="2">
        <v>68.400000000000006</v>
      </c>
      <c r="G551">
        <v>5</v>
      </c>
      <c r="H551">
        <v>3</v>
      </c>
      <c r="I551" t="str">
        <f t="shared" si="24"/>
        <v>B2B</v>
      </c>
      <c r="J551" s="3">
        <f t="shared" si="25"/>
        <v>0.45</v>
      </c>
      <c r="K551" s="2">
        <f t="shared" si="26"/>
        <v>30.780000000000005</v>
      </c>
    </row>
    <row r="552" spans="1:11" x14ac:dyDescent="0.3">
      <c r="A552" t="s">
        <v>1447</v>
      </c>
      <c r="B552" t="s">
        <v>705</v>
      </c>
      <c r="C552">
        <v>51</v>
      </c>
      <c r="D552" t="s">
        <v>901</v>
      </c>
      <c r="E552">
        <v>2.5299999999999998</v>
      </c>
      <c r="F552" s="2">
        <v>34.630000000000003</v>
      </c>
      <c r="G552">
        <v>2</v>
      </c>
      <c r="H552">
        <v>4</v>
      </c>
      <c r="I552" t="str">
        <f t="shared" si="24"/>
        <v>B2B</v>
      </c>
      <c r="J552" s="3">
        <f t="shared" si="25"/>
        <v>0.1</v>
      </c>
      <c r="K552" s="2">
        <f t="shared" si="26"/>
        <v>3.4630000000000005</v>
      </c>
    </row>
    <row r="553" spans="1:11" x14ac:dyDescent="0.3">
      <c r="A553" t="s">
        <v>1448</v>
      </c>
      <c r="B553" t="s">
        <v>713</v>
      </c>
      <c r="C553">
        <v>25</v>
      </c>
      <c r="D553" t="s">
        <v>899</v>
      </c>
      <c r="E553">
        <v>0.08</v>
      </c>
      <c r="F553" s="2">
        <v>27.93</v>
      </c>
      <c r="G553">
        <v>0</v>
      </c>
      <c r="H553">
        <v>2</v>
      </c>
      <c r="I553" t="str">
        <f t="shared" si="24"/>
        <v>B2B</v>
      </c>
      <c r="J553" s="3">
        <f t="shared" si="25"/>
        <v>0.1</v>
      </c>
      <c r="K553" s="2">
        <f t="shared" si="26"/>
        <v>2.7930000000000001</v>
      </c>
    </row>
    <row r="554" spans="1:11" x14ac:dyDescent="0.3">
      <c r="A554" t="s">
        <v>1449</v>
      </c>
      <c r="B554" t="s">
        <v>674</v>
      </c>
      <c r="C554">
        <v>79</v>
      </c>
      <c r="D554" t="s">
        <v>899</v>
      </c>
      <c r="E554">
        <v>7.7</v>
      </c>
      <c r="F554" s="2">
        <v>18.28</v>
      </c>
      <c r="G554">
        <v>0</v>
      </c>
      <c r="H554">
        <v>7</v>
      </c>
      <c r="I554" t="str">
        <f t="shared" si="24"/>
        <v>B2B</v>
      </c>
      <c r="J554" s="3">
        <f t="shared" si="25"/>
        <v>0.45</v>
      </c>
      <c r="K554" s="2">
        <f t="shared" si="26"/>
        <v>8.2260000000000009</v>
      </c>
    </row>
    <row r="555" spans="1:11" x14ac:dyDescent="0.3">
      <c r="A555" t="s">
        <v>1450</v>
      </c>
      <c r="B555" t="s">
        <v>703</v>
      </c>
      <c r="C555">
        <v>83</v>
      </c>
      <c r="D555" t="s">
        <v>896</v>
      </c>
      <c r="E555">
        <v>1.52</v>
      </c>
      <c r="F555" s="2">
        <v>73.73</v>
      </c>
      <c r="G555">
        <v>2</v>
      </c>
      <c r="H555">
        <v>7</v>
      </c>
      <c r="I555" t="str">
        <f t="shared" si="24"/>
        <v>B2B</v>
      </c>
      <c r="J555" s="3">
        <f t="shared" si="25"/>
        <v>0.1</v>
      </c>
      <c r="K555" s="2">
        <f t="shared" si="26"/>
        <v>7.3730000000000011</v>
      </c>
    </row>
    <row r="556" spans="1:11" x14ac:dyDescent="0.3">
      <c r="A556" t="s">
        <v>1451</v>
      </c>
      <c r="B556" t="s">
        <v>695</v>
      </c>
      <c r="C556">
        <v>51</v>
      </c>
      <c r="D556" t="s">
        <v>899</v>
      </c>
      <c r="E556">
        <v>5.62</v>
      </c>
      <c r="F556" s="2">
        <v>68.67</v>
      </c>
      <c r="G556">
        <v>5</v>
      </c>
      <c r="H556">
        <v>4</v>
      </c>
      <c r="I556" t="str">
        <f t="shared" si="24"/>
        <v>B2B</v>
      </c>
      <c r="J556" s="3">
        <f t="shared" si="25"/>
        <v>0.45</v>
      </c>
      <c r="K556" s="2">
        <f t="shared" si="26"/>
        <v>30.901500000000002</v>
      </c>
    </row>
    <row r="557" spans="1:11" x14ac:dyDescent="0.3">
      <c r="A557" t="s">
        <v>1452</v>
      </c>
      <c r="B557" t="s">
        <v>678</v>
      </c>
      <c r="C557">
        <v>107</v>
      </c>
      <c r="D557" t="s">
        <v>901</v>
      </c>
      <c r="E557">
        <v>4.83</v>
      </c>
      <c r="F557" s="2">
        <v>52.03</v>
      </c>
      <c r="G557">
        <v>0</v>
      </c>
      <c r="H557">
        <v>9</v>
      </c>
      <c r="I557" t="str">
        <f t="shared" si="24"/>
        <v>B2B</v>
      </c>
      <c r="J557" s="3">
        <f t="shared" si="25"/>
        <v>0.45</v>
      </c>
      <c r="K557" s="2">
        <f t="shared" si="26"/>
        <v>23.413500000000003</v>
      </c>
    </row>
    <row r="558" spans="1:11" x14ac:dyDescent="0.3">
      <c r="A558" t="s">
        <v>1453</v>
      </c>
      <c r="B558" t="s">
        <v>693</v>
      </c>
      <c r="C558">
        <v>7</v>
      </c>
      <c r="D558" t="s">
        <v>896</v>
      </c>
      <c r="E558">
        <v>5.38</v>
      </c>
      <c r="F558" s="2">
        <v>82.81</v>
      </c>
      <c r="G558">
        <v>5</v>
      </c>
      <c r="H558">
        <v>1</v>
      </c>
      <c r="I558" t="str">
        <f t="shared" si="24"/>
        <v>-</v>
      </c>
      <c r="J558" s="3">
        <f t="shared" si="25"/>
        <v>0.45</v>
      </c>
      <c r="K558" s="2">
        <f t="shared" si="26"/>
        <v>37.264500000000005</v>
      </c>
    </row>
    <row r="559" spans="1:11" x14ac:dyDescent="0.3">
      <c r="A559" t="s">
        <v>1454</v>
      </c>
      <c r="B559" t="s">
        <v>706</v>
      </c>
      <c r="C559">
        <v>103</v>
      </c>
      <c r="D559" t="s">
        <v>894</v>
      </c>
      <c r="E559">
        <v>5.17</v>
      </c>
      <c r="F559" s="2">
        <v>49.25</v>
      </c>
      <c r="G559">
        <v>2</v>
      </c>
      <c r="H559">
        <v>9</v>
      </c>
      <c r="I559" t="str">
        <f t="shared" si="24"/>
        <v>B2B</v>
      </c>
      <c r="J559" s="3">
        <f t="shared" si="25"/>
        <v>0.45</v>
      </c>
      <c r="K559" s="2">
        <f t="shared" si="26"/>
        <v>22.162500000000001</v>
      </c>
    </row>
    <row r="560" spans="1:11" x14ac:dyDescent="0.3">
      <c r="A560" t="s">
        <v>1455</v>
      </c>
      <c r="B560" t="s">
        <v>678</v>
      </c>
      <c r="C560">
        <v>120</v>
      </c>
      <c r="D560" t="s">
        <v>901</v>
      </c>
      <c r="E560">
        <v>7.28</v>
      </c>
      <c r="F560" s="2">
        <v>95.17</v>
      </c>
      <c r="G560">
        <v>1</v>
      </c>
      <c r="H560">
        <v>10</v>
      </c>
      <c r="I560" t="str">
        <f t="shared" si="24"/>
        <v>-</v>
      </c>
      <c r="J560" s="3">
        <f t="shared" si="25"/>
        <v>0.45</v>
      </c>
      <c r="K560" s="2">
        <f t="shared" si="26"/>
        <v>42.826500000000003</v>
      </c>
    </row>
    <row r="561" spans="1:11" x14ac:dyDescent="0.3">
      <c r="A561" t="s">
        <v>1456</v>
      </c>
      <c r="B561" t="s">
        <v>699</v>
      </c>
      <c r="C561">
        <v>74</v>
      </c>
      <c r="D561" t="s">
        <v>901</v>
      </c>
      <c r="E561">
        <v>0.27</v>
      </c>
      <c r="F561" s="2">
        <v>93.01</v>
      </c>
      <c r="G561">
        <v>3</v>
      </c>
      <c r="H561">
        <v>6</v>
      </c>
      <c r="I561" t="str">
        <f t="shared" si="24"/>
        <v>-</v>
      </c>
      <c r="J561" s="3">
        <f t="shared" si="25"/>
        <v>0</v>
      </c>
      <c r="K561" s="2">
        <f t="shared" si="26"/>
        <v>0</v>
      </c>
    </row>
    <row r="562" spans="1:11" x14ac:dyDescent="0.3">
      <c r="A562" t="s">
        <v>1457</v>
      </c>
      <c r="B562" t="s">
        <v>721</v>
      </c>
      <c r="C562">
        <v>55</v>
      </c>
      <c r="D562" t="s">
        <v>901</v>
      </c>
      <c r="E562">
        <v>1</v>
      </c>
      <c r="F562" s="2">
        <v>32.51</v>
      </c>
      <c r="G562">
        <v>4</v>
      </c>
      <c r="H562">
        <v>5</v>
      </c>
      <c r="I562" t="str">
        <f t="shared" si="24"/>
        <v>B2B</v>
      </c>
      <c r="J562" s="3">
        <f t="shared" si="25"/>
        <v>0.1</v>
      </c>
      <c r="K562" s="2">
        <f t="shared" si="26"/>
        <v>3.2509999999999999</v>
      </c>
    </row>
    <row r="563" spans="1:11" x14ac:dyDescent="0.3">
      <c r="A563" t="s">
        <v>1458</v>
      </c>
      <c r="B563" t="s">
        <v>674</v>
      </c>
      <c r="C563">
        <v>17</v>
      </c>
      <c r="D563" t="s">
        <v>894</v>
      </c>
      <c r="E563">
        <v>8.32</v>
      </c>
      <c r="F563" s="2">
        <v>27.81</v>
      </c>
      <c r="G563">
        <v>2</v>
      </c>
      <c r="H563">
        <v>1</v>
      </c>
      <c r="I563" t="str">
        <f t="shared" si="24"/>
        <v>B2B</v>
      </c>
      <c r="J563" s="3">
        <f t="shared" si="25"/>
        <v>0.45</v>
      </c>
      <c r="K563" s="2">
        <f t="shared" si="26"/>
        <v>12.5145</v>
      </c>
    </row>
    <row r="564" spans="1:11" x14ac:dyDescent="0.3">
      <c r="A564" t="s">
        <v>1459</v>
      </c>
      <c r="B564" t="s">
        <v>710</v>
      </c>
      <c r="C564">
        <v>82</v>
      </c>
      <c r="D564" t="s">
        <v>901</v>
      </c>
      <c r="E564">
        <v>2.92</v>
      </c>
      <c r="F564" s="2">
        <v>86.14</v>
      </c>
      <c r="G564">
        <v>1</v>
      </c>
      <c r="H564">
        <v>7</v>
      </c>
      <c r="I564" t="str">
        <f t="shared" si="24"/>
        <v>-</v>
      </c>
      <c r="J564" s="3">
        <f t="shared" si="25"/>
        <v>0</v>
      </c>
      <c r="K564" s="2">
        <f t="shared" si="26"/>
        <v>0</v>
      </c>
    </row>
    <row r="565" spans="1:11" x14ac:dyDescent="0.3">
      <c r="A565" t="s">
        <v>1460</v>
      </c>
      <c r="B565" t="s">
        <v>737</v>
      </c>
      <c r="C565">
        <v>50</v>
      </c>
      <c r="D565" t="s">
        <v>901</v>
      </c>
      <c r="E565">
        <v>2.95</v>
      </c>
      <c r="F565" s="2">
        <v>74.569999999999993</v>
      </c>
      <c r="G565">
        <v>4</v>
      </c>
      <c r="H565">
        <v>4</v>
      </c>
      <c r="I565" t="str">
        <f t="shared" si="24"/>
        <v>B2B</v>
      </c>
      <c r="J565" s="3">
        <f t="shared" si="25"/>
        <v>0.1</v>
      </c>
      <c r="K565" s="2">
        <f t="shared" si="26"/>
        <v>7.4569999999999999</v>
      </c>
    </row>
    <row r="566" spans="1:11" x14ac:dyDescent="0.3">
      <c r="A566" t="s">
        <v>1461</v>
      </c>
      <c r="B566" t="s">
        <v>681</v>
      </c>
      <c r="C566">
        <v>94</v>
      </c>
      <c r="D566" t="s">
        <v>896</v>
      </c>
      <c r="E566">
        <v>4.12</v>
      </c>
      <c r="F566" s="2">
        <v>96.57</v>
      </c>
      <c r="G566">
        <v>0</v>
      </c>
      <c r="H566">
        <v>8</v>
      </c>
      <c r="I566" t="str">
        <f t="shared" si="24"/>
        <v>-</v>
      </c>
      <c r="J566" s="3">
        <f t="shared" si="25"/>
        <v>0.45</v>
      </c>
      <c r="K566" s="2">
        <f t="shared" si="26"/>
        <v>43.456499999999998</v>
      </c>
    </row>
    <row r="567" spans="1:11" x14ac:dyDescent="0.3">
      <c r="A567" t="s">
        <v>1462</v>
      </c>
      <c r="B567" t="s">
        <v>721</v>
      </c>
      <c r="C567">
        <v>23</v>
      </c>
      <c r="D567" t="s">
        <v>894</v>
      </c>
      <c r="E567">
        <v>5.23</v>
      </c>
      <c r="F567" s="2">
        <v>19.260000000000002</v>
      </c>
      <c r="G567">
        <v>3</v>
      </c>
      <c r="H567">
        <v>2</v>
      </c>
      <c r="I567" t="str">
        <f t="shared" si="24"/>
        <v>B2B</v>
      </c>
      <c r="J567" s="3">
        <f t="shared" si="25"/>
        <v>0.45</v>
      </c>
      <c r="K567" s="2">
        <f t="shared" si="26"/>
        <v>8.6670000000000016</v>
      </c>
    </row>
    <row r="568" spans="1:11" x14ac:dyDescent="0.3">
      <c r="A568" t="s">
        <v>1463</v>
      </c>
      <c r="B568" t="s">
        <v>718</v>
      </c>
      <c r="C568">
        <v>52</v>
      </c>
      <c r="D568" t="s">
        <v>899</v>
      </c>
      <c r="E568">
        <v>5.12</v>
      </c>
      <c r="F568" s="2">
        <v>81.38</v>
      </c>
      <c r="G568">
        <v>2</v>
      </c>
      <c r="H568">
        <v>4</v>
      </c>
      <c r="I568" t="str">
        <f t="shared" si="24"/>
        <v>-</v>
      </c>
      <c r="J568" s="3">
        <f t="shared" si="25"/>
        <v>0.45</v>
      </c>
      <c r="K568" s="2">
        <f t="shared" si="26"/>
        <v>36.621000000000002</v>
      </c>
    </row>
    <row r="569" spans="1:11" x14ac:dyDescent="0.3">
      <c r="A569" t="s">
        <v>1464</v>
      </c>
      <c r="B569" t="s">
        <v>695</v>
      </c>
      <c r="C569">
        <v>116</v>
      </c>
      <c r="D569" t="s">
        <v>894</v>
      </c>
      <c r="E569">
        <v>4.6500000000000004</v>
      </c>
      <c r="F569" s="2">
        <v>62.88</v>
      </c>
      <c r="G569">
        <v>4</v>
      </c>
      <c r="H569">
        <v>10</v>
      </c>
      <c r="I569" t="str">
        <f t="shared" si="24"/>
        <v>B2B</v>
      </c>
      <c r="J569" s="3">
        <f t="shared" si="25"/>
        <v>0.45</v>
      </c>
      <c r="K569" s="2">
        <f t="shared" si="26"/>
        <v>28.296000000000003</v>
      </c>
    </row>
    <row r="570" spans="1:11" x14ac:dyDescent="0.3">
      <c r="A570" t="s">
        <v>1465</v>
      </c>
      <c r="B570" t="s">
        <v>689</v>
      </c>
      <c r="C570">
        <v>41</v>
      </c>
      <c r="D570" t="s">
        <v>899</v>
      </c>
      <c r="E570">
        <v>0.03</v>
      </c>
      <c r="F570" s="2">
        <v>24.91</v>
      </c>
      <c r="G570">
        <v>1</v>
      </c>
      <c r="H570">
        <v>3</v>
      </c>
      <c r="I570" t="str">
        <f t="shared" si="24"/>
        <v>B2B</v>
      </c>
      <c r="J570" s="3">
        <f t="shared" si="25"/>
        <v>0.1</v>
      </c>
      <c r="K570" s="2">
        <f t="shared" si="26"/>
        <v>2.4910000000000001</v>
      </c>
    </row>
    <row r="571" spans="1:11" x14ac:dyDescent="0.3">
      <c r="A571" t="s">
        <v>1466</v>
      </c>
      <c r="B571" t="s">
        <v>699</v>
      </c>
      <c r="C571">
        <v>67</v>
      </c>
      <c r="D571" t="s">
        <v>901</v>
      </c>
      <c r="E571">
        <v>1.35</v>
      </c>
      <c r="F571" s="2">
        <v>28.52</v>
      </c>
      <c r="G571">
        <v>4</v>
      </c>
      <c r="H571">
        <v>6</v>
      </c>
      <c r="I571" t="str">
        <f t="shared" si="24"/>
        <v>B2B</v>
      </c>
      <c r="J571" s="3">
        <f t="shared" si="25"/>
        <v>0.1</v>
      </c>
      <c r="K571" s="2">
        <f t="shared" si="26"/>
        <v>2.8520000000000003</v>
      </c>
    </row>
    <row r="572" spans="1:11" x14ac:dyDescent="0.3">
      <c r="A572" t="s">
        <v>1467</v>
      </c>
      <c r="B572" t="s">
        <v>721</v>
      </c>
      <c r="C572">
        <v>21</v>
      </c>
      <c r="D572" t="s">
        <v>899</v>
      </c>
      <c r="E572">
        <v>4.45</v>
      </c>
      <c r="F572" s="2">
        <v>74.989999999999995</v>
      </c>
      <c r="G572">
        <v>1</v>
      </c>
      <c r="H572">
        <v>2</v>
      </c>
      <c r="I572" t="str">
        <f t="shared" si="24"/>
        <v>B2B</v>
      </c>
      <c r="J572" s="3">
        <f t="shared" si="25"/>
        <v>0.45</v>
      </c>
      <c r="K572" s="2">
        <f t="shared" si="26"/>
        <v>33.7455</v>
      </c>
    </row>
    <row r="573" spans="1:11" x14ac:dyDescent="0.3">
      <c r="A573" t="s">
        <v>1468</v>
      </c>
      <c r="B573" t="s">
        <v>705</v>
      </c>
      <c r="C573">
        <v>56</v>
      </c>
      <c r="D573" t="s">
        <v>899</v>
      </c>
      <c r="E573">
        <v>6.32</v>
      </c>
      <c r="F573" s="2">
        <v>49.01</v>
      </c>
      <c r="G573">
        <v>0</v>
      </c>
      <c r="H573">
        <v>5</v>
      </c>
      <c r="I573" t="str">
        <f t="shared" si="24"/>
        <v>B2B</v>
      </c>
      <c r="J573" s="3">
        <f t="shared" si="25"/>
        <v>0.45</v>
      </c>
      <c r="K573" s="2">
        <f t="shared" si="26"/>
        <v>22.054500000000001</v>
      </c>
    </row>
    <row r="574" spans="1:11" x14ac:dyDescent="0.3">
      <c r="A574" t="s">
        <v>1469</v>
      </c>
      <c r="B574" t="s">
        <v>684</v>
      </c>
      <c r="C574">
        <v>30</v>
      </c>
      <c r="D574" t="s">
        <v>899</v>
      </c>
      <c r="E574">
        <v>2.17</v>
      </c>
      <c r="F574" s="2">
        <v>50.15</v>
      </c>
      <c r="G574">
        <v>4</v>
      </c>
      <c r="H574">
        <v>2</v>
      </c>
      <c r="I574" t="str">
        <f t="shared" si="24"/>
        <v>B2B</v>
      </c>
      <c r="J574" s="3">
        <f t="shared" si="25"/>
        <v>0.1</v>
      </c>
      <c r="K574" s="2">
        <f t="shared" si="26"/>
        <v>5.0150000000000006</v>
      </c>
    </row>
    <row r="575" spans="1:11" x14ac:dyDescent="0.3">
      <c r="A575" t="s">
        <v>1470</v>
      </c>
      <c r="B575" t="s">
        <v>736</v>
      </c>
      <c r="C575">
        <v>13</v>
      </c>
      <c r="D575" t="s">
        <v>896</v>
      </c>
      <c r="E575">
        <v>7.9</v>
      </c>
      <c r="F575" s="2">
        <v>63.67</v>
      </c>
      <c r="G575">
        <v>2</v>
      </c>
      <c r="H575">
        <v>1</v>
      </c>
      <c r="I575" t="str">
        <f t="shared" si="24"/>
        <v>B2B</v>
      </c>
      <c r="J575" s="3">
        <f t="shared" si="25"/>
        <v>0.45</v>
      </c>
      <c r="K575" s="2">
        <f t="shared" si="26"/>
        <v>28.651500000000002</v>
      </c>
    </row>
    <row r="576" spans="1:11" x14ac:dyDescent="0.3">
      <c r="A576" t="s">
        <v>1471</v>
      </c>
      <c r="B576" t="s">
        <v>701</v>
      </c>
      <c r="C576">
        <v>91</v>
      </c>
      <c r="D576" t="s">
        <v>899</v>
      </c>
      <c r="E576">
        <v>1.03</v>
      </c>
      <c r="F576" s="2">
        <v>34.450000000000003</v>
      </c>
      <c r="G576">
        <v>5</v>
      </c>
      <c r="H576">
        <v>8</v>
      </c>
      <c r="I576" t="str">
        <f t="shared" si="24"/>
        <v>B2B</v>
      </c>
      <c r="J576" s="3">
        <f t="shared" si="25"/>
        <v>0.1</v>
      </c>
      <c r="K576" s="2">
        <f t="shared" si="26"/>
        <v>3.4450000000000003</v>
      </c>
    </row>
    <row r="577" spans="1:11" x14ac:dyDescent="0.3">
      <c r="A577" t="s">
        <v>1472</v>
      </c>
      <c r="B577" t="s">
        <v>692</v>
      </c>
      <c r="C577">
        <v>103</v>
      </c>
      <c r="D577" t="s">
        <v>899</v>
      </c>
      <c r="E577">
        <v>1.63</v>
      </c>
      <c r="F577" s="2">
        <v>38.69</v>
      </c>
      <c r="G577">
        <v>4</v>
      </c>
      <c r="H577">
        <v>9</v>
      </c>
      <c r="I577" t="str">
        <f t="shared" si="24"/>
        <v>B2B</v>
      </c>
      <c r="J577" s="3">
        <f t="shared" si="25"/>
        <v>0.1</v>
      </c>
      <c r="K577" s="2">
        <f t="shared" si="26"/>
        <v>3.8689999999999998</v>
      </c>
    </row>
    <row r="578" spans="1:11" x14ac:dyDescent="0.3">
      <c r="A578" t="s">
        <v>1473</v>
      </c>
      <c r="B578" t="s">
        <v>701</v>
      </c>
      <c r="C578">
        <v>17</v>
      </c>
      <c r="D578" t="s">
        <v>901</v>
      </c>
      <c r="E578">
        <v>5.17</v>
      </c>
      <c r="F578" s="2">
        <v>19.68</v>
      </c>
      <c r="G578">
        <v>5</v>
      </c>
      <c r="H578">
        <v>1</v>
      </c>
      <c r="I578" t="str">
        <f t="shared" ref="I578:I641" si="27">IF(F578&lt;80,"B2B","-")</f>
        <v>B2B</v>
      </c>
      <c r="J578" s="3">
        <f t="shared" ref="J578:J641" si="28">IF(AND(E578&gt;12,H578&gt;5),70%,
IF(OR(AND(E578&gt;=4,E578&lt;=12),AND(H578&lt;5,ISNUMBER(SEARCH("Premium",D578)))),45%,
IF(I578="B2B",10%,0%)))</f>
        <v>0.45</v>
      </c>
      <c r="K578" s="2">
        <f t="shared" ref="K578:K641" si="29">F578*J578</f>
        <v>8.8559999999999999</v>
      </c>
    </row>
    <row r="579" spans="1:11" x14ac:dyDescent="0.3">
      <c r="A579" t="s">
        <v>1474</v>
      </c>
      <c r="B579" t="s">
        <v>736</v>
      </c>
      <c r="C579">
        <v>65</v>
      </c>
      <c r="D579" t="s">
        <v>894</v>
      </c>
      <c r="E579">
        <v>0.25</v>
      </c>
      <c r="F579" s="2">
        <v>44.47</v>
      </c>
      <c r="G579">
        <v>0</v>
      </c>
      <c r="H579">
        <v>5</v>
      </c>
      <c r="I579" t="str">
        <f t="shared" si="27"/>
        <v>B2B</v>
      </c>
      <c r="J579" s="3">
        <f t="shared" si="28"/>
        <v>0.1</v>
      </c>
      <c r="K579" s="2">
        <f t="shared" si="29"/>
        <v>4.4470000000000001</v>
      </c>
    </row>
    <row r="580" spans="1:11" x14ac:dyDescent="0.3">
      <c r="A580" t="s">
        <v>1475</v>
      </c>
      <c r="B580" t="s">
        <v>721</v>
      </c>
      <c r="C580">
        <v>16</v>
      </c>
      <c r="D580" t="s">
        <v>894</v>
      </c>
      <c r="E580">
        <v>4.57</v>
      </c>
      <c r="F580" s="2">
        <v>27.97</v>
      </c>
      <c r="G580">
        <v>4</v>
      </c>
      <c r="H580">
        <v>1</v>
      </c>
      <c r="I580" t="str">
        <f t="shared" si="27"/>
        <v>B2B</v>
      </c>
      <c r="J580" s="3">
        <f t="shared" si="28"/>
        <v>0.45</v>
      </c>
      <c r="K580" s="2">
        <f t="shared" si="29"/>
        <v>12.586499999999999</v>
      </c>
    </row>
    <row r="581" spans="1:11" x14ac:dyDescent="0.3">
      <c r="A581" t="s">
        <v>1476</v>
      </c>
      <c r="B581" t="s">
        <v>710</v>
      </c>
      <c r="C581">
        <v>81</v>
      </c>
      <c r="D581" t="s">
        <v>901</v>
      </c>
      <c r="E581">
        <v>0.18</v>
      </c>
      <c r="F581" s="2">
        <v>41.76</v>
      </c>
      <c r="G581">
        <v>5</v>
      </c>
      <c r="H581">
        <v>7</v>
      </c>
      <c r="I581" t="str">
        <f t="shared" si="27"/>
        <v>B2B</v>
      </c>
      <c r="J581" s="3">
        <f t="shared" si="28"/>
        <v>0.1</v>
      </c>
      <c r="K581" s="2">
        <f t="shared" si="29"/>
        <v>4.1760000000000002</v>
      </c>
    </row>
    <row r="582" spans="1:11" x14ac:dyDescent="0.3">
      <c r="A582" t="s">
        <v>1477</v>
      </c>
      <c r="B582" t="s">
        <v>692</v>
      </c>
      <c r="C582">
        <v>74</v>
      </c>
      <c r="D582" t="s">
        <v>899</v>
      </c>
      <c r="E582">
        <v>4.42</v>
      </c>
      <c r="F582" s="2">
        <v>90.81</v>
      </c>
      <c r="G582">
        <v>3</v>
      </c>
      <c r="H582">
        <v>6</v>
      </c>
      <c r="I582" t="str">
        <f t="shared" si="27"/>
        <v>-</v>
      </c>
      <c r="J582" s="3">
        <f t="shared" si="28"/>
        <v>0.45</v>
      </c>
      <c r="K582" s="2">
        <f t="shared" si="29"/>
        <v>40.8645</v>
      </c>
    </row>
    <row r="583" spans="1:11" x14ac:dyDescent="0.3">
      <c r="A583" t="s">
        <v>1478</v>
      </c>
      <c r="B583" t="s">
        <v>705</v>
      </c>
      <c r="C583">
        <v>101</v>
      </c>
      <c r="D583" t="s">
        <v>899</v>
      </c>
      <c r="E583">
        <v>4.37</v>
      </c>
      <c r="F583" s="2">
        <v>83.74</v>
      </c>
      <c r="G583">
        <v>5</v>
      </c>
      <c r="H583">
        <v>8</v>
      </c>
      <c r="I583" t="str">
        <f t="shared" si="27"/>
        <v>-</v>
      </c>
      <c r="J583" s="3">
        <f t="shared" si="28"/>
        <v>0.45</v>
      </c>
      <c r="K583" s="2">
        <f t="shared" si="29"/>
        <v>37.683</v>
      </c>
    </row>
    <row r="584" spans="1:11" x14ac:dyDescent="0.3">
      <c r="A584" t="s">
        <v>1479</v>
      </c>
      <c r="B584" t="s">
        <v>689</v>
      </c>
      <c r="C584">
        <v>51</v>
      </c>
      <c r="D584" t="s">
        <v>896</v>
      </c>
      <c r="E584">
        <v>6.48</v>
      </c>
      <c r="F584" s="2">
        <v>50.45</v>
      </c>
      <c r="G584">
        <v>3</v>
      </c>
      <c r="H584">
        <v>4</v>
      </c>
      <c r="I584" t="str">
        <f t="shared" si="27"/>
        <v>B2B</v>
      </c>
      <c r="J584" s="3">
        <f t="shared" si="28"/>
        <v>0.45</v>
      </c>
      <c r="K584" s="2">
        <f t="shared" si="29"/>
        <v>22.702500000000001</v>
      </c>
    </row>
    <row r="585" spans="1:11" x14ac:dyDescent="0.3">
      <c r="A585" t="s">
        <v>1480</v>
      </c>
      <c r="B585" t="s">
        <v>710</v>
      </c>
      <c r="C585">
        <v>108</v>
      </c>
      <c r="D585" t="s">
        <v>894</v>
      </c>
      <c r="E585">
        <v>1.3</v>
      </c>
      <c r="F585" s="2">
        <v>90.05</v>
      </c>
      <c r="G585">
        <v>2</v>
      </c>
      <c r="H585">
        <v>9</v>
      </c>
      <c r="I585" t="str">
        <f t="shared" si="27"/>
        <v>-</v>
      </c>
      <c r="J585" s="3">
        <f t="shared" si="28"/>
        <v>0</v>
      </c>
      <c r="K585" s="2">
        <f t="shared" si="29"/>
        <v>0</v>
      </c>
    </row>
    <row r="586" spans="1:11" x14ac:dyDescent="0.3">
      <c r="A586" t="s">
        <v>1481</v>
      </c>
      <c r="B586" t="s">
        <v>724</v>
      </c>
      <c r="C586">
        <v>98</v>
      </c>
      <c r="D586" t="s">
        <v>901</v>
      </c>
      <c r="E586">
        <v>1.83</v>
      </c>
      <c r="F586" s="2">
        <v>96.23</v>
      </c>
      <c r="G586">
        <v>2</v>
      </c>
      <c r="H586">
        <v>8</v>
      </c>
      <c r="I586" t="str">
        <f t="shared" si="27"/>
        <v>-</v>
      </c>
      <c r="J586" s="3">
        <f t="shared" si="28"/>
        <v>0</v>
      </c>
      <c r="K586" s="2">
        <f t="shared" si="29"/>
        <v>0</v>
      </c>
    </row>
    <row r="587" spans="1:11" x14ac:dyDescent="0.3">
      <c r="A587" t="s">
        <v>1482</v>
      </c>
      <c r="B587" t="s">
        <v>689</v>
      </c>
      <c r="C587">
        <v>81</v>
      </c>
      <c r="D587" t="s">
        <v>896</v>
      </c>
      <c r="E587">
        <v>7.38</v>
      </c>
      <c r="F587" s="2">
        <v>32.78</v>
      </c>
      <c r="G587">
        <v>1</v>
      </c>
      <c r="H587">
        <v>7</v>
      </c>
      <c r="I587" t="str">
        <f t="shared" si="27"/>
        <v>B2B</v>
      </c>
      <c r="J587" s="3">
        <f t="shared" si="28"/>
        <v>0.45</v>
      </c>
      <c r="K587" s="2">
        <f t="shared" si="29"/>
        <v>14.751000000000001</v>
      </c>
    </row>
    <row r="588" spans="1:11" x14ac:dyDescent="0.3">
      <c r="A588" t="s">
        <v>1483</v>
      </c>
      <c r="B588" t="s">
        <v>689</v>
      </c>
      <c r="C588">
        <v>118</v>
      </c>
      <c r="D588" t="s">
        <v>899</v>
      </c>
      <c r="E588">
        <v>3.1</v>
      </c>
      <c r="F588" s="2">
        <v>46.88</v>
      </c>
      <c r="G588">
        <v>1</v>
      </c>
      <c r="H588">
        <v>10</v>
      </c>
      <c r="I588" t="str">
        <f t="shared" si="27"/>
        <v>B2B</v>
      </c>
      <c r="J588" s="3">
        <f t="shared" si="28"/>
        <v>0.1</v>
      </c>
      <c r="K588" s="2">
        <f t="shared" si="29"/>
        <v>4.6880000000000006</v>
      </c>
    </row>
    <row r="589" spans="1:11" x14ac:dyDescent="0.3">
      <c r="A589" t="s">
        <v>1484</v>
      </c>
      <c r="B589" t="s">
        <v>715</v>
      </c>
      <c r="C589">
        <v>34</v>
      </c>
      <c r="D589" t="s">
        <v>896</v>
      </c>
      <c r="E589">
        <v>0.97</v>
      </c>
      <c r="F589" s="2">
        <v>64.349999999999994</v>
      </c>
      <c r="G589">
        <v>0</v>
      </c>
      <c r="H589">
        <v>3</v>
      </c>
      <c r="I589" t="str">
        <f t="shared" si="27"/>
        <v>B2B</v>
      </c>
      <c r="J589" s="3">
        <f t="shared" si="28"/>
        <v>0.1</v>
      </c>
      <c r="K589" s="2">
        <f t="shared" si="29"/>
        <v>6.4349999999999996</v>
      </c>
    </row>
    <row r="590" spans="1:11" x14ac:dyDescent="0.3">
      <c r="A590" t="s">
        <v>1485</v>
      </c>
      <c r="B590" t="s">
        <v>721</v>
      </c>
      <c r="C590">
        <v>108</v>
      </c>
      <c r="D590" t="s">
        <v>899</v>
      </c>
      <c r="E590">
        <v>7.67</v>
      </c>
      <c r="F590" s="2">
        <v>88.95</v>
      </c>
      <c r="G590">
        <v>3</v>
      </c>
      <c r="H590">
        <v>9</v>
      </c>
      <c r="I590" t="str">
        <f t="shared" si="27"/>
        <v>-</v>
      </c>
      <c r="J590" s="3">
        <f t="shared" si="28"/>
        <v>0.45</v>
      </c>
      <c r="K590" s="2">
        <f t="shared" si="29"/>
        <v>40.027500000000003</v>
      </c>
    </row>
    <row r="591" spans="1:11" x14ac:dyDescent="0.3">
      <c r="A591" t="s">
        <v>1486</v>
      </c>
      <c r="B591" t="s">
        <v>699</v>
      </c>
      <c r="C591">
        <v>71</v>
      </c>
      <c r="D591" t="s">
        <v>896</v>
      </c>
      <c r="E591">
        <v>1.85</v>
      </c>
      <c r="F591" s="2">
        <v>95.53</v>
      </c>
      <c r="G591">
        <v>3</v>
      </c>
      <c r="H591">
        <v>6</v>
      </c>
      <c r="I591" t="str">
        <f t="shared" si="27"/>
        <v>-</v>
      </c>
      <c r="J591" s="3">
        <f t="shared" si="28"/>
        <v>0</v>
      </c>
      <c r="K591" s="2">
        <f t="shared" si="29"/>
        <v>0</v>
      </c>
    </row>
    <row r="592" spans="1:11" x14ac:dyDescent="0.3">
      <c r="A592" t="s">
        <v>1487</v>
      </c>
      <c r="B592" t="s">
        <v>684</v>
      </c>
      <c r="C592">
        <v>21</v>
      </c>
      <c r="D592" t="s">
        <v>899</v>
      </c>
      <c r="E592">
        <v>0.25</v>
      </c>
      <c r="F592" s="2">
        <v>57.74</v>
      </c>
      <c r="G592">
        <v>0</v>
      </c>
      <c r="H592">
        <v>2</v>
      </c>
      <c r="I592" t="str">
        <f t="shared" si="27"/>
        <v>B2B</v>
      </c>
      <c r="J592" s="3">
        <f t="shared" si="28"/>
        <v>0.1</v>
      </c>
      <c r="K592" s="2">
        <f t="shared" si="29"/>
        <v>5.7740000000000009</v>
      </c>
    </row>
    <row r="593" spans="1:11" x14ac:dyDescent="0.3">
      <c r="A593" t="s">
        <v>1488</v>
      </c>
      <c r="B593" t="s">
        <v>718</v>
      </c>
      <c r="C593">
        <v>42</v>
      </c>
      <c r="D593" t="s">
        <v>896</v>
      </c>
      <c r="E593">
        <v>2.78</v>
      </c>
      <c r="F593" s="2">
        <v>45.85</v>
      </c>
      <c r="G593">
        <v>2</v>
      </c>
      <c r="H593">
        <v>4</v>
      </c>
      <c r="I593" t="str">
        <f t="shared" si="27"/>
        <v>B2B</v>
      </c>
      <c r="J593" s="3">
        <f t="shared" si="28"/>
        <v>0.1</v>
      </c>
      <c r="K593" s="2">
        <f t="shared" si="29"/>
        <v>4.585</v>
      </c>
    </row>
    <row r="594" spans="1:11" x14ac:dyDescent="0.3">
      <c r="A594" t="s">
        <v>1489</v>
      </c>
      <c r="B594" t="s">
        <v>700</v>
      </c>
      <c r="C594">
        <v>27</v>
      </c>
      <c r="D594" t="s">
        <v>899</v>
      </c>
      <c r="E594">
        <v>1.17</v>
      </c>
      <c r="F594" s="2">
        <v>20.32</v>
      </c>
      <c r="G594">
        <v>3</v>
      </c>
      <c r="H594">
        <v>2</v>
      </c>
      <c r="I594" t="str">
        <f t="shared" si="27"/>
        <v>B2B</v>
      </c>
      <c r="J594" s="3">
        <f t="shared" si="28"/>
        <v>0.1</v>
      </c>
      <c r="K594" s="2">
        <f t="shared" si="29"/>
        <v>2.032</v>
      </c>
    </row>
    <row r="595" spans="1:11" x14ac:dyDescent="0.3">
      <c r="A595" t="s">
        <v>1490</v>
      </c>
      <c r="B595" t="s">
        <v>687</v>
      </c>
      <c r="C595">
        <v>12</v>
      </c>
      <c r="D595" t="s">
        <v>901</v>
      </c>
      <c r="E595">
        <v>1.87</v>
      </c>
      <c r="F595" s="2">
        <v>82.81</v>
      </c>
      <c r="G595">
        <v>0</v>
      </c>
      <c r="H595">
        <v>1</v>
      </c>
      <c r="I595" t="str">
        <f t="shared" si="27"/>
        <v>-</v>
      </c>
      <c r="J595" s="3">
        <f t="shared" si="28"/>
        <v>0</v>
      </c>
      <c r="K595" s="2">
        <f t="shared" si="29"/>
        <v>0</v>
      </c>
    </row>
    <row r="596" spans="1:11" x14ac:dyDescent="0.3">
      <c r="A596" t="s">
        <v>1491</v>
      </c>
      <c r="B596" t="s">
        <v>687</v>
      </c>
      <c r="C596">
        <v>12</v>
      </c>
      <c r="D596" t="s">
        <v>896</v>
      </c>
      <c r="E596">
        <v>0.7</v>
      </c>
      <c r="F596" s="2">
        <v>48.64</v>
      </c>
      <c r="G596">
        <v>0</v>
      </c>
      <c r="H596">
        <v>1</v>
      </c>
      <c r="I596" t="str">
        <f t="shared" si="27"/>
        <v>B2B</v>
      </c>
      <c r="J596" s="3">
        <f t="shared" si="28"/>
        <v>0.1</v>
      </c>
      <c r="K596" s="2">
        <f t="shared" si="29"/>
        <v>4.8640000000000008</v>
      </c>
    </row>
    <row r="597" spans="1:11" x14ac:dyDescent="0.3">
      <c r="A597" t="s">
        <v>1492</v>
      </c>
      <c r="B597" t="s">
        <v>702</v>
      </c>
      <c r="C597">
        <v>4</v>
      </c>
      <c r="D597" t="s">
        <v>896</v>
      </c>
      <c r="E597">
        <v>6.2</v>
      </c>
      <c r="F597" s="2">
        <v>26.73</v>
      </c>
      <c r="G597">
        <v>3</v>
      </c>
      <c r="H597">
        <v>0</v>
      </c>
      <c r="I597" t="str">
        <f t="shared" si="27"/>
        <v>B2B</v>
      </c>
      <c r="J597" s="3">
        <f t="shared" si="28"/>
        <v>0.45</v>
      </c>
      <c r="K597" s="2">
        <f t="shared" si="29"/>
        <v>12.028500000000001</v>
      </c>
    </row>
    <row r="598" spans="1:11" x14ac:dyDescent="0.3">
      <c r="A598" t="s">
        <v>1493</v>
      </c>
      <c r="B598" t="s">
        <v>698</v>
      </c>
      <c r="C598">
        <v>56</v>
      </c>
      <c r="D598" t="s">
        <v>894</v>
      </c>
      <c r="E598">
        <v>5.9</v>
      </c>
      <c r="F598" s="2">
        <v>32.08</v>
      </c>
      <c r="G598">
        <v>1</v>
      </c>
      <c r="H598">
        <v>5</v>
      </c>
      <c r="I598" t="str">
        <f t="shared" si="27"/>
        <v>B2B</v>
      </c>
      <c r="J598" s="3">
        <f t="shared" si="28"/>
        <v>0.45</v>
      </c>
      <c r="K598" s="2">
        <f t="shared" si="29"/>
        <v>14.436</v>
      </c>
    </row>
    <row r="599" spans="1:11" x14ac:dyDescent="0.3">
      <c r="A599" t="s">
        <v>1494</v>
      </c>
      <c r="B599" t="s">
        <v>710</v>
      </c>
      <c r="C599">
        <v>2</v>
      </c>
      <c r="D599" t="s">
        <v>896</v>
      </c>
      <c r="E599">
        <v>8.02</v>
      </c>
      <c r="F599" s="2">
        <v>29.37</v>
      </c>
      <c r="G599">
        <v>4</v>
      </c>
      <c r="H599">
        <v>0</v>
      </c>
      <c r="I599" t="str">
        <f t="shared" si="27"/>
        <v>B2B</v>
      </c>
      <c r="J599" s="3">
        <f t="shared" si="28"/>
        <v>0.45</v>
      </c>
      <c r="K599" s="2">
        <f t="shared" si="29"/>
        <v>13.2165</v>
      </c>
    </row>
    <row r="600" spans="1:11" x14ac:dyDescent="0.3">
      <c r="A600" t="s">
        <v>1495</v>
      </c>
      <c r="B600" t="s">
        <v>705</v>
      </c>
      <c r="C600">
        <v>81</v>
      </c>
      <c r="D600" t="s">
        <v>901</v>
      </c>
      <c r="E600">
        <v>1.07</v>
      </c>
      <c r="F600" s="2">
        <v>43.45</v>
      </c>
      <c r="G600">
        <v>2</v>
      </c>
      <c r="H600">
        <v>7</v>
      </c>
      <c r="I600" t="str">
        <f t="shared" si="27"/>
        <v>B2B</v>
      </c>
      <c r="J600" s="3">
        <f t="shared" si="28"/>
        <v>0.1</v>
      </c>
      <c r="K600" s="2">
        <f t="shared" si="29"/>
        <v>4.3450000000000006</v>
      </c>
    </row>
    <row r="601" spans="1:11" x14ac:dyDescent="0.3">
      <c r="A601" t="s">
        <v>1496</v>
      </c>
      <c r="B601" t="s">
        <v>703</v>
      </c>
      <c r="C601">
        <v>99</v>
      </c>
      <c r="D601" t="s">
        <v>901</v>
      </c>
      <c r="E601">
        <v>2.2799999999999998</v>
      </c>
      <c r="F601" s="2">
        <v>23.05</v>
      </c>
      <c r="G601">
        <v>4</v>
      </c>
      <c r="H601">
        <v>8</v>
      </c>
      <c r="I601" t="str">
        <f t="shared" si="27"/>
        <v>B2B</v>
      </c>
      <c r="J601" s="3">
        <f t="shared" si="28"/>
        <v>0.1</v>
      </c>
      <c r="K601" s="2">
        <f t="shared" si="29"/>
        <v>2.3050000000000002</v>
      </c>
    </row>
    <row r="602" spans="1:11" x14ac:dyDescent="0.3">
      <c r="A602" t="s">
        <v>1497</v>
      </c>
      <c r="B602" t="s">
        <v>736</v>
      </c>
      <c r="C602">
        <v>18</v>
      </c>
      <c r="D602" t="s">
        <v>896</v>
      </c>
      <c r="E602">
        <v>1.25</v>
      </c>
      <c r="F602" s="2">
        <v>57.66</v>
      </c>
      <c r="G602">
        <v>1</v>
      </c>
      <c r="H602">
        <v>2</v>
      </c>
      <c r="I602" t="str">
        <f t="shared" si="27"/>
        <v>B2B</v>
      </c>
      <c r="J602" s="3">
        <f t="shared" si="28"/>
        <v>0.1</v>
      </c>
      <c r="K602" s="2">
        <f t="shared" si="29"/>
        <v>5.766</v>
      </c>
    </row>
    <row r="603" spans="1:11" x14ac:dyDescent="0.3">
      <c r="A603" t="s">
        <v>1498</v>
      </c>
      <c r="B603" t="s">
        <v>689</v>
      </c>
      <c r="C603">
        <v>14</v>
      </c>
      <c r="D603" t="s">
        <v>896</v>
      </c>
      <c r="E603">
        <v>3.93</v>
      </c>
      <c r="F603" s="2">
        <v>54.43</v>
      </c>
      <c r="G603">
        <v>3</v>
      </c>
      <c r="H603">
        <v>1</v>
      </c>
      <c r="I603" t="str">
        <f t="shared" si="27"/>
        <v>B2B</v>
      </c>
      <c r="J603" s="3">
        <f t="shared" si="28"/>
        <v>0.1</v>
      </c>
      <c r="K603" s="2">
        <f t="shared" si="29"/>
        <v>5.4430000000000005</v>
      </c>
    </row>
    <row r="604" spans="1:11" x14ac:dyDescent="0.3">
      <c r="A604" t="s">
        <v>1499</v>
      </c>
      <c r="B604" t="s">
        <v>737</v>
      </c>
      <c r="C604">
        <v>42</v>
      </c>
      <c r="D604" t="s">
        <v>899</v>
      </c>
      <c r="E604">
        <v>7.47</v>
      </c>
      <c r="F604" s="2">
        <v>49.02</v>
      </c>
      <c r="G604">
        <v>0</v>
      </c>
      <c r="H604">
        <v>4</v>
      </c>
      <c r="I604" t="str">
        <f t="shared" si="27"/>
        <v>B2B</v>
      </c>
      <c r="J604" s="3">
        <f t="shared" si="28"/>
        <v>0.45</v>
      </c>
      <c r="K604" s="2">
        <f t="shared" si="29"/>
        <v>22.059000000000001</v>
      </c>
    </row>
    <row r="605" spans="1:11" x14ac:dyDescent="0.3">
      <c r="A605" t="s">
        <v>1500</v>
      </c>
      <c r="B605" t="s">
        <v>721</v>
      </c>
      <c r="C605">
        <v>111</v>
      </c>
      <c r="D605" t="s">
        <v>901</v>
      </c>
      <c r="E605">
        <v>0.9</v>
      </c>
      <c r="F605" s="2">
        <v>71.3</v>
      </c>
      <c r="G605">
        <v>0</v>
      </c>
      <c r="H605">
        <v>9</v>
      </c>
      <c r="I605" t="str">
        <f t="shared" si="27"/>
        <v>B2B</v>
      </c>
      <c r="J605" s="3">
        <f t="shared" si="28"/>
        <v>0.1</v>
      </c>
      <c r="K605" s="2">
        <f t="shared" si="29"/>
        <v>7.13</v>
      </c>
    </row>
    <row r="606" spans="1:11" x14ac:dyDescent="0.3">
      <c r="A606" t="s">
        <v>1501</v>
      </c>
      <c r="B606" t="s">
        <v>698</v>
      </c>
      <c r="C606">
        <v>89</v>
      </c>
      <c r="D606" t="s">
        <v>896</v>
      </c>
      <c r="E606">
        <v>6.35</v>
      </c>
      <c r="F606" s="2">
        <v>68.17</v>
      </c>
      <c r="G606">
        <v>0</v>
      </c>
      <c r="H606">
        <v>7</v>
      </c>
      <c r="I606" t="str">
        <f t="shared" si="27"/>
        <v>B2B</v>
      </c>
      <c r="J606" s="3">
        <f t="shared" si="28"/>
        <v>0.45</v>
      </c>
      <c r="K606" s="2">
        <f t="shared" si="29"/>
        <v>30.676500000000001</v>
      </c>
    </row>
    <row r="607" spans="1:11" x14ac:dyDescent="0.3">
      <c r="A607" t="s">
        <v>1502</v>
      </c>
      <c r="B607" t="s">
        <v>689</v>
      </c>
      <c r="C607">
        <v>93</v>
      </c>
      <c r="D607" t="s">
        <v>896</v>
      </c>
      <c r="E607">
        <v>0.93</v>
      </c>
      <c r="F607" s="2">
        <v>96.31</v>
      </c>
      <c r="G607">
        <v>4</v>
      </c>
      <c r="H607">
        <v>8</v>
      </c>
      <c r="I607" t="str">
        <f t="shared" si="27"/>
        <v>-</v>
      </c>
      <c r="J607" s="3">
        <f t="shared" si="28"/>
        <v>0</v>
      </c>
      <c r="K607" s="2">
        <f t="shared" si="29"/>
        <v>0</v>
      </c>
    </row>
    <row r="608" spans="1:11" x14ac:dyDescent="0.3">
      <c r="A608" t="s">
        <v>1503</v>
      </c>
      <c r="B608" t="s">
        <v>674</v>
      </c>
      <c r="C608">
        <v>56</v>
      </c>
      <c r="D608" t="s">
        <v>894</v>
      </c>
      <c r="E608">
        <v>2.0499999999999998</v>
      </c>
      <c r="F608" s="2">
        <v>29.76</v>
      </c>
      <c r="G608">
        <v>5</v>
      </c>
      <c r="H608">
        <v>5</v>
      </c>
      <c r="I608" t="str">
        <f t="shared" si="27"/>
        <v>B2B</v>
      </c>
      <c r="J608" s="3">
        <f t="shared" si="28"/>
        <v>0.1</v>
      </c>
      <c r="K608" s="2">
        <f t="shared" si="29"/>
        <v>2.9760000000000004</v>
      </c>
    </row>
    <row r="609" spans="1:11" x14ac:dyDescent="0.3">
      <c r="A609" t="s">
        <v>1504</v>
      </c>
      <c r="B609" t="s">
        <v>736</v>
      </c>
      <c r="C609">
        <v>29</v>
      </c>
      <c r="D609" t="s">
        <v>894</v>
      </c>
      <c r="E609">
        <v>0.13</v>
      </c>
      <c r="F609" s="2">
        <v>14.78</v>
      </c>
      <c r="G609">
        <v>2</v>
      </c>
      <c r="H609">
        <v>2</v>
      </c>
      <c r="I609" t="str">
        <f t="shared" si="27"/>
        <v>B2B</v>
      </c>
      <c r="J609" s="3">
        <f t="shared" si="28"/>
        <v>0.45</v>
      </c>
      <c r="K609" s="2">
        <f t="shared" si="29"/>
        <v>6.6509999999999998</v>
      </c>
    </row>
    <row r="610" spans="1:11" x14ac:dyDescent="0.3">
      <c r="A610" t="s">
        <v>1505</v>
      </c>
      <c r="B610" t="s">
        <v>715</v>
      </c>
      <c r="C610">
        <v>22</v>
      </c>
      <c r="D610" t="s">
        <v>896</v>
      </c>
      <c r="E610">
        <v>7.62</v>
      </c>
      <c r="F610" s="2">
        <v>13.21</v>
      </c>
      <c r="G610">
        <v>1</v>
      </c>
      <c r="H610">
        <v>2</v>
      </c>
      <c r="I610" t="str">
        <f t="shared" si="27"/>
        <v>B2B</v>
      </c>
      <c r="J610" s="3">
        <f t="shared" si="28"/>
        <v>0.45</v>
      </c>
      <c r="K610" s="2">
        <f t="shared" si="29"/>
        <v>5.9445000000000006</v>
      </c>
    </row>
    <row r="611" spans="1:11" x14ac:dyDescent="0.3">
      <c r="A611" t="s">
        <v>1506</v>
      </c>
      <c r="B611" t="s">
        <v>695</v>
      </c>
      <c r="C611">
        <v>12</v>
      </c>
      <c r="D611" t="s">
        <v>901</v>
      </c>
      <c r="E611">
        <v>3.92</v>
      </c>
      <c r="F611" s="2">
        <v>33.96</v>
      </c>
      <c r="G611">
        <v>4</v>
      </c>
      <c r="H611">
        <v>1</v>
      </c>
      <c r="I611" t="str">
        <f t="shared" si="27"/>
        <v>B2B</v>
      </c>
      <c r="J611" s="3">
        <f t="shared" si="28"/>
        <v>0.1</v>
      </c>
      <c r="K611" s="2">
        <f t="shared" si="29"/>
        <v>3.3960000000000004</v>
      </c>
    </row>
    <row r="612" spans="1:11" x14ac:dyDescent="0.3">
      <c r="A612" t="s">
        <v>1507</v>
      </c>
      <c r="B612" t="s">
        <v>724</v>
      </c>
      <c r="C612">
        <v>25</v>
      </c>
      <c r="D612" t="s">
        <v>899</v>
      </c>
      <c r="E612">
        <v>1.58</v>
      </c>
      <c r="F612" s="2">
        <v>15.93</v>
      </c>
      <c r="G612">
        <v>4</v>
      </c>
      <c r="H612">
        <v>2</v>
      </c>
      <c r="I612" t="str">
        <f t="shared" si="27"/>
        <v>B2B</v>
      </c>
      <c r="J612" s="3">
        <f t="shared" si="28"/>
        <v>0.1</v>
      </c>
      <c r="K612" s="2">
        <f t="shared" si="29"/>
        <v>1.593</v>
      </c>
    </row>
    <row r="613" spans="1:11" x14ac:dyDescent="0.3">
      <c r="A613" t="s">
        <v>1508</v>
      </c>
      <c r="B613" t="s">
        <v>703</v>
      </c>
      <c r="C613">
        <v>93</v>
      </c>
      <c r="D613" t="s">
        <v>894</v>
      </c>
      <c r="E613">
        <v>2.27</v>
      </c>
      <c r="F613" s="2">
        <v>19.09</v>
      </c>
      <c r="G613">
        <v>1</v>
      </c>
      <c r="H613">
        <v>8</v>
      </c>
      <c r="I613" t="str">
        <f t="shared" si="27"/>
        <v>B2B</v>
      </c>
      <c r="J613" s="3">
        <f t="shared" si="28"/>
        <v>0.1</v>
      </c>
      <c r="K613" s="2">
        <f t="shared" si="29"/>
        <v>1.909</v>
      </c>
    </row>
    <row r="614" spans="1:11" x14ac:dyDescent="0.3">
      <c r="A614" t="s">
        <v>1509</v>
      </c>
      <c r="B614" t="s">
        <v>684</v>
      </c>
      <c r="C614">
        <v>116</v>
      </c>
      <c r="D614" t="s">
        <v>894</v>
      </c>
      <c r="E614">
        <v>0.23</v>
      </c>
      <c r="F614" s="2">
        <v>30.38</v>
      </c>
      <c r="G614">
        <v>1</v>
      </c>
      <c r="H614">
        <v>10</v>
      </c>
      <c r="I614" t="str">
        <f t="shared" si="27"/>
        <v>B2B</v>
      </c>
      <c r="J614" s="3">
        <f t="shared" si="28"/>
        <v>0.1</v>
      </c>
      <c r="K614" s="2">
        <f t="shared" si="29"/>
        <v>3.0380000000000003</v>
      </c>
    </row>
    <row r="615" spans="1:11" x14ac:dyDescent="0.3">
      <c r="A615" t="s">
        <v>1510</v>
      </c>
      <c r="B615" t="s">
        <v>724</v>
      </c>
      <c r="C615">
        <v>104</v>
      </c>
      <c r="D615" t="s">
        <v>899</v>
      </c>
      <c r="E615">
        <v>4.05</v>
      </c>
      <c r="F615" s="2">
        <v>65.819999999999993</v>
      </c>
      <c r="G615">
        <v>0</v>
      </c>
      <c r="H615">
        <v>9</v>
      </c>
      <c r="I615" t="str">
        <f t="shared" si="27"/>
        <v>B2B</v>
      </c>
      <c r="J615" s="3">
        <f t="shared" si="28"/>
        <v>0.45</v>
      </c>
      <c r="K615" s="2">
        <f t="shared" si="29"/>
        <v>29.618999999999996</v>
      </c>
    </row>
    <row r="616" spans="1:11" x14ac:dyDescent="0.3">
      <c r="A616" t="s">
        <v>1511</v>
      </c>
      <c r="B616" t="s">
        <v>687</v>
      </c>
      <c r="C616">
        <v>48</v>
      </c>
      <c r="D616" t="s">
        <v>894</v>
      </c>
      <c r="E616">
        <v>5.63</v>
      </c>
      <c r="F616" s="2">
        <v>74.42</v>
      </c>
      <c r="G616">
        <v>0</v>
      </c>
      <c r="H616">
        <v>4</v>
      </c>
      <c r="I616" t="str">
        <f t="shared" si="27"/>
        <v>B2B</v>
      </c>
      <c r="J616" s="3">
        <f t="shared" si="28"/>
        <v>0.45</v>
      </c>
      <c r="K616" s="2">
        <f t="shared" si="29"/>
        <v>33.489000000000004</v>
      </c>
    </row>
    <row r="617" spans="1:11" x14ac:dyDescent="0.3">
      <c r="A617" t="s">
        <v>1512</v>
      </c>
      <c r="B617" t="s">
        <v>737</v>
      </c>
      <c r="C617">
        <v>105</v>
      </c>
      <c r="D617" t="s">
        <v>901</v>
      </c>
      <c r="E617">
        <v>4.5199999999999996</v>
      </c>
      <c r="F617" s="2">
        <v>45.27</v>
      </c>
      <c r="G617">
        <v>2</v>
      </c>
      <c r="H617">
        <v>9</v>
      </c>
      <c r="I617" t="str">
        <f t="shared" si="27"/>
        <v>B2B</v>
      </c>
      <c r="J617" s="3">
        <f t="shared" si="28"/>
        <v>0.45</v>
      </c>
      <c r="K617" s="2">
        <f t="shared" si="29"/>
        <v>20.371500000000001</v>
      </c>
    </row>
    <row r="618" spans="1:11" x14ac:dyDescent="0.3">
      <c r="A618" t="s">
        <v>1513</v>
      </c>
      <c r="B618" t="s">
        <v>689</v>
      </c>
      <c r="C618">
        <v>116</v>
      </c>
      <c r="D618" t="s">
        <v>901</v>
      </c>
      <c r="E618">
        <v>3.85</v>
      </c>
      <c r="F618" s="2">
        <v>19.12</v>
      </c>
      <c r="G618">
        <v>5</v>
      </c>
      <c r="H618">
        <v>10</v>
      </c>
      <c r="I618" t="str">
        <f t="shared" si="27"/>
        <v>B2B</v>
      </c>
      <c r="J618" s="3">
        <f t="shared" si="28"/>
        <v>0.1</v>
      </c>
      <c r="K618" s="2">
        <f t="shared" si="29"/>
        <v>1.9120000000000001</v>
      </c>
    </row>
    <row r="619" spans="1:11" x14ac:dyDescent="0.3">
      <c r="A619" t="s">
        <v>1514</v>
      </c>
      <c r="B619" t="s">
        <v>725</v>
      </c>
      <c r="C619">
        <v>69</v>
      </c>
      <c r="D619" t="s">
        <v>899</v>
      </c>
      <c r="E619">
        <v>3</v>
      </c>
      <c r="F619" s="2">
        <v>76.05</v>
      </c>
      <c r="G619">
        <v>2</v>
      </c>
      <c r="H619">
        <v>6</v>
      </c>
      <c r="I619" t="str">
        <f t="shared" si="27"/>
        <v>B2B</v>
      </c>
      <c r="J619" s="3">
        <f t="shared" si="28"/>
        <v>0.1</v>
      </c>
      <c r="K619" s="2">
        <f t="shared" si="29"/>
        <v>7.6050000000000004</v>
      </c>
    </row>
    <row r="620" spans="1:11" x14ac:dyDescent="0.3">
      <c r="A620" t="s">
        <v>1515</v>
      </c>
      <c r="B620" t="s">
        <v>706</v>
      </c>
      <c r="C620">
        <v>1</v>
      </c>
      <c r="D620" t="s">
        <v>899</v>
      </c>
      <c r="E620">
        <v>2.25</v>
      </c>
      <c r="F620" s="2">
        <v>89.16</v>
      </c>
      <c r="G620">
        <v>3</v>
      </c>
      <c r="H620">
        <v>0</v>
      </c>
      <c r="I620" t="str">
        <f t="shared" si="27"/>
        <v>-</v>
      </c>
      <c r="J620" s="3">
        <f t="shared" si="28"/>
        <v>0</v>
      </c>
      <c r="K620" s="2">
        <f t="shared" si="29"/>
        <v>0</v>
      </c>
    </row>
    <row r="621" spans="1:11" x14ac:dyDescent="0.3">
      <c r="A621" t="s">
        <v>1516</v>
      </c>
      <c r="B621" t="s">
        <v>678</v>
      </c>
      <c r="C621">
        <v>120</v>
      </c>
      <c r="D621" t="s">
        <v>896</v>
      </c>
      <c r="E621">
        <v>1</v>
      </c>
      <c r="F621" s="2">
        <v>34.14</v>
      </c>
      <c r="G621">
        <v>3</v>
      </c>
      <c r="H621">
        <v>10</v>
      </c>
      <c r="I621" t="str">
        <f t="shared" si="27"/>
        <v>B2B</v>
      </c>
      <c r="J621" s="3">
        <f t="shared" si="28"/>
        <v>0.1</v>
      </c>
      <c r="K621" s="2">
        <f t="shared" si="29"/>
        <v>3.4140000000000001</v>
      </c>
    </row>
    <row r="622" spans="1:11" x14ac:dyDescent="0.3">
      <c r="A622" t="s">
        <v>1517</v>
      </c>
      <c r="B622" t="s">
        <v>721</v>
      </c>
      <c r="C622">
        <v>89</v>
      </c>
      <c r="D622" t="s">
        <v>899</v>
      </c>
      <c r="E622">
        <v>7.9</v>
      </c>
      <c r="F622" s="2">
        <v>28.51</v>
      </c>
      <c r="G622">
        <v>5</v>
      </c>
      <c r="H622">
        <v>7</v>
      </c>
      <c r="I622" t="str">
        <f t="shared" si="27"/>
        <v>B2B</v>
      </c>
      <c r="J622" s="3">
        <f t="shared" si="28"/>
        <v>0.45</v>
      </c>
      <c r="K622" s="2">
        <f t="shared" si="29"/>
        <v>12.829500000000001</v>
      </c>
    </row>
    <row r="623" spans="1:11" x14ac:dyDescent="0.3">
      <c r="A623" t="s">
        <v>1518</v>
      </c>
      <c r="B623" t="s">
        <v>710</v>
      </c>
      <c r="C623">
        <v>112</v>
      </c>
      <c r="D623" t="s">
        <v>901</v>
      </c>
      <c r="E623">
        <v>4.68</v>
      </c>
      <c r="F623" s="2">
        <v>80.72</v>
      </c>
      <c r="G623">
        <v>2</v>
      </c>
      <c r="H623">
        <v>9</v>
      </c>
      <c r="I623" t="str">
        <f t="shared" si="27"/>
        <v>-</v>
      </c>
      <c r="J623" s="3">
        <f t="shared" si="28"/>
        <v>0.45</v>
      </c>
      <c r="K623" s="2">
        <f t="shared" si="29"/>
        <v>36.323999999999998</v>
      </c>
    </row>
    <row r="624" spans="1:11" x14ac:dyDescent="0.3">
      <c r="A624" t="s">
        <v>1519</v>
      </c>
      <c r="B624" t="s">
        <v>718</v>
      </c>
      <c r="C624">
        <v>7</v>
      </c>
      <c r="D624" t="s">
        <v>899</v>
      </c>
      <c r="E624">
        <v>0.72</v>
      </c>
      <c r="F624" s="2">
        <v>41.29</v>
      </c>
      <c r="G624">
        <v>4</v>
      </c>
      <c r="H624">
        <v>1</v>
      </c>
      <c r="I624" t="str">
        <f t="shared" si="27"/>
        <v>B2B</v>
      </c>
      <c r="J624" s="3">
        <f t="shared" si="28"/>
        <v>0.1</v>
      </c>
      <c r="K624" s="2">
        <f t="shared" si="29"/>
        <v>4.1290000000000004</v>
      </c>
    </row>
    <row r="625" spans="1:11" x14ac:dyDescent="0.3">
      <c r="A625" t="s">
        <v>1520</v>
      </c>
      <c r="B625" t="s">
        <v>736</v>
      </c>
      <c r="C625">
        <v>34</v>
      </c>
      <c r="D625" t="s">
        <v>901</v>
      </c>
      <c r="E625">
        <v>3.02</v>
      </c>
      <c r="F625" s="2">
        <v>35.92</v>
      </c>
      <c r="G625">
        <v>2</v>
      </c>
      <c r="H625">
        <v>3</v>
      </c>
      <c r="I625" t="str">
        <f t="shared" si="27"/>
        <v>B2B</v>
      </c>
      <c r="J625" s="3">
        <f t="shared" si="28"/>
        <v>0.1</v>
      </c>
      <c r="K625" s="2">
        <f t="shared" si="29"/>
        <v>3.5920000000000005</v>
      </c>
    </row>
    <row r="626" spans="1:11" x14ac:dyDescent="0.3">
      <c r="A626" t="s">
        <v>1521</v>
      </c>
      <c r="B626" t="s">
        <v>701</v>
      </c>
      <c r="C626">
        <v>114</v>
      </c>
      <c r="D626" t="s">
        <v>896</v>
      </c>
      <c r="E626">
        <v>3.67</v>
      </c>
      <c r="F626" s="2">
        <v>63.67</v>
      </c>
      <c r="G626">
        <v>5</v>
      </c>
      <c r="H626">
        <v>10</v>
      </c>
      <c r="I626" t="str">
        <f t="shared" si="27"/>
        <v>B2B</v>
      </c>
      <c r="J626" s="3">
        <f t="shared" si="28"/>
        <v>0.1</v>
      </c>
      <c r="K626" s="2">
        <f t="shared" si="29"/>
        <v>6.3670000000000009</v>
      </c>
    </row>
    <row r="627" spans="1:11" x14ac:dyDescent="0.3">
      <c r="A627" t="s">
        <v>1522</v>
      </c>
      <c r="B627" t="s">
        <v>687</v>
      </c>
      <c r="C627">
        <v>101</v>
      </c>
      <c r="D627" t="s">
        <v>896</v>
      </c>
      <c r="E627">
        <v>1.8</v>
      </c>
      <c r="F627" s="2">
        <v>76.05</v>
      </c>
      <c r="G627">
        <v>3</v>
      </c>
      <c r="H627">
        <v>8</v>
      </c>
      <c r="I627" t="str">
        <f t="shared" si="27"/>
        <v>B2B</v>
      </c>
      <c r="J627" s="3">
        <f t="shared" si="28"/>
        <v>0.1</v>
      </c>
      <c r="K627" s="2">
        <f t="shared" si="29"/>
        <v>7.6050000000000004</v>
      </c>
    </row>
    <row r="628" spans="1:11" x14ac:dyDescent="0.3">
      <c r="A628" t="s">
        <v>1523</v>
      </c>
      <c r="B628" t="s">
        <v>713</v>
      </c>
      <c r="C628">
        <v>6</v>
      </c>
      <c r="D628" t="s">
        <v>901</v>
      </c>
      <c r="E628">
        <v>1.28</v>
      </c>
      <c r="F628" s="2">
        <v>18.48</v>
      </c>
      <c r="G628">
        <v>2</v>
      </c>
      <c r="H628">
        <v>0</v>
      </c>
      <c r="I628" t="str">
        <f t="shared" si="27"/>
        <v>B2B</v>
      </c>
      <c r="J628" s="3">
        <f t="shared" si="28"/>
        <v>0.1</v>
      </c>
      <c r="K628" s="2">
        <f t="shared" si="29"/>
        <v>1.8480000000000001</v>
      </c>
    </row>
    <row r="629" spans="1:11" x14ac:dyDescent="0.3">
      <c r="A629" t="s">
        <v>1524</v>
      </c>
      <c r="B629" t="s">
        <v>699</v>
      </c>
      <c r="C629">
        <v>15</v>
      </c>
      <c r="D629" t="s">
        <v>896</v>
      </c>
      <c r="E629">
        <v>3.38</v>
      </c>
      <c r="F629" s="2">
        <v>55.29</v>
      </c>
      <c r="G629">
        <v>2</v>
      </c>
      <c r="H629">
        <v>1</v>
      </c>
      <c r="I629" t="str">
        <f t="shared" si="27"/>
        <v>B2B</v>
      </c>
      <c r="J629" s="3">
        <f t="shared" si="28"/>
        <v>0.1</v>
      </c>
      <c r="K629" s="2">
        <f t="shared" si="29"/>
        <v>5.5289999999999999</v>
      </c>
    </row>
    <row r="630" spans="1:11" x14ac:dyDescent="0.3">
      <c r="A630" t="s">
        <v>1525</v>
      </c>
      <c r="B630" t="s">
        <v>695</v>
      </c>
      <c r="C630">
        <v>7</v>
      </c>
      <c r="D630" t="s">
        <v>899</v>
      </c>
      <c r="E630">
        <v>4.28</v>
      </c>
      <c r="F630" s="2">
        <v>73.040000000000006</v>
      </c>
      <c r="G630">
        <v>3</v>
      </c>
      <c r="H630">
        <v>1</v>
      </c>
      <c r="I630" t="str">
        <f t="shared" si="27"/>
        <v>B2B</v>
      </c>
      <c r="J630" s="3">
        <f t="shared" si="28"/>
        <v>0.45</v>
      </c>
      <c r="K630" s="2">
        <f t="shared" si="29"/>
        <v>32.868000000000002</v>
      </c>
    </row>
    <row r="631" spans="1:11" x14ac:dyDescent="0.3">
      <c r="A631" t="s">
        <v>1526</v>
      </c>
      <c r="B631" t="s">
        <v>725</v>
      </c>
      <c r="C631">
        <v>39</v>
      </c>
      <c r="D631" t="s">
        <v>894</v>
      </c>
      <c r="E631">
        <v>3.67</v>
      </c>
      <c r="F631" s="2">
        <v>52.91</v>
      </c>
      <c r="G631">
        <v>0</v>
      </c>
      <c r="H631">
        <v>3</v>
      </c>
      <c r="I631" t="str">
        <f t="shared" si="27"/>
        <v>B2B</v>
      </c>
      <c r="J631" s="3">
        <f t="shared" si="28"/>
        <v>0.45</v>
      </c>
      <c r="K631" s="2">
        <f t="shared" si="29"/>
        <v>23.8095</v>
      </c>
    </row>
    <row r="632" spans="1:11" x14ac:dyDescent="0.3">
      <c r="A632" t="s">
        <v>1527</v>
      </c>
      <c r="B632" t="s">
        <v>703</v>
      </c>
      <c r="C632">
        <v>10</v>
      </c>
      <c r="D632" t="s">
        <v>901</v>
      </c>
      <c r="E632">
        <v>4.33</v>
      </c>
      <c r="F632" s="2">
        <v>37.479999999999997</v>
      </c>
      <c r="G632">
        <v>2</v>
      </c>
      <c r="H632">
        <v>1</v>
      </c>
      <c r="I632" t="str">
        <f t="shared" si="27"/>
        <v>B2B</v>
      </c>
      <c r="J632" s="3">
        <f t="shared" si="28"/>
        <v>0.45</v>
      </c>
      <c r="K632" s="2">
        <f t="shared" si="29"/>
        <v>16.866</v>
      </c>
    </row>
    <row r="633" spans="1:11" x14ac:dyDescent="0.3">
      <c r="A633" t="s">
        <v>1528</v>
      </c>
      <c r="B633" t="s">
        <v>713</v>
      </c>
      <c r="C633">
        <v>34</v>
      </c>
      <c r="D633" t="s">
        <v>894</v>
      </c>
      <c r="E633">
        <v>2.83</v>
      </c>
      <c r="F633" s="2">
        <v>91.6</v>
      </c>
      <c r="G633">
        <v>2</v>
      </c>
      <c r="H633">
        <v>3</v>
      </c>
      <c r="I633" t="str">
        <f t="shared" si="27"/>
        <v>-</v>
      </c>
      <c r="J633" s="3">
        <f t="shared" si="28"/>
        <v>0.45</v>
      </c>
      <c r="K633" s="2">
        <f t="shared" si="29"/>
        <v>41.22</v>
      </c>
    </row>
    <row r="634" spans="1:11" x14ac:dyDescent="0.3">
      <c r="A634" t="s">
        <v>1529</v>
      </c>
      <c r="B634" t="s">
        <v>687</v>
      </c>
      <c r="C634">
        <v>43</v>
      </c>
      <c r="D634" t="s">
        <v>894</v>
      </c>
      <c r="E634">
        <v>0.45</v>
      </c>
      <c r="F634" s="2">
        <v>31.48</v>
      </c>
      <c r="G634">
        <v>5</v>
      </c>
      <c r="H634">
        <v>4</v>
      </c>
      <c r="I634" t="str">
        <f t="shared" si="27"/>
        <v>B2B</v>
      </c>
      <c r="J634" s="3">
        <f t="shared" si="28"/>
        <v>0.45</v>
      </c>
      <c r="K634" s="2">
        <f t="shared" si="29"/>
        <v>14.166</v>
      </c>
    </row>
    <row r="635" spans="1:11" x14ac:dyDescent="0.3">
      <c r="A635" t="s">
        <v>1530</v>
      </c>
      <c r="B635" t="s">
        <v>706</v>
      </c>
      <c r="C635">
        <v>89</v>
      </c>
      <c r="D635" t="s">
        <v>896</v>
      </c>
      <c r="E635">
        <v>3.75</v>
      </c>
      <c r="F635" s="2">
        <v>38.36</v>
      </c>
      <c r="G635">
        <v>2</v>
      </c>
      <c r="H635">
        <v>7</v>
      </c>
      <c r="I635" t="str">
        <f t="shared" si="27"/>
        <v>B2B</v>
      </c>
      <c r="J635" s="3">
        <f t="shared" si="28"/>
        <v>0.1</v>
      </c>
      <c r="K635" s="2">
        <f t="shared" si="29"/>
        <v>3.8360000000000003</v>
      </c>
    </row>
    <row r="636" spans="1:11" x14ac:dyDescent="0.3">
      <c r="A636" t="s">
        <v>1531</v>
      </c>
      <c r="B636" t="s">
        <v>700</v>
      </c>
      <c r="C636">
        <v>79</v>
      </c>
      <c r="D636" t="s">
        <v>901</v>
      </c>
      <c r="E636">
        <v>2.3199999999999998</v>
      </c>
      <c r="F636" s="2">
        <v>16.25</v>
      </c>
      <c r="G636">
        <v>4</v>
      </c>
      <c r="H636">
        <v>7</v>
      </c>
      <c r="I636" t="str">
        <f t="shared" si="27"/>
        <v>B2B</v>
      </c>
      <c r="J636" s="3">
        <f t="shared" si="28"/>
        <v>0.1</v>
      </c>
      <c r="K636" s="2">
        <f t="shared" si="29"/>
        <v>1.625</v>
      </c>
    </row>
    <row r="637" spans="1:11" x14ac:dyDescent="0.3">
      <c r="A637" t="s">
        <v>1532</v>
      </c>
      <c r="B637" t="s">
        <v>724</v>
      </c>
      <c r="C637">
        <v>102</v>
      </c>
      <c r="D637" t="s">
        <v>899</v>
      </c>
      <c r="E637">
        <v>3.15</v>
      </c>
      <c r="F637" s="2">
        <v>26.86</v>
      </c>
      <c r="G637">
        <v>5</v>
      </c>
      <c r="H637">
        <v>8</v>
      </c>
      <c r="I637" t="str">
        <f t="shared" si="27"/>
        <v>B2B</v>
      </c>
      <c r="J637" s="3">
        <f t="shared" si="28"/>
        <v>0.1</v>
      </c>
      <c r="K637" s="2">
        <f t="shared" si="29"/>
        <v>2.6859999999999999</v>
      </c>
    </row>
    <row r="638" spans="1:11" x14ac:dyDescent="0.3">
      <c r="A638" t="s">
        <v>1533</v>
      </c>
      <c r="B638" t="s">
        <v>695</v>
      </c>
      <c r="C638">
        <v>104</v>
      </c>
      <c r="D638" t="s">
        <v>901</v>
      </c>
      <c r="E638">
        <v>0.83</v>
      </c>
      <c r="F638" s="2">
        <v>90.99</v>
      </c>
      <c r="G638">
        <v>4</v>
      </c>
      <c r="H638">
        <v>9</v>
      </c>
      <c r="I638" t="str">
        <f t="shared" si="27"/>
        <v>-</v>
      </c>
      <c r="J638" s="3">
        <f t="shared" si="28"/>
        <v>0</v>
      </c>
      <c r="K638" s="2">
        <f t="shared" si="29"/>
        <v>0</v>
      </c>
    </row>
    <row r="639" spans="1:11" x14ac:dyDescent="0.3">
      <c r="A639" t="s">
        <v>1534</v>
      </c>
      <c r="B639" t="s">
        <v>736</v>
      </c>
      <c r="C639">
        <v>49</v>
      </c>
      <c r="D639" t="s">
        <v>901</v>
      </c>
      <c r="E639">
        <v>0.42</v>
      </c>
      <c r="F639" s="2">
        <v>22.77</v>
      </c>
      <c r="G639">
        <v>3</v>
      </c>
      <c r="H639">
        <v>4</v>
      </c>
      <c r="I639" t="str">
        <f t="shared" si="27"/>
        <v>B2B</v>
      </c>
      <c r="J639" s="3">
        <f t="shared" si="28"/>
        <v>0.1</v>
      </c>
      <c r="K639" s="2">
        <f t="shared" si="29"/>
        <v>2.2770000000000001</v>
      </c>
    </row>
    <row r="640" spans="1:11" x14ac:dyDescent="0.3">
      <c r="A640" t="s">
        <v>1535</v>
      </c>
      <c r="B640" t="s">
        <v>681</v>
      </c>
      <c r="C640">
        <v>35</v>
      </c>
      <c r="D640" t="s">
        <v>894</v>
      </c>
      <c r="E640">
        <v>5.53</v>
      </c>
      <c r="F640" s="2">
        <v>11.15</v>
      </c>
      <c r="G640">
        <v>0</v>
      </c>
      <c r="H640">
        <v>3</v>
      </c>
      <c r="I640" t="str">
        <f t="shared" si="27"/>
        <v>B2B</v>
      </c>
      <c r="J640" s="3">
        <f t="shared" si="28"/>
        <v>0.45</v>
      </c>
      <c r="K640" s="2">
        <f t="shared" si="29"/>
        <v>5.0175000000000001</v>
      </c>
    </row>
    <row r="641" spans="1:11" x14ac:dyDescent="0.3">
      <c r="A641" t="s">
        <v>1536</v>
      </c>
      <c r="B641" t="s">
        <v>674</v>
      </c>
      <c r="C641">
        <v>90</v>
      </c>
      <c r="D641" t="s">
        <v>896</v>
      </c>
      <c r="E641">
        <v>3.25</v>
      </c>
      <c r="F641" s="2">
        <v>52.71</v>
      </c>
      <c r="G641">
        <v>2</v>
      </c>
      <c r="H641">
        <v>8</v>
      </c>
      <c r="I641" t="str">
        <f t="shared" si="27"/>
        <v>B2B</v>
      </c>
      <c r="J641" s="3">
        <f t="shared" si="28"/>
        <v>0.1</v>
      </c>
      <c r="K641" s="2">
        <f t="shared" si="29"/>
        <v>5.2710000000000008</v>
      </c>
    </row>
    <row r="642" spans="1:11" x14ac:dyDescent="0.3">
      <c r="A642" t="s">
        <v>1537</v>
      </c>
      <c r="B642" t="s">
        <v>706</v>
      </c>
      <c r="C642">
        <v>22</v>
      </c>
      <c r="D642" t="s">
        <v>896</v>
      </c>
      <c r="E642">
        <v>6.23</v>
      </c>
      <c r="F642" s="2">
        <v>40.06</v>
      </c>
      <c r="G642">
        <v>5</v>
      </c>
      <c r="H642">
        <v>2</v>
      </c>
      <c r="I642" t="str">
        <f t="shared" ref="I642:I705" si="30">IF(F642&lt;80,"B2B","-")</f>
        <v>B2B</v>
      </c>
      <c r="J642" s="3">
        <f t="shared" ref="J642:J705" si="31">IF(AND(E642&gt;12,H642&gt;5),70%,
IF(OR(AND(E642&gt;=4,E642&lt;=12),AND(H642&lt;5,ISNUMBER(SEARCH("Premium",D642)))),45%,
IF(I642="B2B",10%,0%)))</f>
        <v>0.45</v>
      </c>
      <c r="K642" s="2">
        <f t="shared" ref="K642:K705" si="32">F642*J642</f>
        <v>18.027000000000001</v>
      </c>
    </row>
    <row r="643" spans="1:11" x14ac:dyDescent="0.3">
      <c r="A643" t="s">
        <v>1538</v>
      </c>
      <c r="B643" t="s">
        <v>737</v>
      </c>
      <c r="C643">
        <v>119</v>
      </c>
      <c r="D643" t="s">
        <v>901</v>
      </c>
      <c r="E643">
        <v>7.92</v>
      </c>
      <c r="F643" s="2">
        <v>25.98</v>
      </c>
      <c r="G643">
        <v>4</v>
      </c>
      <c r="H643">
        <v>10</v>
      </c>
      <c r="I643" t="str">
        <f t="shared" si="30"/>
        <v>B2B</v>
      </c>
      <c r="J643" s="3">
        <f t="shared" si="31"/>
        <v>0.45</v>
      </c>
      <c r="K643" s="2">
        <f t="shared" si="32"/>
        <v>11.691000000000001</v>
      </c>
    </row>
    <row r="644" spans="1:11" x14ac:dyDescent="0.3">
      <c r="A644" t="s">
        <v>1539</v>
      </c>
      <c r="B644" t="s">
        <v>678</v>
      </c>
      <c r="C644">
        <v>18</v>
      </c>
      <c r="D644" t="s">
        <v>896</v>
      </c>
      <c r="E644">
        <v>3.6</v>
      </c>
      <c r="F644" s="2">
        <v>33.74</v>
      </c>
      <c r="G644">
        <v>5</v>
      </c>
      <c r="H644">
        <v>2</v>
      </c>
      <c r="I644" t="str">
        <f t="shared" si="30"/>
        <v>B2B</v>
      </c>
      <c r="J644" s="3">
        <f t="shared" si="31"/>
        <v>0.1</v>
      </c>
      <c r="K644" s="2">
        <f t="shared" si="32"/>
        <v>3.3740000000000006</v>
      </c>
    </row>
    <row r="645" spans="1:11" x14ac:dyDescent="0.3">
      <c r="A645" t="s">
        <v>1540</v>
      </c>
      <c r="B645" t="s">
        <v>699</v>
      </c>
      <c r="C645">
        <v>75</v>
      </c>
      <c r="D645" t="s">
        <v>901</v>
      </c>
      <c r="E645">
        <v>1.65</v>
      </c>
      <c r="F645" s="2">
        <v>16.93</v>
      </c>
      <c r="G645">
        <v>5</v>
      </c>
      <c r="H645">
        <v>6</v>
      </c>
      <c r="I645" t="str">
        <f t="shared" si="30"/>
        <v>B2B</v>
      </c>
      <c r="J645" s="3">
        <f t="shared" si="31"/>
        <v>0.1</v>
      </c>
      <c r="K645" s="2">
        <f t="shared" si="32"/>
        <v>1.6930000000000001</v>
      </c>
    </row>
    <row r="646" spans="1:11" x14ac:dyDescent="0.3">
      <c r="A646" t="s">
        <v>1541</v>
      </c>
      <c r="B646" t="s">
        <v>700</v>
      </c>
      <c r="C646">
        <v>59</v>
      </c>
      <c r="D646" t="s">
        <v>899</v>
      </c>
      <c r="E646">
        <v>2.5</v>
      </c>
      <c r="F646" s="2">
        <v>71.13</v>
      </c>
      <c r="G646">
        <v>0</v>
      </c>
      <c r="H646">
        <v>5</v>
      </c>
      <c r="I646" t="str">
        <f t="shared" si="30"/>
        <v>B2B</v>
      </c>
      <c r="J646" s="3">
        <f t="shared" si="31"/>
        <v>0.1</v>
      </c>
      <c r="K646" s="2">
        <f t="shared" si="32"/>
        <v>7.1129999999999995</v>
      </c>
    </row>
    <row r="647" spans="1:11" x14ac:dyDescent="0.3">
      <c r="A647" t="s">
        <v>1542</v>
      </c>
      <c r="B647" t="s">
        <v>678</v>
      </c>
      <c r="C647">
        <v>16</v>
      </c>
      <c r="D647" t="s">
        <v>894</v>
      </c>
      <c r="E647">
        <v>1.6</v>
      </c>
      <c r="F647" s="2">
        <v>86.78</v>
      </c>
      <c r="G647">
        <v>1</v>
      </c>
      <c r="H647">
        <v>1</v>
      </c>
      <c r="I647" t="str">
        <f t="shared" si="30"/>
        <v>-</v>
      </c>
      <c r="J647" s="3">
        <f t="shared" si="31"/>
        <v>0.45</v>
      </c>
      <c r="K647" s="2">
        <f t="shared" si="32"/>
        <v>39.051000000000002</v>
      </c>
    </row>
    <row r="648" spans="1:11" x14ac:dyDescent="0.3">
      <c r="A648" t="s">
        <v>1543</v>
      </c>
      <c r="B648" t="s">
        <v>689</v>
      </c>
      <c r="C648">
        <v>17</v>
      </c>
      <c r="D648" t="s">
        <v>896</v>
      </c>
      <c r="E648">
        <v>3.43</v>
      </c>
      <c r="F648" s="2">
        <v>63.46</v>
      </c>
      <c r="G648">
        <v>3</v>
      </c>
      <c r="H648">
        <v>1</v>
      </c>
      <c r="I648" t="str">
        <f t="shared" si="30"/>
        <v>B2B</v>
      </c>
      <c r="J648" s="3">
        <f t="shared" si="31"/>
        <v>0.1</v>
      </c>
      <c r="K648" s="2">
        <f t="shared" si="32"/>
        <v>6.3460000000000001</v>
      </c>
    </row>
    <row r="649" spans="1:11" x14ac:dyDescent="0.3">
      <c r="A649" t="s">
        <v>1544</v>
      </c>
      <c r="B649" t="s">
        <v>705</v>
      </c>
      <c r="C649">
        <v>41</v>
      </c>
      <c r="D649" t="s">
        <v>901</v>
      </c>
      <c r="E649">
        <v>1.5</v>
      </c>
      <c r="F649" s="2">
        <v>97.26</v>
      </c>
      <c r="G649">
        <v>1</v>
      </c>
      <c r="H649">
        <v>3</v>
      </c>
      <c r="I649" t="str">
        <f t="shared" si="30"/>
        <v>-</v>
      </c>
      <c r="J649" s="3">
        <f t="shared" si="31"/>
        <v>0</v>
      </c>
      <c r="K649" s="2">
        <f t="shared" si="32"/>
        <v>0</v>
      </c>
    </row>
    <row r="650" spans="1:11" x14ac:dyDescent="0.3">
      <c r="A650" t="s">
        <v>1545</v>
      </c>
      <c r="B650" t="s">
        <v>724</v>
      </c>
      <c r="C650">
        <v>111</v>
      </c>
      <c r="D650" t="s">
        <v>894</v>
      </c>
      <c r="E650">
        <v>5.07</v>
      </c>
      <c r="F650" s="2">
        <v>62.48</v>
      </c>
      <c r="G650">
        <v>5</v>
      </c>
      <c r="H650">
        <v>9</v>
      </c>
      <c r="I650" t="str">
        <f t="shared" si="30"/>
        <v>B2B</v>
      </c>
      <c r="J650" s="3">
        <f t="shared" si="31"/>
        <v>0.45</v>
      </c>
      <c r="K650" s="2">
        <f t="shared" si="32"/>
        <v>28.116</v>
      </c>
    </row>
    <row r="651" spans="1:11" x14ac:dyDescent="0.3">
      <c r="A651" t="s">
        <v>1546</v>
      </c>
      <c r="B651" t="s">
        <v>689</v>
      </c>
      <c r="C651">
        <v>19</v>
      </c>
      <c r="D651" t="s">
        <v>899</v>
      </c>
      <c r="E651">
        <v>2.35</v>
      </c>
      <c r="F651" s="2">
        <v>53.95</v>
      </c>
      <c r="G651">
        <v>1</v>
      </c>
      <c r="H651">
        <v>2</v>
      </c>
      <c r="I651" t="str">
        <f t="shared" si="30"/>
        <v>B2B</v>
      </c>
      <c r="J651" s="3">
        <f t="shared" si="31"/>
        <v>0.1</v>
      </c>
      <c r="K651" s="2">
        <f t="shared" si="32"/>
        <v>5.3950000000000005</v>
      </c>
    </row>
    <row r="652" spans="1:11" x14ac:dyDescent="0.3">
      <c r="A652" t="s">
        <v>1547</v>
      </c>
      <c r="B652" t="s">
        <v>718</v>
      </c>
      <c r="C652">
        <v>20</v>
      </c>
      <c r="D652" t="s">
        <v>899</v>
      </c>
      <c r="E652">
        <v>4.95</v>
      </c>
      <c r="F652" s="2">
        <v>14.77</v>
      </c>
      <c r="G652">
        <v>0</v>
      </c>
      <c r="H652">
        <v>2</v>
      </c>
      <c r="I652" t="str">
        <f t="shared" si="30"/>
        <v>B2B</v>
      </c>
      <c r="J652" s="3">
        <f t="shared" si="31"/>
        <v>0.45</v>
      </c>
      <c r="K652" s="2">
        <f t="shared" si="32"/>
        <v>6.6464999999999996</v>
      </c>
    </row>
    <row r="653" spans="1:11" x14ac:dyDescent="0.3">
      <c r="A653" t="s">
        <v>1548</v>
      </c>
      <c r="B653" t="s">
        <v>681</v>
      </c>
      <c r="C653">
        <v>67</v>
      </c>
      <c r="D653" t="s">
        <v>894</v>
      </c>
      <c r="E653">
        <v>4.37</v>
      </c>
      <c r="F653" s="2">
        <v>28.46</v>
      </c>
      <c r="G653">
        <v>3</v>
      </c>
      <c r="H653">
        <v>6</v>
      </c>
      <c r="I653" t="str">
        <f t="shared" si="30"/>
        <v>B2B</v>
      </c>
      <c r="J653" s="3">
        <f t="shared" si="31"/>
        <v>0.45</v>
      </c>
      <c r="K653" s="2">
        <f t="shared" si="32"/>
        <v>12.807</v>
      </c>
    </row>
    <row r="654" spans="1:11" x14ac:dyDescent="0.3">
      <c r="A654" t="s">
        <v>1549</v>
      </c>
      <c r="B654" t="s">
        <v>710</v>
      </c>
      <c r="C654">
        <v>38</v>
      </c>
      <c r="D654" t="s">
        <v>901</v>
      </c>
      <c r="E654">
        <v>3.18</v>
      </c>
      <c r="F654" s="2">
        <v>22.97</v>
      </c>
      <c r="G654">
        <v>3</v>
      </c>
      <c r="H654">
        <v>3</v>
      </c>
      <c r="I654" t="str">
        <f t="shared" si="30"/>
        <v>B2B</v>
      </c>
      <c r="J654" s="3">
        <f t="shared" si="31"/>
        <v>0.1</v>
      </c>
      <c r="K654" s="2">
        <f t="shared" si="32"/>
        <v>2.2970000000000002</v>
      </c>
    </row>
    <row r="655" spans="1:11" x14ac:dyDescent="0.3">
      <c r="A655" t="s">
        <v>1550</v>
      </c>
      <c r="B655" t="s">
        <v>699</v>
      </c>
      <c r="C655">
        <v>80</v>
      </c>
      <c r="D655" t="s">
        <v>899</v>
      </c>
      <c r="E655">
        <v>1.08</v>
      </c>
      <c r="F655" s="2">
        <v>76.64</v>
      </c>
      <c r="G655">
        <v>3</v>
      </c>
      <c r="H655">
        <v>7</v>
      </c>
      <c r="I655" t="str">
        <f t="shared" si="30"/>
        <v>B2B</v>
      </c>
      <c r="J655" s="3">
        <f t="shared" si="31"/>
        <v>0.1</v>
      </c>
      <c r="K655" s="2">
        <f t="shared" si="32"/>
        <v>7.6640000000000006</v>
      </c>
    </row>
    <row r="656" spans="1:11" x14ac:dyDescent="0.3">
      <c r="A656" t="s">
        <v>1551</v>
      </c>
      <c r="B656" t="s">
        <v>693</v>
      </c>
      <c r="C656">
        <v>72</v>
      </c>
      <c r="D656" t="s">
        <v>896</v>
      </c>
      <c r="E656">
        <v>5.28</v>
      </c>
      <c r="F656" s="2">
        <v>54.58</v>
      </c>
      <c r="G656">
        <v>1</v>
      </c>
      <c r="H656">
        <v>6</v>
      </c>
      <c r="I656" t="str">
        <f t="shared" si="30"/>
        <v>B2B</v>
      </c>
      <c r="J656" s="3">
        <f t="shared" si="31"/>
        <v>0.45</v>
      </c>
      <c r="K656" s="2">
        <f t="shared" si="32"/>
        <v>24.561</v>
      </c>
    </row>
    <row r="657" spans="1:11" x14ac:dyDescent="0.3">
      <c r="A657" t="s">
        <v>1552</v>
      </c>
      <c r="B657" t="s">
        <v>718</v>
      </c>
      <c r="C657">
        <v>86</v>
      </c>
      <c r="D657" t="s">
        <v>894</v>
      </c>
      <c r="E657">
        <v>4.63</v>
      </c>
      <c r="F657" s="2">
        <v>30.12</v>
      </c>
      <c r="G657">
        <v>0</v>
      </c>
      <c r="H657">
        <v>7</v>
      </c>
      <c r="I657" t="str">
        <f t="shared" si="30"/>
        <v>B2B</v>
      </c>
      <c r="J657" s="3">
        <f t="shared" si="31"/>
        <v>0.45</v>
      </c>
      <c r="K657" s="2">
        <f t="shared" si="32"/>
        <v>13.554</v>
      </c>
    </row>
    <row r="658" spans="1:11" x14ac:dyDescent="0.3">
      <c r="A658" t="s">
        <v>1553</v>
      </c>
      <c r="B658" t="s">
        <v>725</v>
      </c>
      <c r="C658">
        <v>21</v>
      </c>
      <c r="D658" t="s">
        <v>901</v>
      </c>
      <c r="E658">
        <v>7.67</v>
      </c>
      <c r="F658" s="2">
        <v>70.81</v>
      </c>
      <c r="G658">
        <v>2</v>
      </c>
      <c r="H658">
        <v>2</v>
      </c>
      <c r="I658" t="str">
        <f t="shared" si="30"/>
        <v>B2B</v>
      </c>
      <c r="J658" s="3">
        <f t="shared" si="31"/>
        <v>0.45</v>
      </c>
      <c r="K658" s="2">
        <f t="shared" si="32"/>
        <v>31.864500000000003</v>
      </c>
    </row>
    <row r="659" spans="1:11" x14ac:dyDescent="0.3">
      <c r="A659" t="s">
        <v>1554</v>
      </c>
      <c r="B659" t="s">
        <v>693</v>
      </c>
      <c r="C659">
        <v>39</v>
      </c>
      <c r="D659" t="s">
        <v>896</v>
      </c>
      <c r="E659">
        <v>4.82</v>
      </c>
      <c r="F659" s="2">
        <v>86.7</v>
      </c>
      <c r="G659">
        <v>3</v>
      </c>
      <c r="H659">
        <v>3</v>
      </c>
      <c r="I659" t="str">
        <f t="shared" si="30"/>
        <v>-</v>
      </c>
      <c r="J659" s="3">
        <f t="shared" si="31"/>
        <v>0.45</v>
      </c>
      <c r="K659" s="2">
        <f t="shared" si="32"/>
        <v>39.015000000000001</v>
      </c>
    </row>
    <row r="660" spans="1:11" x14ac:dyDescent="0.3">
      <c r="A660" t="s">
        <v>1555</v>
      </c>
      <c r="B660" t="s">
        <v>695</v>
      </c>
      <c r="C660">
        <v>63</v>
      </c>
      <c r="D660" t="s">
        <v>896</v>
      </c>
      <c r="E660">
        <v>7.48</v>
      </c>
      <c r="F660" s="2">
        <v>37.08</v>
      </c>
      <c r="G660">
        <v>0</v>
      </c>
      <c r="H660">
        <v>5</v>
      </c>
      <c r="I660" t="str">
        <f t="shared" si="30"/>
        <v>B2B</v>
      </c>
      <c r="J660" s="3">
        <f t="shared" si="31"/>
        <v>0.45</v>
      </c>
      <c r="K660" s="2">
        <f t="shared" si="32"/>
        <v>16.686</v>
      </c>
    </row>
    <row r="661" spans="1:11" x14ac:dyDescent="0.3">
      <c r="A661" t="s">
        <v>1556</v>
      </c>
      <c r="B661" t="s">
        <v>737</v>
      </c>
      <c r="C661">
        <v>37</v>
      </c>
      <c r="D661" t="s">
        <v>896</v>
      </c>
      <c r="E661">
        <v>2.5</v>
      </c>
      <c r="F661" s="2">
        <v>37.979999999999997</v>
      </c>
      <c r="G661">
        <v>4</v>
      </c>
      <c r="H661">
        <v>3</v>
      </c>
      <c r="I661" t="str">
        <f t="shared" si="30"/>
        <v>B2B</v>
      </c>
      <c r="J661" s="3">
        <f t="shared" si="31"/>
        <v>0.1</v>
      </c>
      <c r="K661" s="2">
        <f t="shared" si="32"/>
        <v>3.798</v>
      </c>
    </row>
    <row r="662" spans="1:11" x14ac:dyDescent="0.3">
      <c r="A662" t="s">
        <v>1557</v>
      </c>
      <c r="B662" t="s">
        <v>678</v>
      </c>
      <c r="C662">
        <v>9</v>
      </c>
      <c r="D662" t="s">
        <v>899</v>
      </c>
      <c r="E662">
        <v>0.45</v>
      </c>
      <c r="F662" s="2">
        <v>99.02</v>
      </c>
      <c r="G662">
        <v>3</v>
      </c>
      <c r="H662">
        <v>1</v>
      </c>
      <c r="I662" t="str">
        <f t="shared" si="30"/>
        <v>-</v>
      </c>
      <c r="J662" s="3">
        <f t="shared" si="31"/>
        <v>0</v>
      </c>
      <c r="K662" s="2">
        <f t="shared" si="32"/>
        <v>0</v>
      </c>
    </row>
    <row r="663" spans="1:11" x14ac:dyDescent="0.3">
      <c r="A663" t="s">
        <v>1558</v>
      </c>
      <c r="B663" t="s">
        <v>701</v>
      </c>
      <c r="C663">
        <v>103</v>
      </c>
      <c r="D663" t="s">
        <v>894</v>
      </c>
      <c r="E663">
        <v>6.43</v>
      </c>
      <c r="F663" s="2">
        <v>10.58</v>
      </c>
      <c r="G663">
        <v>0</v>
      </c>
      <c r="H663">
        <v>9</v>
      </c>
      <c r="I663" t="str">
        <f t="shared" si="30"/>
        <v>B2B</v>
      </c>
      <c r="J663" s="3">
        <f t="shared" si="31"/>
        <v>0.45</v>
      </c>
      <c r="K663" s="2">
        <f t="shared" si="32"/>
        <v>4.7610000000000001</v>
      </c>
    </row>
    <row r="664" spans="1:11" x14ac:dyDescent="0.3">
      <c r="A664" t="s">
        <v>1559</v>
      </c>
      <c r="B664" t="s">
        <v>737</v>
      </c>
      <c r="C664">
        <v>38</v>
      </c>
      <c r="D664" t="s">
        <v>894</v>
      </c>
      <c r="E664">
        <v>7.2</v>
      </c>
      <c r="F664" s="2">
        <v>53.65</v>
      </c>
      <c r="G664">
        <v>4</v>
      </c>
      <c r="H664">
        <v>3</v>
      </c>
      <c r="I664" t="str">
        <f t="shared" si="30"/>
        <v>B2B</v>
      </c>
      <c r="J664" s="3">
        <f t="shared" si="31"/>
        <v>0.45</v>
      </c>
      <c r="K664" s="2">
        <f t="shared" si="32"/>
        <v>24.142499999999998</v>
      </c>
    </row>
    <row r="665" spans="1:11" x14ac:dyDescent="0.3">
      <c r="A665" t="s">
        <v>1560</v>
      </c>
      <c r="B665" t="s">
        <v>692</v>
      </c>
      <c r="C665">
        <v>2</v>
      </c>
      <c r="D665" t="s">
        <v>894</v>
      </c>
      <c r="E665">
        <v>3.35</v>
      </c>
      <c r="F665" s="2">
        <v>71.900000000000006</v>
      </c>
      <c r="G665">
        <v>2</v>
      </c>
      <c r="H665">
        <v>0</v>
      </c>
      <c r="I665" t="str">
        <f t="shared" si="30"/>
        <v>B2B</v>
      </c>
      <c r="J665" s="3">
        <f t="shared" si="31"/>
        <v>0.45</v>
      </c>
      <c r="K665" s="2">
        <f t="shared" si="32"/>
        <v>32.355000000000004</v>
      </c>
    </row>
    <row r="666" spans="1:11" x14ac:dyDescent="0.3">
      <c r="A666" t="s">
        <v>1561</v>
      </c>
      <c r="B666" t="s">
        <v>703</v>
      </c>
      <c r="C666">
        <v>59</v>
      </c>
      <c r="D666" t="s">
        <v>901</v>
      </c>
      <c r="E666">
        <v>1.07</v>
      </c>
      <c r="F666" s="2">
        <v>20.32</v>
      </c>
      <c r="G666">
        <v>0</v>
      </c>
      <c r="H666">
        <v>5</v>
      </c>
      <c r="I666" t="str">
        <f t="shared" si="30"/>
        <v>B2B</v>
      </c>
      <c r="J666" s="3">
        <f t="shared" si="31"/>
        <v>0.1</v>
      </c>
      <c r="K666" s="2">
        <f t="shared" si="32"/>
        <v>2.032</v>
      </c>
    </row>
    <row r="667" spans="1:11" x14ac:dyDescent="0.3">
      <c r="A667" t="s">
        <v>1562</v>
      </c>
      <c r="B667" t="s">
        <v>674</v>
      </c>
      <c r="C667">
        <v>6</v>
      </c>
      <c r="D667" t="s">
        <v>896</v>
      </c>
      <c r="E667">
        <v>3.43</v>
      </c>
      <c r="F667" s="2">
        <v>10</v>
      </c>
      <c r="G667">
        <v>5</v>
      </c>
      <c r="H667">
        <v>0</v>
      </c>
      <c r="I667" t="str">
        <f t="shared" si="30"/>
        <v>B2B</v>
      </c>
      <c r="J667" s="3">
        <f t="shared" si="31"/>
        <v>0.1</v>
      </c>
      <c r="K667" s="2">
        <f t="shared" si="32"/>
        <v>1</v>
      </c>
    </row>
    <row r="668" spans="1:11" x14ac:dyDescent="0.3">
      <c r="A668" t="s">
        <v>1563</v>
      </c>
      <c r="B668" t="s">
        <v>684</v>
      </c>
      <c r="C668">
        <v>28</v>
      </c>
      <c r="D668" t="s">
        <v>894</v>
      </c>
      <c r="E668">
        <v>5.72</v>
      </c>
      <c r="F668" s="2">
        <v>64.34</v>
      </c>
      <c r="G668">
        <v>5</v>
      </c>
      <c r="H668">
        <v>2</v>
      </c>
      <c r="I668" t="str">
        <f t="shared" si="30"/>
        <v>B2B</v>
      </c>
      <c r="J668" s="3">
        <f t="shared" si="31"/>
        <v>0.45</v>
      </c>
      <c r="K668" s="2">
        <f t="shared" si="32"/>
        <v>28.953000000000003</v>
      </c>
    </row>
    <row r="669" spans="1:11" x14ac:dyDescent="0.3">
      <c r="A669" t="s">
        <v>1564</v>
      </c>
      <c r="B669" t="s">
        <v>702</v>
      </c>
      <c r="C669">
        <v>37</v>
      </c>
      <c r="D669" t="s">
        <v>901</v>
      </c>
      <c r="E669">
        <v>0.05</v>
      </c>
      <c r="F669" s="2">
        <v>20.89</v>
      </c>
      <c r="G669">
        <v>5</v>
      </c>
      <c r="H669">
        <v>3</v>
      </c>
      <c r="I669" t="str">
        <f t="shared" si="30"/>
        <v>B2B</v>
      </c>
      <c r="J669" s="3">
        <f t="shared" si="31"/>
        <v>0.1</v>
      </c>
      <c r="K669" s="2">
        <f t="shared" si="32"/>
        <v>2.089</v>
      </c>
    </row>
    <row r="670" spans="1:11" x14ac:dyDescent="0.3">
      <c r="A670" t="s">
        <v>1565</v>
      </c>
      <c r="B670" t="s">
        <v>701</v>
      </c>
      <c r="C670">
        <v>106</v>
      </c>
      <c r="D670" t="s">
        <v>901</v>
      </c>
      <c r="E670">
        <v>3.93</v>
      </c>
      <c r="F670" s="2">
        <v>18.72</v>
      </c>
      <c r="G670">
        <v>4</v>
      </c>
      <c r="H670">
        <v>9</v>
      </c>
      <c r="I670" t="str">
        <f t="shared" si="30"/>
        <v>B2B</v>
      </c>
      <c r="J670" s="3">
        <f t="shared" si="31"/>
        <v>0.1</v>
      </c>
      <c r="K670" s="2">
        <f t="shared" si="32"/>
        <v>1.8719999999999999</v>
      </c>
    </row>
    <row r="671" spans="1:11" x14ac:dyDescent="0.3">
      <c r="A671" t="s">
        <v>1566</v>
      </c>
      <c r="B671" t="s">
        <v>692</v>
      </c>
      <c r="C671">
        <v>76</v>
      </c>
      <c r="D671" t="s">
        <v>894</v>
      </c>
      <c r="E671">
        <v>6.88</v>
      </c>
      <c r="F671" s="2">
        <v>28.39</v>
      </c>
      <c r="G671">
        <v>3</v>
      </c>
      <c r="H671">
        <v>6</v>
      </c>
      <c r="I671" t="str">
        <f t="shared" si="30"/>
        <v>B2B</v>
      </c>
      <c r="J671" s="3">
        <f t="shared" si="31"/>
        <v>0.45</v>
      </c>
      <c r="K671" s="2">
        <f t="shared" si="32"/>
        <v>12.775500000000001</v>
      </c>
    </row>
    <row r="672" spans="1:11" x14ac:dyDescent="0.3">
      <c r="A672" t="s">
        <v>1567</v>
      </c>
      <c r="B672" t="s">
        <v>699</v>
      </c>
      <c r="C672">
        <v>16</v>
      </c>
      <c r="D672" t="s">
        <v>901</v>
      </c>
      <c r="E672">
        <v>6.5</v>
      </c>
      <c r="F672" s="2">
        <v>52.64</v>
      </c>
      <c r="G672">
        <v>0</v>
      </c>
      <c r="H672">
        <v>1</v>
      </c>
      <c r="I672" t="str">
        <f t="shared" si="30"/>
        <v>B2B</v>
      </c>
      <c r="J672" s="3">
        <f t="shared" si="31"/>
        <v>0.45</v>
      </c>
      <c r="K672" s="2">
        <f t="shared" si="32"/>
        <v>23.688000000000002</v>
      </c>
    </row>
    <row r="673" spans="1:11" x14ac:dyDescent="0.3">
      <c r="A673" t="s">
        <v>1568</v>
      </c>
      <c r="B673" t="s">
        <v>687</v>
      </c>
      <c r="C673">
        <v>7</v>
      </c>
      <c r="D673" t="s">
        <v>896</v>
      </c>
      <c r="E673">
        <v>7.45</v>
      </c>
      <c r="F673" s="2">
        <v>84.95</v>
      </c>
      <c r="G673">
        <v>2</v>
      </c>
      <c r="H673">
        <v>1</v>
      </c>
      <c r="I673" t="str">
        <f t="shared" si="30"/>
        <v>-</v>
      </c>
      <c r="J673" s="3">
        <f t="shared" si="31"/>
        <v>0.45</v>
      </c>
      <c r="K673" s="2">
        <f t="shared" si="32"/>
        <v>38.227499999999999</v>
      </c>
    </row>
    <row r="674" spans="1:11" x14ac:dyDescent="0.3">
      <c r="A674" t="s">
        <v>1569</v>
      </c>
      <c r="B674" t="s">
        <v>695</v>
      </c>
      <c r="C674">
        <v>63</v>
      </c>
      <c r="D674" t="s">
        <v>901</v>
      </c>
      <c r="E674">
        <v>4.42</v>
      </c>
      <c r="F674" s="2">
        <v>49.94</v>
      </c>
      <c r="G674">
        <v>1</v>
      </c>
      <c r="H674">
        <v>5</v>
      </c>
      <c r="I674" t="str">
        <f t="shared" si="30"/>
        <v>B2B</v>
      </c>
      <c r="J674" s="3">
        <f t="shared" si="31"/>
        <v>0.45</v>
      </c>
      <c r="K674" s="2">
        <f t="shared" si="32"/>
        <v>22.472999999999999</v>
      </c>
    </row>
    <row r="675" spans="1:11" x14ac:dyDescent="0.3">
      <c r="A675" t="s">
        <v>1570</v>
      </c>
      <c r="B675" t="s">
        <v>698</v>
      </c>
      <c r="C675">
        <v>40</v>
      </c>
      <c r="D675" t="s">
        <v>894</v>
      </c>
      <c r="E675">
        <v>3.92</v>
      </c>
      <c r="F675" s="2">
        <v>15.01</v>
      </c>
      <c r="G675">
        <v>3</v>
      </c>
      <c r="H675">
        <v>3</v>
      </c>
      <c r="I675" t="str">
        <f t="shared" si="30"/>
        <v>B2B</v>
      </c>
      <c r="J675" s="3">
        <f t="shared" si="31"/>
        <v>0.45</v>
      </c>
      <c r="K675" s="2">
        <f t="shared" si="32"/>
        <v>6.7545000000000002</v>
      </c>
    </row>
    <row r="676" spans="1:11" x14ac:dyDescent="0.3">
      <c r="A676" t="s">
        <v>1571</v>
      </c>
      <c r="B676" t="s">
        <v>710</v>
      </c>
      <c r="C676">
        <v>1</v>
      </c>
      <c r="D676" t="s">
        <v>894</v>
      </c>
      <c r="E676">
        <v>7.15</v>
      </c>
      <c r="F676" s="2">
        <v>20.96</v>
      </c>
      <c r="G676">
        <v>5</v>
      </c>
      <c r="H676">
        <v>0</v>
      </c>
      <c r="I676" t="str">
        <f t="shared" si="30"/>
        <v>B2B</v>
      </c>
      <c r="J676" s="3">
        <f t="shared" si="31"/>
        <v>0.45</v>
      </c>
      <c r="K676" s="2">
        <f t="shared" si="32"/>
        <v>9.4320000000000004</v>
      </c>
    </row>
    <row r="677" spans="1:11" x14ac:dyDescent="0.3">
      <c r="A677" t="s">
        <v>1572</v>
      </c>
      <c r="B677" t="s">
        <v>701</v>
      </c>
      <c r="C677">
        <v>56</v>
      </c>
      <c r="D677" t="s">
        <v>899</v>
      </c>
      <c r="E677">
        <v>0.45</v>
      </c>
      <c r="F677" s="2">
        <v>46.41</v>
      </c>
      <c r="G677">
        <v>3</v>
      </c>
      <c r="H677">
        <v>5</v>
      </c>
      <c r="I677" t="str">
        <f t="shared" si="30"/>
        <v>B2B</v>
      </c>
      <c r="J677" s="3">
        <f t="shared" si="31"/>
        <v>0.1</v>
      </c>
      <c r="K677" s="2">
        <f t="shared" si="32"/>
        <v>4.641</v>
      </c>
    </row>
    <row r="678" spans="1:11" x14ac:dyDescent="0.3">
      <c r="A678" t="s">
        <v>1573</v>
      </c>
      <c r="B678" t="s">
        <v>736</v>
      </c>
      <c r="C678">
        <v>46</v>
      </c>
      <c r="D678" t="s">
        <v>894</v>
      </c>
      <c r="E678">
        <v>0.72</v>
      </c>
      <c r="F678" s="2">
        <v>98.44</v>
      </c>
      <c r="G678">
        <v>2</v>
      </c>
      <c r="H678">
        <v>4</v>
      </c>
      <c r="I678" t="str">
        <f t="shared" si="30"/>
        <v>-</v>
      </c>
      <c r="J678" s="3">
        <f t="shared" si="31"/>
        <v>0.45</v>
      </c>
      <c r="K678" s="2">
        <f t="shared" si="32"/>
        <v>44.298000000000002</v>
      </c>
    </row>
    <row r="679" spans="1:11" x14ac:dyDescent="0.3">
      <c r="A679" t="s">
        <v>1574</v>
      </c>
      <c r="B679" t="s">
        <v>693</v>
      </c>
      <c r="C679">
        <v>85</v>
      </c>
      <c r="D679" t="s">
        <v>896</v>
      </c>
      <c r="E679">
        <v>0.47</v>
      </c>
      <c r="F679" s="2">
        <v>83.82</v>
      </c>
      <c r="G679">
        <v>0</v>
      </c>
      <c r="H679">
        <v>7</v>
      </c>
      <c r="I679" t="str">
        <f t="shared" si="30"/>
        <v>-</v>
      </c>
      <c r="J679" s="3">
        <f t="shared" si="31"/>
        <v>0</v>
      </c>
      <c r="K679" s="2">
        <f t="shared" si="32"/>
        <v>0</v>
      </c>
    </row>
    <row r="680" spans="1:11" x14ac:dyDescent="0.3">
      <c r="A680" t="s">
        <v>1575</v>
      </c>
      <c r="B680" t="s">
        <v>724</v>
      </c>
      <c r="C680">
        <v>107</v>
      </c>
      <c r="D680" t="s">
        <v>901</v>
      </c>
      <c r="E680">
        <v>2.2999999999999998</v>
      </c>
      <c r="F680" s="2">
        <v>85.75</v>
      </c>
      <c r="G680">
        <v>1</v>
      </c>
      <c r="H680">
        <v>9</v>
      </c>
      <c r="I680" t="str">
        <f t="shared" si="30"/>
        <v>-</v>
      </c>
      <c r="J680" s="3">
        <f t="shared" si="31"/>
        <v>0</v>
      </c>
      <c r="K680" s="2">
        <f t="shared" si="32"/>
        <v>0</v>
      </c>
    </row>
    <row r="681" spans="1:11" x14ac:dyDescent="0.3">
      <c r="A681" t="s">
        <v>1576</v>
      </c>
      <c r="B681" t="s">
        <v>698</v>
      </c>
      <c r="C681">
        <v>1</v>
      </c>
      <c r="D681" t="s">
        <v>896</v>
      </c>
      <c r="E681">
        <v>7.07</v>
      </c>
      <c r="F681" s="2">
        <v>59.2</v>
      </c>
      <c r="G681">
        <v>2</v>
      </c>
      <c r="H681">
        <v>0</v>
      </c>
      <c r="I681" t="str">
        <f t="shared" si="30"/>
        <v>B2B</v>
      </c>
      <c r="J681" s="3">
        <f t="shared" si="31"/>
        <v>0.45</v>
      </c>
      <c r="K681" s="2">
        <f t="shared" si="32"/>
        <v>26.64</v>
      </c>
    </row>
    <row r="682" spans="1:11" x14ac:dyDescent="0.3">
      <c r="A682" t="s">
        <v>1577</v>
      </c>
      <c r="B682" t="s">
        <v>684</v>
      </c>
      <c r="C682">
        <v>7</v>
      </c>
      <c r="D682" t="s">
        <v>896</v>
      </c>
      <c r="E682">
        <v>5.53</v>
      </c>
      <c r="F682" s="2">
        <v>83.95</v>
      </c>
      <c r="G682">
        <v>4</v>
      </c>
      <c r="H682">
        <v>1</v>
      </c>
      <c r="I682" t="str">
        <f t="shared" si="30"/>
        <v>-</v>
      </c>
      <c r="J682" s="3">
        <f t="shared" si="31"/>
        <v>0.45</v>
      </c>
      <c r="K682" s="2">
        <f t="shared" si="32"/>
        <v>37.777500000000003</v>
      </c>
    </row>
    <row r="683" spans="1:11" x14ac:dyDescent="0.3">
      <c r="A683" t="s">
        <v>1578</v>
      </c>
      <c r="B683" t="s">
        <v>681</v>
      </c>
      <c r="C683">
        <v>33</v>
      </c>
      <c r="D683" t="s">
        <v>899</v>
      </c>
      <c r="E683">
        <v>0.9</v>
      </c>
      <c r="F683" s="2">
        <v>71.319999999999993</v>
      </c>
      <c r="G683">
        <v>4</v>
      </c>
      <c r="H683">
        <v>3</v>
      </c>
      <c r="I683" t="str">
        <f t="shared" si="30"/>
        <v>B2B</v>
      </c>
      <c r="J683" s="3">
        <f t="shared" si="31"/>
        <v>0.1</v>
      </c>
      <c r="K683" s="2">
        <f t="shared" si="32"/>
        <v>7.1319999999999997</v>
      </c>
    </row>
    <row r="684" spans="1:11" x14ac:dyDescent="0.3">
      <c r="A684" t="s">
        <v>1579</v>
      </c>
      <c r="B684" t="s">
        <v>687</v>
      </c>
      <c r="C684">
        <v>18</v>
      </c>
      <c r="D684" t="s">
        <v>901</v>
      </c>
      <c r="E684">
        <v>2.83</v>
      </c>
      <c r="F684" s="2">
        <v>87.34</v>
      </c>
      <c r="G684">
        <v>1</v>
      </c>
      <c r="H684">
        <v>2</v>
      </c>
      <c r="I684" t="str">
        <f t="shared" si="30"/>
        <v>-</v>
      </c>
      <c r="J684" s="3">
        <f t="shared" si="31"/>
        <v>0</v>
      </c>
      <c r="K684" s="2">
        <f t="shared" si="32"/>
        <v>0</v>
      </c>
    </row>
    <row r="685" spans="1:11" x14ac:dyDescent="0.3">
      <c r="A685" t="s">
        <v>1580</v>
      </c>
      <c r="B685" t="s">
        <v>700</v>
      </c>
      <c r="C685">
        <v>45</v>
      </c>
      <c r="D685" t="s">
        <v>896</v>
      </c>
      <c r="E685">
        <v>5.07</v>
      </c>
      <c r="F685" s="2">
        <v>65.540000000000006</v>
      </c>
      <c r="G685">
        <v>2</v>
      </c>
      <c r="H685">
        <v>4</v>
      </c>
      <c r="I685" t="str">
        <f t="shared" si="30"/>
        <v>B2B</v>
      </c>
      <c r="J685" s="3">
        <f t="shared" si="31"/>
        <v>0.45</v>
      </c>
      <c r="K685" s="2">
        <f t="shared" si="32"/>
        <v>29.493000000000002</v>
      </c>
    </row>
    <row r="686" spans="1:11" x14ac:dyDescent="0.3">
      <c r="A686" t="s">
        <v>1581</v>
      </c>
      <c r="B686" t="s">
        <v>678</v>
      </c>
      <c r="C686">
        <v>113</v>
      </c>
      <c r="D686" t="s">
        <v>894</v>
      </c>
      <c r="E686">
        <v>0.82</v>
      </c>
      <c r="F686" s="2">
        <v>48.91</v>
      </c>
      <c r="G686">
        <v>5</v>
      </c>
      <c r="H686">
        <v>9</v>
      </c>
      <c r="I686" t="str">
        <f t="shared" si="30"/>
        <v>B2B</v>
      </c>
      <c r="J686" s="3">
        <f t="shared" si="31"/>
        <v>0.1</v>
      </c>
      <c r="K686" s="2">
        <f t="shared" si="32"/>
        <v>4.891</v>
      </c>
    </row>
    <row r="687" spans="1:11" x14ac:dyDescent="0.3">
      <c r="A687" t="s">
        <v>1582</v>
      </c>
      <c r="B687" t="s">
        <v>710</v>
      </c>
      <c r="C687">
        <v>37</v>
      </c>
      <c r="D687" t="s">
        <v>894</v>
      </c>
      <c r="E687">
        <v>7</v>
      </c>
      <c r="F687" s="2">
        <v>67.260000000000005</v>
      </c>
      <c r="G687">
        <v>4</v>
      </c>
      <c r="H687">
        <v>3</v>
      </c>
      <c r="I687" t="str">
        <f t="shared" si="30"/>
        <v>B2B</v>
      </c>
      <c r="J687" s="3">
        <f t="shared" si="31"/>
        <v>0.45</v>
      </c>
      <c r="K687" s="2">
        <f t="shared" si="32"/>
        <v>30.267000000000003</v>
      </c>
    </row>
    <row r="688" spans="1:11" x14ac:dyDescent="0.3">
      <c r="A688" t="s">
        <v>1583</v>
      </c>
      <c r="B688" t="s">
        <v>721</v>
      </c>
      <c r="C688">
        <v>101</v>
      </c>
      <c r="D688" t="s">
        <v>896</v>
      </c>
      <c r="E688">
        <v>2.4700000000000002</v>
      </c>
      <c r="F688" s="2">
        <v>26.63</v>
      </c>
      <c r="G688">
        <v>3</v>
      </c>
      <c r="H688">
        <v>8</v>
      </c>
      <c r="I688" t="str">
        <f t="shared" si="30"/>
        <v>B2B</v>
      </c>
      <c r="J688" s="3">
        <f t="shared" si="31"/>
        <v>0.1</v>
      </c>
      <c r="K688" s="2">
        <f t="shared" si="32"/>
        <v>2.6630000000000003</v>
      </c>
    </row>
    <row r="689" spans="1:11" x14ac:dyDescent="0.3">
      <c r="A689" t="s">
        <v>1584</v>
      </c>
      <c r="B689" t="s">
        <v>674</v>
      </c>
      <c r="C689">
        <v>110</v>
      </c>
      <c r="D689" t="s">
        <v>894</v>
      </c>
      <c r="E689">
        <v>4.82</v>
      </c>
      <c r="F689" s="2">
        <v>83.67</v>
      </c>
      <c r="G689">
        <v>4</v>
      </c>
      <c r="H689">
        <v>9</v>
      </c>
      <c r="I689" t="str">
        <f t="shared" si="30"/>
        <v>-</v>
      </c>
      <c r="J689" s="3">
        <f t="shared" si="31"/>
        <v>0.45</v>
      </c>
      <c r="K689" s="2">
        <f t="shared" si="32"/>
        <v>37.651499999999999</v>
      </c>
    </row>
    <row r="690" spans="1:11" x14ac:dyDescent="0.3">
      <c r="A690" t="s">
        <v>1585</v>
      </c>
      <c r="B690" t="s">
        <v>698</v>
      </c>
      <c r="C690">
        <v>65</v>
      </c>
      <c r="D690" t="s">
        <v>896</v>
      </c>
      <c r="E690">
        <v>4.0999999999999996</v>
      </c>
      <c r="F690" s="2">
        <v>69.17</v>
      </c>
      <c r="G690">
        <v>0</v>
      </c>
      <c r="H690">
        <v>5</v>
      </c>
      <c r="I690" t="str">
        <f t="shared" si="30"/>
        <v>B2B</v>
      </c>
      <c r="J690" s="3">
        <f t="shared" si="31"/>
        <v>0.45</v>
      </c>
      <c r="K690" s="2">
        <f t="shared" si="32"/>
        <v>31.1265</v>
      </c>
    </row>
    <row r="691" spans="1:11" x14ac:dyDescent="0.3">
      <c r="A691" t="s">
        <v>1586</v>
      </c>
      <c r="B691" t="s">
        <v>721</v>
      </c>
      <c r="C691">
        <v>86</v>
      </c>
      <c r="D691" t="s">
        <v>896</v>
      </c>
      <c r="E691">
        <v>5.88</v>
      </c>
      <c r="F691" s="2">
        <v>25.37</v>
      </c>
      <c r="G691">
        <v>1</v>
      </c>
      <c r="H691">
        <v>7</v>
      </c>
      <c r="I691" t="str">
        <f t="shared" si="30"/>
        <v>B2B</v>
      </c>
      <c r="J691" s="3">
        <f t="shared" si="31"/>
        <v>0.45</v>
      </c>
      <c r="K691" s="2">
        <f t="shared" si="32"/>
        <v>11.416500000000001</v>
      </c>
    </row>
    <row r="692" spans="1:11" x14ac:dyDescent="0.3">
      <c r="A692" t="s">
        <v>1587</v>
      </c>
      <c r="B692" t="s">
        <v>721</v>
      </c>
      <c r="C692">
        <v>99</v>
      </c>
      <c r="D692" t="s">
        <v>896</v>
      </c>
      <c r="E692">
        <v>2.82</v>
      </c>
      <c r="F692" s="2">
        <v>76.75</v>
      </c>
      <c r="G692">
        <v>5</v>
      </c>
      <c r="H692">
        <v>8</v>
      </c>
      <c r="I692" t="str">
        <f t="shared" si="30"/>
        <v>B2B</v>
      </c>
      <c r="J692" s="3">
        <f t="shared" si="31"/>
        <v>0.1</v>
      </c>
      <c r="K692" s="2">
        <f t="shared" si="32"/>
        <v>7.6750000000000007</v>
      </c>
    </row>
    <row r="693" spans="1:11" x14ac:dyDescent="0.3">
      <c r="A693" t="s">
        <v>1588</v>
      </c>
      <c r="B693" t="s">
        <v>699</v>
      </c>
      <c r="C693">
        <v>72</v>
      </c>
      <c r="D693" t="s">
        <v>896</v>
      </c>
      <c r="E693">
        <v>7.37</v>
      </c>
      <c r="F693" s="2">
        <v>59.2</v>
      </c>
      <c r="G693">
        <v>1</v>
      </c>
      <c r="H693">
        <v>6</v>
      </c>
      <c r="I693" t="str">
        <f t="shared" si="30"/>
        <v>B2B</v>
      </c>
      <c r="J693" s="3">
        <f t="shared" si="31"/>
        <v>0.45</v>
      </c>
      <c r="K693" s="2">
        <f t="shared" si="32"/>
        <v>26.64</v>
      </c>
    </row>
    <row r="694" spans="1:11" x14ac:dyDescent="0.3">
      <c r="A694" t="s">
        <v>1589</v>
      </c>
      <c r="B694" t="s">
        <v>736</v>
      </c>
      <c r="C694">
        <v>20</v>
      </c>
      <c r="D694" t="s">
        <v>896</v>
      </c>
      <c r="E694">
        <v>0.52</v>
      </c>
      <c r="F694" s="2">
        <v>52.85</v>
      </c>
      <c r="G694">
        <v>2</v>
      </c>
      <c r="H694">
        <v>2</v>
      </c>
      <c r="I694" t="str">
        <f t="shared" si="30"/>
        <v>B2B</v>
      </c>
      <c r="J694" s="3">
        <f t="shared" si="31"/>
        <v>0.1</v>
      </c>
      <c r="K694" s="2">
        <f t="shared" si="32"/>
        <v>5.2850000000000001</v>
      </c>
    </row>
    <row r="695" spans="1:11" x14ac:dyDescent="0.3">
      <c r="A695" t="s">
        <v>1590</v>
      </c>
      <c r="B695" t="s">
        <v>678</v>
      </c>
      <c r="C695">
        <v>12</v>
      </c>
      <c r="D695" t="s">
        <v>899</v>
      </c>
      <c r="E695">
        <v>1.03</v>
      </c>
      <c r="F695" s="2">
        <v>36.1</v>
      </c>
      <c r="G695">
        <v>5</v>
      </c>
      <c r="H695">
        <v>1</v>
      </c>
      <c r="I695" t="str">
        <f t="shared" si="30"/>
        <v>B2B</v>
      </c>
      <c r="J695" s="3">
        <f t="shared" si="31"/>
        <v>0.1</v>
      </c>
      <c r="K695" s="2">
        <f t="shared" si="32"/>
        <v>3.6100000000000003</v>
      </c>
    </row>
    <row r="696" spans="1:11" x14ac:dyDescent="0.3">
      <c r="A696" t="s">
        <v>1591</v>
      </c>
      <c r="B696" t="s">
        <v>689</v>
      </c>
      <c r="C696">
        <v>92</v>
      </c>
      <c r="D696" t="s">
        <v>899</v>
      </c>
      <c r="E696">
        <v>6.32</v>
      </c>
      <c r="F696" s="2">
        <v>70.08</v>
      </c>
      <c r="G696">
        <v>5</v>
      </c>
      <c r="H696">
        <v>8</v>
      </c>
      <c r="I696" t="str">
        <f t="shared" si="30"/>
        <v>B2B</v>
      </c>
      <c r="J696" s="3">
        <f t="shared" si="31"/>
        <v>0.45</v>
      </c>
      <c r="K696" s="2">
        <f t="shared" si="32"/>
        <v>31.536000000000001</v>
      </c>
    </row>
    <row r="697" spans="1:11" x14ac:dyDescent="0.3">
      <c r="A697" t="s">
        <v>1592</v>
      </c>
      <c r="B697" t="s">
        <v>706</v>
      </c>
      <c r="C697">
        <v>35</v>
      </c>
      <c r="D697" t="s">
        <v>896</v>
      </c>
      <c r="E697">
        <v>4.9800000000000004</v>
      </c>
      <c r="F697" s="2">
        <v>96.32</v>
      </c>
      <c r="G697">
        <v>4</v>
      </c>
      <c r="H697">
        <v>3</v>
      </c>
      <c r="I697" t="str">
        <f t="shared" si="30"/>
        <v>-</v>
      </c>
      <c r="J697" s="3">
        <f t="shared" si="31"/>
        <v>0.45</v>
      </c>
      <c r="K697" s="2">
        <f t="shared" si="32"/>
        <v>43.344000000000001</v>
      </c>
    </row>
    <row r="698" spans="1:11" x14ac:dyDescent="0.3">
      <c r="A698" t="s">
        <v>1593</v>
      </c>
      <c r="B698" t="s">
        <v>692</v>
      </c>
      <c r="C698">
        <v>19</v>
      </c>
      <c r="D698" t="s">
        <v>899</v>
      </c>
      <c r="E698">
        <v>5.75</v>
      </c>
      <c r="F698" s="2">
        <v>54.37</v>
      </c>
      <c r="G698">
        <v>2</v>
      </c>
      <c r="H698">
        <v>2</v>
      </c>
      <c r="I698" t="str">
        <f t="shared" si="30"/>
        <v>B2B</v>
      </c>
      <c r="J698" s="3">
        <f t="shared" si="31"/>
        <v>0.45</v>
      </c>
      <c r="K698" s="2">
        <f t="shared" si="32"/>
        <v>24.4665</v>
      </c>
    </row>
    <row r="699" spans="1:11" x14ac:dyDescent="0.3">
      <c r="A699" t="s">
        <v>1594</v>
      </c>
      <c r="B699" t="s">
        <v>715</v>
      </c>
      <c r="C699">
        <v>94</v>
      </c>
      <c r="D699" t="s">
        <v>901</v>
      </c>
      <c r="E699">
        <v>4.3499999999999996</v>
      </c>
      <c r="F699" s="2">
        <v>70.09</v>
      </c>
      <c r="G699">
        <v>3</v>
      </c>
      <c r="H699">
        <v>8</v>
      </c>
      <c r="I699" t="str">
        <f t="shared" si="30"/>
        <v>B2B</v>
      </c>
      <c r="J699" s="3">
        <f t="shared" si="31"/>
        <v>0.45</v>
      </c>
      <c r="K699" s="2">
        <f t="shared" si="32"/>
        <v>31.540500000000002</v>
      </c>
    </row>
    <row r="700" spans="1:11" x14ac:dyDescent="0.3">
      <c r="A700" t="s">
        <v>1595</v>
      </c>
      <c r="B700" t="s">
        <v>674</v>
      </c>
      <c r="C700">
        <v>26</v>
      </c>
      <c r="D700" t="s">
        <v>894</v>
      </c>
      <c r="E700">
        <v>6.3</v>
      </c>
      <c r="F700" s="2">
        <v>45.21</v>
      </c>
      <c r="G700">
        <v>5</v>
      </c>
      <c r="H700">
        <v>2</v>
      </c>
      <c r="I700" t="str">
        <f t="shared" si="30"/>
        <v>B2B</v>
      </c>
      <c r="J700" s="3">
        <f t="shared" si="31"/>
        <v>0.45</v>
      </c>
      <c r="K700" s="2">
        <f t="shared" si="32"/>
        <v>20.3445</v>
      </c>
    </row>
    <row r="701" spans="1:11" x14ac:dyDescent="0.3">
      <c r="A701" t="s">
        <v>1596</v>
      </c>
      <c r="B701" t="s">
        <v>692</v>
      </c>
      <c r="C701">
        <v>56</v>
      </c>
      <c r="D701" t="s">
        <v>901</v>
      </c>
      <c r="E701">
        <v>6.12</v>
      </c>
      <c r="F701" s="2">
        <v>72.790000000000006</v>
      </c>
      <c r="G701">
        <v>1</v>
      </c>
      <c r="H701">
        <v>5</v>
      </c>
      <c r="I701" t="str">
        <f t="shared" si="30"/>
        <v>B2B</v>
      </c>
      <c r="J701" s="3">
        <f t="shared" si="31"/>
        <v>0.45</v>
      </c>
      <c r="K701" s="2">
        <f t="shared" si="32"/>
        <v>32.755500000000005</v>
      </c>
    </row>
    <row r="702" spans="1:11" x14ac:dyDescent="0.3">
      <c r="A702" t="s">
        <v>1597</v>
      </c>
      <c r="B702" t="s">
        <v>736</v>
      </c>
      <c r="C702">
        <v>97</v>
      </c>
      <c r="D702" t="s">
        <v>899</v>
      </c>
      <c r="E702">
        <v>2.88</v>
      </c>
      <c r="F702" s="2">
        <v>19.37</v>
      </c>
      <c r="G702">
        <v>5</v>
      </c>
      <c r="H702">
        <v>8</v>
      </c>
      <c r="I702" t="str">
        <f t="shared" si="30"/>
        <v>B2B</v>
      </c>
      <c r="J702" s="3">
        <f t="shared" si="31"/>
        <v>0.1</v>
      </c>
      <c r="K702" s="2">
        <f t="shared" si="32"/>
        <v>1.9370000000000003</v>
      </c>
    </row>
    <row r="703" spans="1:11" x14ac:dyDescent="0.3">
      <c r="A703" t="s">
        <v>1598</v>
      </c>
      <c r="B703" t="s">
        <v>695</v>
      </c>
      <c r="C703">
        <v>54</v>
      </c>
      <c r="D703" t="s">
        <v>901</v>
      </c>
      <c r="E703">
        <v>3.58</v>
      </c>
      <c r="F703" s="2">
        <v>54.69</v>
      </c>
      <c r="G703">
        <v>0</v>
      </c>
      <c r="H703">
        <v>4</v>
      </c>
      <c r="I703" t="str">
        <f t="shared" si="30"/>
        <v>B2B</v>
      </c>
      <c r="J703" s="3">
        <f t="shared" si="31"/>
        <v>0.1</v>
      </c>
      <c r="K703" s="2">
        <f t="shared" si="32"/>
        <v>5.4690000000000003</v>
      </c>
    </row>
    <row r="704" spans="1:11" x14ac:dyDescent="0.3">
      <c r="A704" t="s">
        <v>1599</v>
      </c>
      <c r="B704" t="s">
        <v>725</v>
      </c>
      <c r="C704">
        <v>119</v>
      </c>
      <c r="D704" t="s">
        <v>899</v>
      </c>
      <c r="E704">
        <v>2.2200000000000002</v>
      </c>
      <c r="F704" s="2">
        <v>30.27</v>
      </c>
      <c r="G704">
        <v>5</v>
      </c>
      <c r="H704">
        <v>10</v>
      </c>
      <c r="I704" t="str">
        <f t="shared" si="30"/>
        <v>B2B</v>
      </c>
      <c r="J704" s="3">
        <f t="shared" si="31"/>
        <v>0.1</v>
      </c>
      <c r="K704" s="2">
        <f t="shared" si="32"/>
        <v>3.0270000000000001</v>
      </c>
    </row>
    <row r="705" spans="1:11" x14ac:dyDescent="0.3">
      <c r="A705" t="s">
        <v>1600</v>
      </c>
      <c r="B705" t="s">
        <v>737</v>
      </c>
      <c r="C705">
        <v>9</v>
      </c>
      <c r="D705" t="s">
        <v>901</v>
      </c>
      <c r="E705">
        <v>1.7</v>
      </c>
      <c r="F705" s="2">
        <v>41.52</v>
      </c>
      <c r="G705">
        <v>0</v>
      </c>
      <c r="H705">
        <v>1</v>
      </c>
      <c r="I705" t="str">
        <f t="shared" si="30"/>
        <v>B2B</v>
      </c>
      <c r="J705" s="3">
        <f t="shared" si="31"/>
        <v>0.1</v>
      </c>
      <c r="K705" s="2">
        <f t="shared" si="32"/>
        <v>4.1520000000000001</v>
      </c>
    </row>
    <row r="706" spans="1:11" x14ac:dyDescent="0.3">
      <c r="A706" t="s">
        <v>1601</v>
      </c>
      <c r="B706" t="s">
        <v>706</v>
      </c>
      <c r="C706">
        <v>8</v>
      </c>
      <c r="D706" t="s">
        <v>899</v>
      </c>
      <c r="E706">
        <v>2.85</v>
      </c>
      <c r="F706" s="2">
        <v>52.98</v>
      </c>
      <c r="G706">
        <v>0</v>
      </c>
      <c r="H706">
        <v>1</v>
      </c>
      <c r="I706" t="str">
        <f t="shared" ref="I706:I751" si="33">IF(F706&lt;80,"B2B","-")</f>
        <v>B2B</v>
      </c>
      <c r="J706" s="3">
        <f t="shared" ref="J706:J751" si="34">IF(AND(E706&gt;12,H706&gt;5),70%,
IF(OR(AND(E706&gt;=4,E706&lt;=12),AND(H706&lt;5,ISNUMBER(SEARCH("Premium",D706)))),45%,
IF(I706="B2B",10%,0%)))</f>
        <v>0.1</v>
      </c>
      <c r="K706" s="2">
        <f t="shared" ref="K706:K751" si="35">F706*J706</f>
        <v>5.298</v>
      </c>
    </row>
    <row r="707" spans="1:11" x14ac:dyDescent="0.3">
      <c r="A707" t="s">
        <v>1602</v>
      </c>
      <c r="B707" t="s">
        <v>695</v>
      </c>
      <c r="C707">
        <v>79</v>
      </c>
      <c r="D707" t="s">
        <v>894</v>
      </c>
      <c r="E707">
        <v>7.57</v>
      </c>
      <c r="F707" s="2">
        <v>80.34</v>
      </c>
      <c r="G707">
        <v>2</v>
      </c>
      <c r="H707">
        <v>7</v>
      </c>
      <c r="I707" t="str">
        <f t="shared" si="33"/>
        <v>-</v>
      </c>
      <c r="J707" s="3">
        <f t="shared" si="34"/>
        <v>0.45</v>
      </c>
      <c r="K707" s="2">
        <f t="shared" si="35"/>
        <v>36.153000000000006</v>
      </c>
    </row>
    <row r="708" spans="1:11" x14ac:dyDescent="0.3">
      <c r="A708" t="s">
        <v>1603</v>
      </c>
      <c r="B708" t="s">
        <v>706</v>
      </c>
      <c r="C708">
        <v>33</v>
      </c>
      <c r="D708" t="s">
        <v>896</v>
      </c>
      <c r="E708">
        <v>6.52</v>
      </c>
      <c r="F708" s="2">
        <v>88.88</v>
      </c>
      <c r="G708">
        <v>4</v>
      </c>
      <c r="H708">
        <v>3</v>
      </c>
      <c r="I708" t="str">
        <f t="shared" si="33"/>
        <v>-</v>
      </c>
      <c r="J708" s="3">
        <f t="shared" si="34"/>
        <v>0.45</v>
      </c>
      <c r="K708" s="2">
        <f t="shared" si="35"/>
        <v>39.996000000000002</v>
      </c>
    </row>
    <row r="709" spans="1:11" x14ac:dyDescent="0.3">
      <c r="A709" t="s">
        <v>1604</v>
      </c>
      <c r="B709" t="s">
        <v>700</v>
      </c>
      <c r="C709">
        <v>15</v>
      </c>
      <c r="D709" t="s">
        <v>899</v>
      </c>
      <c r="E709">
        <v>0.5</v>
      </c>
      <c r="F709" s="2">
        <v>30.5</v>
      </c>
      <c r="G709">
        <v>1</v>
      </c>
      <c r="H709">
        <v>1</v>
      </c>
      <c r="I709" t="str">
        <f t="shared" si="33"/>
        <v>B2B</v>
      </c>
      <c r="J709" s="3">
        <f t="shared" si="34"/>
        <v>0.1</v>
      </c>
      <c r="K709" s="2">
        <f t="shared" si="35"/>
        <v>3.0500000000000003</v>
      </c>
    </row>
    <row r="710" spans="1:11" x14ac:dyDescent="0.3">
      <c r="A710" t="s">
        <v>1605</v>
      </c>
      <c r="B710" t="s">
        <v>692</v>
      </c>
      <c r="C710">
        <v>5</v>
      </c>
      <c r="D710" t="s">
        <v>894</v>
      </c>
      <c r="E710">
        <v>1.18</v>
      </c>
      <c r="F710" s="2">
        <v>93.81</v>
      </c>
      <c r="G710">
        <v>3</v>
      </c>
      <c r="H710">
        <v>0</v>
      </c>
      <c r="I710" t="str">
        <f t="shared" si="33"/>
        <v>-</v>
      </c>
      <c r="J710" s="3">
        <f t="shared" si="34"/>
        <v>0.45</v>
      </c>
      <c r="K710" s="2">
        <f t="shared" si="35"/>
        <v>42.214500000000001</v>
      </c>
    </row>
    <row r="711" spans="1:11" x14ac:dyDescent="0.3">
      <c r="A711" t="s">
        <v>1606</v>
      </c>
      <c r="B711" t="s">
        <v>702</v>
      </c>
      <c r="C711">
        <v>109</v>
      </c>
      <c r="D711" t="s">
        <v>901</v>
      </c>
      <c r="E711">
        <v>1.73</v>
      </c>
      <c r="F711" s="2">
        <v>12.37</v>
      </c>
      <c r="G711">
        <v>5</v>
      </c>
      <c r="H711">
        <v>9</v>
      </c>
      <c r="I711" t="str">
        <f t="shared" si="33"/>
        <v>B2B</v>
      </c>
      <c r="J711" s="3">
        <f t="shared" si="34"/>
        <v>0.1</v>
      </c>
      <c r="K711" s="2">
        <f t="shared" si="35"/>
        <v>1.2370000000000001</v>
      </c>
    </row>
    <row r="712" spans="1:11" x14ac:dyDescent="0.3">
      <c r="A712" t="s">
        <v>1607</v>
      </c>
      <c r="B712" t="s">
        <v>698</v>
      </c>
      <c r="C712">
        <v>96</v>
      </c>
      <c r="D712" t="s">
        <v>896</v>
      </c>
      <c r="E712">
        <v>4.67</v>
      </c>
      <c r="F712" s="2">
        <v>80.36</v>
      </c>
      <c r="G712">
        <v>5</v>
      </c>
      <c r="H712">
        <v>8</v>
      </c>
      <c r="I712" t="str">
        <f t="shared" si="33"/>
        <v>-</v>
      </c>
      <c r="J712" s="3">
        <f t="shared" si="34"/>
        <v>0.45</v>
      </c>
      <c r="K712" s="2">
        <f t="shared" si="35"/>
        <v>36.161999999999999</v>
      </c>
    </row>
    <row r="713" spans="1:11" x14ac:dyDescent="0.3">
      <c r="A713" t="s">
        <v>1608</v>
      </c>
      <c r="B713" t="s">
        <v>681</v>
      </c>
      <c r="C713">
        <v>10</v>
      </c>
      <c r="D713" t="s">
        <v>901</v>
      </c>
      <c r="E713">
        <v>6.97</v>
      </c>
      <c r="F713" s="2">
        <v>27.66</v>
      </c>
      <c r="G713">
        <v>2</v>
      </c>
      <c r="H713">
        <v>1</v>
      </c>
      <c r="I713" t="str">
        <f t="shared" si="33"/>
        <v>B2B</v>
      </c>
      <c r="J713" s="3">
        <f t="shared" si="34"/>
        <v>0.45</v>
      </c>
      <c r="K713" s="2">
        <f t="shared" si="35"/>
        <v>12.447000000000001</v>
      </c>
    </row>
    <row r="714" spans="1:11" x14ac:dyDescent="0.3">
      <c r="A714" t="s">
        <v>1609</v>
      </c>
      <c r="B714" t="s">
        <v>684</v>
      </c>
      <c r="C714">
        <v>57</v>
      </c>
      <c r="D714" t="s">
        <v>901</v>
      </c>
      <c r="E714">
        <v>6.25</v>
      </c>
      <c r="F714" s="2">
        <v>64.73</v>
      </c>
      <c r="G714">
        <v>1</v>
      </c>
      <c r="H714">
        <v>5</v>
      </c>
      <c r="I714" t="str">
        <f t="shared" si="33"/>
        <v>B2B</v>
      </c>
      <c r="J714" s="3">
        <f t="shared" si="34"/>
        <v>0.45</v>
      </c>
      <c r="K714" s="2">
        <f t="shared" si="35"/>
        <v>29.128500000000003</v>
      </c>
    </row>
    <row r="715" spans="1:11" x14ac:dyDescent="0.3">
      <c r="A715" t="s">
        <v>1610</v>
      </c>
      <c r="B715" t="s">
        <v>713</v>
      </c>
      <c r="C715">
        <v>98</v>
      </c>
      <c r="D715" t="s">
        <v>896</v>
      </c>
      <c r="E715">
        <v>2.8</v>
      </c>
      <c r="F715" s="2">
        <v>44.14</v>
      </c>
      <c r="G715">
        <v>3</v>
      </c>
      <c r="H715">
        <v>8</v>
      </c>
      <c r="I715" t="str">
        <f t="shared" si="33"/>
        <v>B2B</v>
      </c>
      <c r="J715" s="3">
        <f t="shared" si="34"/>
        <v>0.1</v>
      </c>
      <c r="K715" s="2">
        <f t="shared" si="35"/>
        <v>4.4140000000000006</v>
      </c>
    </row>
    <row r="716" spans="1:11" x14ac:dyDescent="0.3">
      <c r="A716" t="s">
        <v>1611</v>
      </c>
      <c r="B716" t="s">
        <v>692</v>
      </c>
      <c r="C716">
        <v>48</v>
      </c>
      <c r="D716" t="s">
        <v>894</v>
      </c>
      <c r="E716">
        <v>7.88</v>
      </c>
      <c r="F716" s="2">
        <v>71.52</v>
      </c>
      <c r="G716">
        <v>5</v>
      </c>
      <c r="H716">
        <v>4</v>
      </c>
      <c r="I716" t="str">
        <f t="shared" si="33"/>
        <v>B2B</v>
      </c>
      <c r="J716" s="3">
        <f t="shared" si="34"/>
        <v>0.45</v>
      </c>
      <c r="K716" s="2">
        <f t="shared" si="35"/>
        <v>32.183999999999997</v>
      </c>
    </row>
    <row r="717" spans="1:11" x14ac:dyDescent="0.3">
      <c r="A717" t="s">
        <v>1612</v>
      </c>
      <c r="B717" t="s">
        <v>684</v>
      </c>
      <c r="C717">
        <v>78</v>
      </c>
      <c r="D717" t="s">
        <v>894</v>
      </c>
      <c r="E717">
        <v>6.45</v>
      </c>
      <c r="F717" s="2">
        <v>11.63</v>
      </c>
      <c r="G717">
        <v>2</v>
      </c>
      <c r="H717">
        <v>6</v>
      </c>
      <c r="I717" t="str">
        <f t="shared" si="33"/>
        <v>B2B</v>
      </c>
      <c r="J717" s="3">
        <f t="shared" si="34"/>
        <v>0.45</v>
      </c>
      <c r="K717" s="2">
        <f t="shared" si="35"/>
        <v>5.2335000000000003</v>
      </c>
    </row>
    <row r="718" spans="1:11" x14ac:dyDescent="0.3">
      <c r="A718" t="s">
        <v>1613</v>
      </c>
      <c r="B718" t="s">
        <v>701</v>
      </c>
      <c r="C718">
        <v>81</v>
      </c>
      <c r="D718" t="s">
        <v>901</v>
      </c>
      <c r="E718">
        <v>5.65</v>
      </c>
      <c r="F718" s="2">
        <v>53.4</v>
      </c>
      <c r="G718">
        <v>2</v>
      </c>
      <c r="H718">
        <v>7</v>
      </c>
      <c r="I718" t="str">
        <f t="shared" si="33"/>
        <v>B2B</v>
      </c>
      <c r="J718" s="3">
        <f t="shared" si="34"/>
        <v>0.45</v>
      </c>
      <c r="K718" s="2">
        <f t="shared" si="35"/>
        <v>24.03</v>
      </c>
    </row>
    <row r="719" spans="1:11" x14ac:dyDescent="0.3">
      <c r="A719" t="s">
        <v>1614</v>
      </c>
      <c r="B719" t="s">
        <v>715</v>
      </c>
      <c r="C719">
        <v>108</v>
      </c>
      <c r="D719" t="s">
        <v>899</v>
      </c>
      <c r="E719">
        <v>7.78</v>
      </c>
      <c r="F719" s="2">
        <v>44.84</v>
      </c>
      <c r="G719">
        <v>4</v>
      </c>
      <c r="H719">
        <v>9</v>
      </c>
      <c r="I719" t="str">
        <f t="shared" si="33"/>
        <v>B2B</v>
      </c>
      <c r="J719" s="3">
        <f t="shared" si="34"/>
        <v>0.45</v>
      </c>
      <c r="K719" s="2">
        <f t="shared" si="35"/>
        <v>20.178000000000001</v>
      </c>
    </row>
    <row r="720" spans="1:11" x14ac:dyDescent="0.3">
      <c r="A720" t="s">
        <v>1615</v>
      </c>
      <c r="B720" t="s">
        <v>681</v>
      </c>
      <c r="C720">
        <v>4</v>
      </c>
      <c r="D720" t="s">
        <v>896</v>
      </c>
      <c r="E720">
        <v>7.48</v>
      </c>
      <c r="F720" s="2">
        <v>43.95</v>
      </c>
      <c r="G720">
        <v>2</v>
      </c>
      <c r="H720">
        <v>0</v>
      </c>
      <c r="I720" t="str">
        <f t="shared" si="33"/>
        <v>B2B</v>
      </c>
      <c r="J720" s="3">
        <f t="shared" si="34"/>
        <v>0.45</v>
      </c>
      <c r="K720" s="2">
        <f t="shared" si="35"/>
        <v>19.777500000000003</v>
      </c>
    </row>
    <row r="721" spans="1:11" x14ac:dyDescent="0.3">
      <c r="A721" t="s">
        <v>1616</v>
      </c>
      <c r="B721" t="s">
        <v>687</v>
      </c>
      <c r="C721">
        <v>119</v>
      </c>
      <c r="D721" t="s">
        <v>896</v>
      </c>
      <c r="E721">
        <v>0.52</v>
      </c>
      <c r="F721" s="2">
        <v>21.27</v>
      </c>
      <c r="G721">
        <v>5</v>
      </c>
      <c r="H721">
        <v>10</v>
      </c>
      <c r="I721" t="str">
        <f t="shared" si="33"/>
        <v>B2B</v>
      </c>
      <c r="J721" s="3">
        <f t="shared" si="34"/>
        <v>0.1</v>
      </c>
      <c r="K721" s="2">
        <f t="shared" si="35"/>
        <v>2.1270000000000002</v>
      </c>
    </row>
    <row r="722" spans="1:11" x14ac:dyDescent="0.3">
      <c r="A722" t="s">
        <v>1617</v>
      </c>
      <c r="B722" t="s">
        <v>698</v>
      </c>
      <c r="C722">
        <v>23</v>
      </c>
      <c r="D722" t="s">
        <v>896</v>
      </c>
      <c r="E722">
        <v>2</v>
      </c>
      <c r="F722" s="2">
        <v>73.12</v>
      </c>
      <c r="G722">
        <v>1</v>
      </c>
      <c r="H722">
        <v>2</v>
      </c>
      <c r="I722" t="str">
        <f t="shared" si="33"/>
        <v>B2B</v>
      </c>
      <c r="J722" s="3">
        <f t="shared" si="34"/>
        <v>0.1</v>
      </c>
      <c r="K722" s="2">
        <f t="shared" si="35"/>
        <v>7.3120000000000012</v>
      </c>
    </row>
    <row r="723" spans="1:11" x14ac:dyDescent="0.3">
      <c r="A723" t="s">
        <v>1618</v>
      </c>
      <c r="B723" t="s">
        <v>698</v>
      </c>
      <c r="C723">
        <v>42</v>
      </c>
      <c r="D723" t="s">
        <v>899</v>
      </c>
      <c r="E723">
        <v>4.2</v>
      </c>
      <c r="F723" s="2">
        <v>59.46</v>
      </c>
      <c r="G723">
        <v>4</v>
      </c>
      <c r="H723">
        <v>4</v>
      </c>
      <c r="I723" t="str">
        <f t="shared" si="33"/>
        <v>B2B</v>
      </c>
      <c r="J723" s="3">
        <f t="shared" si="34"/>
        <v>0.45</v>
      </c>
      <c r="K723" s="2">
        <f t="shared" si="35"/>
        <v>26.757000000000001</v>
      </c>
    </row>
    <row r="724" spans="1:11" x14ac:dyDescent="0.3">
      <c r="A724" t="s">
        <v>1619</v>
      </c>
      <c r="B724" t="s">
        <v>699</v>
      </c>
      <c r="C724">
        <v>14</v>
      </c>
      <c r="D724" t="s">
        <v>899</v>
      </c>
      <c r="E724">
        <v>0.62</v>
      </c>
      <c r="F724" s="2">
        <v>20.399999999999999</v>
      </c>
      <c r="G724">
        <v>2</v>
      </c>
      <c r="H724">
        <v>1</v>
      </c>
      <c r="I724" t="str">
        <f t="shared" si="33"/>
        <v>B2B</v>
      </c>
      <c r="J724" s="3">
        <f t="shared" si="34"/>
        <v>0.1</v>
      </c>
      <c r="K724" s="2">
        <f t="shared" si="35"/>
        <v>2.04</v>
      </c>
    </row>
    <row r="725" spans="1:11" x14ac:dyDescent="0.3">
      <c r="A725" t="s">
        <v>1620</v>
      </c>
      <c r="B725" t="s">
        <v>698</v>
      </c>
      <c r="C725">
        <v>90</v>
      </c>
      <c r="D725" t="s">
        <v>901</v>
      </c>
      <c r="E725">
        <v>6.87</v>
      </c>
      <c r="F725" s="2">
        <v>20.62</v>
      </c>
      <c r="G725">
        <v>2</v>
      </c>
      <c r="H725">
        <v>8</v>
      </c>
      <c r="I725" t="str">
        <f t="shared" si="33"/>
        <v>B2B</v>
      </c>
      <c r="J725" s="3">
        <f t="shared" si="34"/>
        <v>0.45</v>
      </c>
      <c r="K725" s="2">
        <f t="shared" si="35"/>
        <v>9.2789999999999999</v>
      </c>
    </row>
    <row r="726" spans="1:11" x14ac:dyDescent="0.3">
      <c r="A726" t="s">
        <v>1621</v>
      </c>
      <c r="B726" t="s">
        <v>700</v>
      </c>
      <c r="C726">
        <v>58</v>
      </c>
      <c r="D726" t="s">
        <v>894</v>
      </c>
      <c r="E726">
        <v>8.08</v>
      </c>
      <c r="F726" s="2">
        <v>65.41</v>
      </c>
      <c r="G726">
        <v>5</v>
      </c>
      <c r="H726">
        <v>5</v>
      </c>
      <c r="I726" t="str">
        <f t="shared" si="33"/>
        <v>B2B</v>
      </c>
      <c r="J726" s="3">
        <f t="shared" si="34"/>
        <v>0.45</v>
      </c>
      <c r="K726" s="2">
        <f t="shared" si="35"/>
        <v>29.4345</v>
      </c>
    </row>
    <row r="727" spans="1:11" x14ac:dyDescent="0.3">
      <c r="A727" t="s">
        <v>1622</v>
      </c>
      <c r="B727" t="s">
        <v>695</v>
      </c>
      <c r="C727">
        <v>49</v>
      </c>
      <c r="D727" t="s">
        <v>899</v>
      </c>
      <c r="E727">
        <v>4.8</v>
      </c>
      <c r="F727" s="2">
        <v>91.32</v>
      </c>
      <c r="G727">
        <v>4</v>
      </c>
      <c r="H727">
        <v>4</v>
      </c>
      <c r="I727" t="str">
        <f t="shared" si="33"/>
        <v>-</v>
      </c>
      <c r="J727" s="3">
        <f t="shared" si="34"/>
        <v>0.45</v>
      </c>
      <c r="K727" s="2">
        <f t="shared" si="35"/>
        <v>41.094000000000001</v>
      </c>
    </row>
    <row r="728" spans="1:11" x14ac:dyDescent="0.3">
      <c r="A728" t="s">
        <v>1623</v>
      </c>
      <c r="B728" t="s">
        <v>725</v>
      </c>
      <c r="C728">
        <v>18</v>
      </c>
      <c r="D728" t="s">
        <v>899</v>
      </c>
      <c r="E728">
        <v>7.72</v>
      </c>
      <c r="F728" s="2">
        <v>41.66</v>
      </c>
      <c r="G728">
        <v>4</v>
      </c>
      <c r="H728">
        <v>2</v>
      </c>
      <c r="I728" t="str">
        <f t="shared" si="33"/>
        <v>B2B</v>
      </c>
      <c r="J728" s="3">
        <f t="shared" si="34"/>
        <v>0.45</v>
      </c>
      <c r="K728" s="2">
        <f t="shared" si="35"/>
        <v>18.747</v>
      </c>
    </row>
    <row r="729" spans="1:11" x14ac:dyDescent="0.3">
      <c r="A729" t="s">
        <v>1624</v>
      </c>
      <c r="B729" t="s">
        <v>724</v>
      </c>
      <c r="C729">
        <v>82</v>
      </c>
      <c r="D729" t="s">
        <v>896</v>
      </c>
      <c r="E729">
        <v>5.2</v>
      </c>
      <c r="F729" s="2">
        <v>40.880000000000003</v>
      </c>
      <c r="G729">
        <v>0</v>
      </c>
      <c r="H729">
        <v>7</v>
      </c>
      <c r="I729" t="str">
        <f t="shared" si="33"/>
        <v>B2B</v>
      </c>
      <c r="J729" s="3">
        <f t="shared" si="34"/>
        <v>0.45</v>
      </c>
      <c r="K729" s="2">
        <f t="shared" si="35"/>
        <v>18.396000000000001</v>
      </c>
    </row>
    <row r="730" spans="1:11" x14ac:dyDescent="0.3">
      <c r="A730" t="s">
        <v>1625</v>
      </c>
      <c r="B730" t="s">
        <v>689</v>
      </c>
      <c r="C730">
        <v>74</v>
      </c>
      <c r="D730" t="s">
        <v>901</v>
      </c>
      <c r="E730">
        <v>5.98</v>
      </c>
      <c r="F730" s="2">
        <v>92.63</v>
      </c>
      <c r="G730">
        <v>0</v>
      </c>
      <c r="H730">
        <v>6</v>
      </c>
      <c r="I730" t="str">
        <f t="shared" si="33"/>
        <v>-</v>
      </c>
      <c r="J730" s="3">
        <f t="shared" si="34"/>
        <v>0.45</v>
      </c>
      <c r="K730" s="2">
        <f t="shared" si="35"/>
        <v>41.683500000000002</v>
      </c>
    </row>
    <row r="731" spans="1:11" x14ac:dyDescent="0.3">
      <c r="A731" t="s">
        <v>1626</v>
      </c>
      <c r="B731" t="s">
        <v>718</v>
      </c>
      <c r="C731">
        <v>72</v>
      </c>
      <c r="D731" t="s">
        <v>899</v>
      </c>
      <c r="E731">
        <v>7.12</v>
      </c>
      <c r="F731" s="2">
        <v>31.44</v>
      </c>
      <c r="G731">
        <v>2</v>
      </c>
      <c r="H731">
        <v>6</v>
      </c>
      <c r="I731" t="str">
        <f t="shared" si="33"/>
        <v>B2B</v>
      </c>
      <c r="J731" s="3">
        <f t="shared" si="34"/>
        <v>0.45</v>
      </c>
      <c r="K731" s="2">
        <f t="shared" si="35"/>
        <v>14.148000000000001</v>
      </c>
    </row>
    <row r="732" spans="1:11" x14ac:dyDescent="0.3">
      <c r="A732" t="s">
        <v>1627</v>
      </c>
      <c r="B732" t="s">
        <v>702</v>
      </c>
      <c r="C732">
        <v>26</v>
      </c>
      <c r="D732" t="s">
        <v>894</v>
      </c>
      <c r="E732">
        <v>6.52</v>
      </c>
      <c r="F732" s="2">
        <v>18.28</v>
      </c>
      <c r="G732">
        <v>3</v>
      </c>
      <c r="H732">
        <v>2</v>
      </c>
      <c r="I732" t="str">
        <f t="shared" si="33"/>
        <v>B2B</v>
      </c>
      <c r="J732" s="3">
        <f t="shared" si="34"/>
        <v>0.45</v>
      </c>
      <c r="K732" s="2">
        <f t="shared" si="35"/>
        <v>8.2260000000000009</v>
      </c>
    </row>
    <row r="733" spans="1:11" x14ac:dyDescent="0.3">
      <c r="A733" t="s">
        <v>1628</v>
      </c>
      <c r="B733" t="s">
        <v>705</v>
      </c>
      <c r="C733">
        <v>26</v>
      </c>
      <c r="D733" t="s">
        <v>899</v>
      </c>
      <c r="E733">
        <v>6.88</v>
      </c>
      <c r="F733" s="2">
        <v>10.9</v>
      </c>
      <c r="G733">
        <v>5</v>
      </c>
      <c r="H733">
        <v>2</v>
      </c>
      <c r="I733" t="str">
        <f t="shared" si="33"/>
        <v>B2B</v>
      </c>
      <c r="J733" s="3">
        <f t="shared" si="34"/>
        <v>0.45</v>
      </c>
      <c r="K733" s="2">
        <f t="shared" si="35"/>
        <v>4.9050000000000002</v>
      </c>
    </row>
    <row r="734" spans="1:11" x14ac:dyDescent="0.3">
      <c r="A734" t="s">
        <v>1629</v>
      </c>
      <c r="B734" t="s">
        <v>678</v>
      </c>
      <c r="C734">
        <v>33</v>
      </c>
      <c r="D734" t="s">
        <v>901</v>
      </c>
      <c r="E734">
        <v>0.3</v>
      </c>
      <c r="F734" s="2">
        <v>47.18</v>
      </c>
      <c r="G734">
        <v>4</v>
      </c>
      <c r="H734">
        <v>3</v>
      </c>
      <c r="I734" t="str">
        <f t="shared" si="33"/>
        <v>B2B</v>
      </c>
      <c r="J734" s="3">
        <f t="shared" si="34"/>
        <v>0.1</v>
      </c>
      <c r="K734" s="2">
        <f t="shared" si="35"/>
        <v>4.718</v>
      </c>
    </row>
    <row r="735" spans="1:11" x14ac:dyDescent="0.3">
      <c r="A735" t="s">
        <v>1630</v>
      </c>
      <c r="B735" t="s">
        <v>692</v>
      </c>
      <c r="C735">
        <v>63</v>
      </c>
      <c r="D735" t="s">
        <v>894</v>
      </c>
      <c r="E735">
        <v>2.95</v>
      </c>
      <c r="F735" s="2">
        <v>77.73</v>
      </c>
      <c r="G735">
        <v>3</v>
      </c>
      <c r="H735">
        <v>5</v>
      </c>
      <c r="I735" t="str">
        <f t="shared" si="33"/>
        <v>B2B</v>
      </c>
      <c r="J735" s="3">
        <f t="shared" si="34"/>
        <v>0.1</v>
      </c>
      <c r="K735" s="2">
        <f t="shared" si="35"/>
        <v>7.7730000000000006</v>
      </c>
    </row>
    <row r="736" spans="1:11" x14ac:dyDescent="0.3">
      <c r="A736" t="s">
        <v>1631</v>
      </c>
      <c r="B736" t="s">
        <v>678</v>
      </c>
      <c r="C736">
        <v>57</v>
      </c>
      <c r="D736" t="s">
        <v>894</v>
      </c>
      <c r="E736">
        <v>0.6</v>
      </c>
      <c r="F736" s="2">
        <v>82.7</v>
      </c>
      <c r="G736">
        <v>2</v>
      </c>
      <c r="H736">
        <v>5</v>
      </c>
      <c r="I736" t="str">
        <f t="shared" si="33"/>
        <v>-</v>
      </c>
      <c r="J736" s="3">
        <f t="shared" si="34"/>
        <v>0</v>
      </c>
      <c r="K736" s="2">
        <f t="shared" si="35"/>
        <v>0</v>
      </c>
    </row>
    <row r="737" spans="1:11" x14ac:dyDescent="0.3">
      <c r="A737" t="s">
        <v>1632</v>
      </c>
      <c r="B737" t="s">
        <v>706</v>
      </c>
      <c r="C737">
        <v>87</v>
      </c>
      <c r="D737" t="s">
        <v>896</v>
      </c>
      <c r="E737">
        <v>8.1</v>
      </c>
      <c r="F737" s="2">
        <v>58.26</v>
      </c>
      <c r="G737">
        <v>0</v>
      </c>
      <c r="H737">
        <v>7</v>
      </c>
      <c r="I737" t="str">
        <f t="shared" si="33"/>
        <v>B2B</v>
      </c>
      <c r="J737" s="3">
        <f t="shared" si="34"/>
        <v>0.45</v>
      </c>
      <c r="K737" s="2">
        <f t="shared" si="35"/>
        <v>26.216999999999999</v>
      </c>
    </row>
    <row r="738" spans="1:11" x14ac:dyDescent="0.3">
      <c r="A738" t="s">
        <v>1633</v>
      </c>
      <c r="B738" t="s">
        <v>692</v>
      </c>
      <c r="C738">
        <v>37</v>
      </c>
      <c r="D738" t="s">
        <v>894</v>
      </c>
      <c r="E738">
        <v>3.55</v>
      </c>
      <c r="F738" s="2">
        <v>14.12</v>
      </c>
      <c r="G738">
        <v>1</v>
      </c>
      <c r="H738">
        <v>3</v>
      </c>
      <c r="I738" t="str">
        <f t="shared" si="33"/>
        <v>B2B</v>
      </c>
      <c r="J738" s="3">
        <f t="shared" si="34"/>
        <v>0.45</v>
      </c>
      <c r="K738" s="2">
        <f t="shared" si="35"/>
        <v>6.3540000000000001</v>
      </c>
    </row>
    <row r="739" spans="1:11" x14ac:dyDescent="0.3">
      <c r="A739" t="s">
        <v>1634</v>
      </c>
      <c r="B739" t="s">
        <v>706</v>
      </c>
      <c r="C739">
        <v>29</v>
      </c>
      <c r="D739" t="s">
        <v>899</v>
      </c>
      <c r="E739">
        <v>5.0999999999999996</v>
      </c>
      <c r="F739" s="2">
        <v>82.16</v>
      </c>
      <c r="G739">
        <v>1</v>
      </c>
      <c r="H739">
        <v>2</v>
      </c>
      <c r="I739" t="str">
        <f t="shared" si="33"/>
        <v>-</v>
      </c>
      <c r="J739" s="3">
        <f t="shared" si="34"/>
        <v>0.45</v>
      </c>
      <c r="K739" s="2">
        <f t="shared" si="35"/>
        <v>36.972000000000001</v>
      </c>
    </row>
    <row r="740" spans="1:11" x14ac:dyDescent="0.3">
      <c r="A740" t="s">
        <v>1635</v>
      </c>
      <c r="B740" t="s">
        <v>687</v>
      </c>
      <c r="C740">
        <v>26</v>
      </c>
      <c r="D740" t="s">
        <v>901</v>
      </c>
      <c r="E740">
        <v>6.3</v>
      </c>
      <c r="F740" s="2">
        <v>88.59</v>
      </c>
      <c r="G740">
        <v>4</v>
      </c>
      <c r="H740">
        <v>2</v>
      </c>
      <c r="I740" t="str">
        <f t="shared" si="33"/>
        <v>-</v>
      </c>
      <c r="J740" s="3">
        <f t="shared" si="34"/>
        <v>0.45</v>
      </c>
      <c r="K740" s="2">
        <f t="shared" si="35"/>
        <v>39.865500000000004</v>
      </c>
    </row>
    <row r="741" spans="1:11" x14ac:dyDescent="0.3">
      <c r="A741" t="s">
        <v>1636</v>
      </c>
      <c r="B741" t="s">
        <v>713</v>
      </c>
      <c r="C741">
        <v>95</v>
      </c>
      <c r="D741" t="s">
        <v>894</v>
      </c>
      <c r="E741">
        <v>5.22</v>
      </c>
      <c r="F741" s="2">
        <v>32.49</v>
      </c>
      <c r="G741">
        <v>1</v>
      </c>
      <c r="H741">
        <v>8</v>
      </c>
      <c r="I741" t="str">
        <f t="shared" si="33"/>
        <v>B2B</v>
      </c>
      <c r="J741" s="3">
        <f t="shared" si="34"/>
        <v>0.45</v>
      </c>
      <c r="K741" s="2">
        <f t="shared" si="35"/>
        <v>14.620500000000002</v>
      </c>
    </row>
    <row r="742" spans="1:11" x14ac:dyDescent="0.3">
      <c r="A742" t="s">
        <v>1637</v>
      </c>
      <c r="B742" t="s">
        <v>705</v>
      </c>
      <c r="C742">
        <v>21</v>
      </c>
      <c r="D742" t="s">
        <v>899</v>
      </c>
      <c r="E742">
        <v>7.92</v>
      </c>
      <c r="F742" s="2">
        <v>15.12</v>
      </c>
      <c r="G742">
        <v>2</v>
      </c>
      <c r="H742">
        <v>2</v>
      </c>
      <c r="I742" t="str">
        <f t="shared" si="33"/>
        <v>B2B</v>
      </c>
      <c r="J742" s="3">
        <f t="shared" si="34"/>
        <v>0.45</v>
      </c>
      <c r="K742" s="2">
        <f t="shared" si="35"/>
        <v>6.8039999999999994</v>
      </c>
    </row>
    <row r="743" spans="1:11" x14ac:dyDescent="0.3">
      <c r="A743" t="s">
        <v>1638</v>
      </c>
      <c r="B743" t="s">
        <v>713</v>
      </c>
      <c r="C743">
        <v>56</v>
      </c>
      <c r="D743" t="s">
        <v>901</v>
      </c>
      <c r="E743">
        <v>0.68</v>
      </c>
      <c r="F743" s="2">
        <v>15.1</v>
      </c>
      <c r="G743">
        <v>5</v>
      </c>
      <c r="H743">
        <v>5</v>
      </c>
      <c r="I743" t="str">
        <f t="shared" si="33"/>
        <v>B2B</v>
      </c>
      <c r="J743" s="3">
        <f t="shared" si="34"/>
        <v>0.1</v>
      </c>
      <c r="K743" s="2">
        <f t="shared" si="35"/>
        <v>1.51</v>
      </c>
    </row>
    <row r="744" spans="1:11" x14ac:dyDescent="0.3">
      <c r="A744" t="s">
        <v>1639</v>
      </c>
      <c r="B744" t="s">
        <v>721</v>
      </c>
      <c r="C744">
        <v>105</v>
      </c>
      <c r="D744" t="s">
        <v>894</v>
      </c>
      <c r="E744">
        <v>7.57</v>
      </c>
      <c r="F744" s="2">
        <v>49.47</v>
      </c>
      <c r="G744">
        <v>4</v>
      </c>
      <c r="H744">
        <v>9</v>
      </c>
      <c r="I744" t="str">
        <f t="shared" si="33"/>
        <v>B2B</v>
      </c>
      <c r="J744" s="3">
        <f t="shared" si="34"/>
        <v>0.45</v>
      </c>
      <c r="K744" s="2">
        <f t="shared" si="35"/>
        <v>22.261500000000002</v>
      </c>
    </row>
    <row r="745" spans="1:11" x14ac:dyDescent="0.3">
      <c r="A745" t="s">
        <v>1640</v>
      </c>
      <c r="B745" t="s">
        <v>718</v>
      </c>
      <c r="C745">
        <v>68</v>
      </c>
      <c r="D745" t="s">
        <v>896</v>
      </c>
      <c r="E745">
        <v>4.7</v>
      </c>
      <c r="F745" s="2">
        <v>35.43</v>
      </c>
      <c r="G745">
        <v>1</v>
      </c>
      <c r="H745">
        <v>6</v>
      </c>
      <c r="I745" t="str">
        <f t="shared" si="33"/>
        <v>B2B</v>
      </c>
      <c r="J745" s="3">
        <f t="shared" si="34"/>
        <v>0.45</v>
      </c>
      <c r="K745" s="2">
        <f t="shared" si="35"/>
        <v>15.9435</v>
      </c>
    </row>
    <row r="746" spans="1:11" x14ac:dyDescent="0.3">
      <c r="A746" t="s">
        <v>1641</v>
      </c>
      <c r="B746" t="s">
        <v>721</v>
      </c>
      <c r="C746">
        <v>104</v>
      </c>
      <c r="D746" t="s">
        <v>899</v>
      </c>
      <c r="E746">
        <v>4.08</v>
      </c>
      <c r="F746" s="2">
        <v>38.270000000000003</v>
      </c>
      <c r="G746">
        <v>0</v>
      </c>
      <c r="H746">
        <v>9</v>
      </c>
      <c r="I746" t="str">
        <f t="shared" si="33"/>
        <v>B2B</v>
      </c>
      <c r="J746" s="3">
        <f t="shared" si="34"/>
        <v>0.45</v>
      </c>
      <c r="K746" s="2">
        <f t="shared" si="35"/>
        <v>17.221500000000002</v>
      </c>
    </row>
    <row r="747" spans="1:11" x14ac:dyDescent="0.3">
      <c r="A747" t="s">
        <v>1642</v>
      </c>
      <c r="B747" t="s">
        <v>705</v>
      </c>
      <c r="C747">
        <v>102</v>
      </c>
      <c r="D747" t="s">
        <v>899</v>
      </c>
      <c r="E747">
        <v>8.07</v>
      </c>
      <c r="F747" s="2">
        <v>64.22</v>
      </c>
      <c r="G747">
        <v>2</v>
      </c>
      <c r="H747">
        <v>8</v>
      </c>
      <c r="I747" t="str">
        <f t="shared" si="33"/>
        <v>B2B</v>
      </c>
      <c r="J747" s="3">
        <f t="shared" si="34"/>
        <v>0.45</v>
      </c>
      <c r="K747" s="2">
        <f t="shared" si="35"/>
        <v>28.899000000000001</v>
      </c>
    </row>
    <row r="748" spans="1:11" x14ac:dyDescent="0.3">
      <c r="A748" t="s">
        <v>1643</v>
      </c>
      <c r="B748" t="s">
        <v>678</v>
      </c>
      <c r="C748">
        <v>25</v>
      </c>
      <c r="D748" t="s">
        <v>896</v>
      </c>
      <c r="E748">
        <v>1.1000000000000001</v>
      </c>
      <c r="F748" s="2">
        <v>90.14</v>
      </c>
      <c r="G748">
        <v>5</v>
      </c>
      <c r="H748">
        <v>2</v>
      </c>
      <c r="I748" t="str">
        <f t="shared" si="33"/>
        <v>-</v>
      </c>
      <c r="J748" s="3">
        <f t="shared" si="34"/>
        <v>0</v>
      </c>
      <c r="K748" s="2">
        <f t="shared" si="35"/>
        <v>0</v>
      </c>
    </row>
    <row r="749" spans="1:11" x14ac:dyDescent="0.3">
      <c r="A749" t="s">
        <v>1644</v>
      </c>
      <c r="B749" t="s">
        <v>702</v>
      </c>
      <c r="C749">
        <v>12</v>
      </c>
      <c r="D749" t="s">
        <v>894</v>
      </c>
      <c r="E749">
        <v>2.2999999999999998</v>
      </c>
      <c r="F749" s="2">
        <v>99.83</v>
      </c>
      <c r="G749">
        <v>1</v>
      </c>
      <c r="H749">
        <v>1</v>
      </c>
      <c r="I749" t="str">
        <f t="shared" si="33"/>
        <v>-</v>
      </c>
      <c r="J749" s="3">
        <f t="shared" si="34"/>
        <v>0.45</v>
      </c>
      <c r="K749" s="2">
        <f t="shared" si="35"/>
        <v>44.923499999999997</v>
      </c>
    </row>
    <row r="750" spans="1:11" x14ac:dyDescent="0.3">
      <c r="A750" t="s">
        <v>1645</v>
      </c>
      <c r="B750" t="s">
        <v>718</v>
      </c>
      <c r="C750">
        <v>75</v>
      </c>
      <c r="D750" t="s">
        <v>899</v>
      </c>
      <c r="E750">
        <v>6.17</v>
      </c>
      <c r="F750" s="2">
        <v>21.67</v>
      </c>
      <c r="G750">
        <v>0</v>
      </c>
      <c r="H750">
        <v>6</v>
      </c>
      <c r="I750" t="str">
        <f t="shared" si="33"/>
        <v>B2B</v>
      </c>
      <c r="J750" s="3">
        <f t="shared" si="34"/>
        <v>0.45</v>
      </c>
      <c r="K750" s="2">
        <f t="shared" si="35"/>
        <v>9.7515000000000018</v>
      </c>
    </row>
    <row r="751" spans="1:11" x14ac:dyDescent="0.3">
      <c r="A751" t="s">
        <v>1646</v>
      </c>
      <c r="B751" t="s">
        <v>695</v>
      </c>
      <c r="C751">
        <v>4</v>
      </c>
      <c r="D751" t="s">
        <v>899</v>
      </c>
      <c r="E751">
        <v>0.35</v>
      </c>
      <c r="F751" s="2">
        <v>45.8</v>
      </c>
      <c r="G751">
        <v>1</v>
      </c>
      <c r="H751">
        <v>0</v>
      </c>
      <c r="I751" t="str">
        <f t="shared" si="33"/>
        <v>B2B</v>
      </c>
      <c r="J751" s="3">
        <f t="shared" si="34"/>
        <v>0.1</v>
      </c>
      <c r="K751" s="2">
        <f t="shared" si="35"/>
        <v>4.58</v>
      </c>
    </row>
  </sheetData>
  <phoneticPr fontId="3" type="noConversion"/>
  <conditionalFormatting sqref="A1:K751">
    <cfRule type="colorScale" priority="9">
      <colorScale>
        <cfvo type="min"/>
        <cfvo type="max"/>
        <color rgb="FF63BE7B"/>
        <color rgb="FFFFEF9C"/>
      </colorScale>
    </cfRule>
  </conditionalFormatting>
  <conditionalFormatting sqref="A2:K7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67FA-3939-4F10-8323-AAC77589AE18}">
  <dimension ref="A3:K33"/>
  <sheetViews>
    <sheetView showGridLines="0" tabSelected="1" topLeftCell="F2" zoomScale="63" zoomScaleNormal="63" workbookViewId="0">
      <selection activeCell="D13" sqref="D13"/>
    </sheetView>
  </sheetViews>
  <sheetFormatPr baseColWidth="10" defaultRowHeight="14.4" x14ac:dyDescent="0.3"/>
  <cols>
    <col min="1" max="1" width="28.109375" bestFit="1" customWidth="1"/>
    <col min="2" max="2" width="35.6640625" bestFit="1" customWidth="1"/>
    <col min="3" max="3" width="38.21875" bestFit="1" customWidth="1"/>
    <col min="4" max="4" width="35.6640625" bestFit="1" customWidth="1"/>
    <col min="5" max="5" width="38.21875" bestFit="1" customWidth="1"/>
    <col min="6" max="6" width="35.6640625" bestFit="1" customWidth="1"/>
    <col min="7" max="7" width="38.21875" bestFit="1" customWidth="1"/>
    <col min="8" max="8" width="35.6640625" bestFit="1" customWidth="1"/>
    <col min="9" max="9" width="38.21875" bestFit="1" customWidth="1"/>
    <col min="10" max="10" width="42.33203125" bestFit="1" customWidth="1"/>
    <col min="11" max="11" width="44.88671875" bestFit="1" customWidth="1"/>
  </cols>
  <sheetData>
    <row r="3" spans="1:11" ht="15.6" x14ac:dyDescent="0.3">
      <c r="A3" s="12"/>
      <c r="B3" s="12" t="s">
        <v>1658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ht="15.6" x14ac:dyDescent="0.3">
      <c r="A4" s="12"/>
      <c r="B4" s="12" t="s">
        <v>885</v>
      </c>
      <c r="C4" s="12"/>
      <c r="D4" s="12" t="s">
        <v>682</v>
      </c>
      <c r="E4" s="12"/>
      <c r="F4" s="12" t="s">
        <v>679</v>
      </c>
      <c r="G4" s="12"/>
      <c r="H4" s="12" t="s">
        <v>675</v>
      </c>
      <c r="I4" s="12"/>
      <c r="J4" s="12" t="s">
        <v>1659</v>
      </c>
      <c r="K4" s="12" t="s">
        <v>1661</v>
      </c>
    </row>
    <row r="5" spans="1:11" ht="15.6" x14ac:dyDescent="0.3">
      <c r="A5" s="12" t="s">
        <v>884</v>
      </c>
      <c r="B5" s="12" t="s">
        <v>1660</v>
      </c>
      <c r="C5" s="12" t="s">
        <v>1662</v>
      </c>
      <c r="D5" s="12" t="s">
        <v>1660</v>
      </c>
      <c r="E5" s="12" t="s">
        <v>1662</v>
      </c>
      <c r="F5" s="12" t="s">
        <v>1660</v>
      </c>
      <c r="G5" s="12" t="s">
        <v>1662</v>
      </c>
      <c r="H5" s="12" t="s">
        <v>1660</v>
      </c>
      <c r="I5" s="12" t="s">
        <v>1662</v>
      </c>
      <c r="J5" s="12"/>
      <c r="K5" s="12"/>
    </row>
    <row r="6" spans="1:11" ht="15.6" x14ac:dyDescent="0.3">
      <c r="A6" s="10" t="s">
        <v>885</v>
      </c>
      <c r="B6" s="11">
        <v>33683</v>
      </c>
      <c r="C6" s="11">
        <v>45215.564710670027</v>
      </c>
      <c r="D6" s="11"/>
      <c r="E6" s="11"/>
      <c r="F6" s="11"/>
      <c r="G6" s="11"/>
      <c r="H6" s="11"/>
      <c r="I6" s="11"/>
      <c r="J6" s="11">
        <v>33683</v>
      </c>
      <c r="K6" s="11">
        <v>45215.564710670027</v>
      </c>
    </row>
    <row r="7" spans="1:11" ht="15.6" x14ac:dyDescent="0.3">
      <c r="A7" s="10" t="s">
        <v>706</v>
      </c>
      <c r="B7" s="11"/>
      <c r="C7" s="11"/>
      <c r="D7" s="11">
        <v>610</v>
      </c>
      <c r="E7" s="11">
        <v>45209.937373737375</v>
      </c>
      <c r="F7" s="11">
        <v>373</v>
      </c>
      <c r="G7" s="11">
        <v>45212.096666666665</v>
      </c>
      <c r="H7" s="11">
        <v>514</v>
      </c>
      <c r="I7" s="11">
        <v>45221.880468749994</v>
      </c>
      <c r="J7" s="11">
        <v>1497</v>
      </c>
      <c r="K7" s="11">
        <v>45214.368258101858</v>
      </c>
    </row>
    <row r="8" spans="1:11" ht="15.6" x14ac:dyDescent="0.3">
      <c r="A8" s="10" t="s">
        <v>703</v>
      </c>
      <c r="B8" s="11"/>
      <c r="C8" s="11"/>
      <c r="D8" s="11">
        <v>295</v>
      </c>
      <c r="E8" s="11">
        <v>45217.661666666667</v>
      </c>
      <c r="F8" s="11">
        <v>118</v>
      </c>
      <c r="G8" s="11">
        <v>45212.4375</v>
      </c>
      <c r="H8" s="11">
        <v>774</v>
      </c>
      <c r="I8" s="11">
        <v>45216.625694444454</v>
      </c>
      <c r="J8" s="11">
        <v>1187</v>
      </c>
      <c r="K8" s="11">
        <v>45216.448109567893</v>
      </c>
    </row>
    <row r="9" spans="1:11" ht="15.6" x14ac:dyDescent="0.3">
      <c r="A9" s="10" t="s">
        <v>721</v>
      </c>
      <c r="B9" s="11"/>
      <c r="C9" s="11"/>
      <c r="D9" s="11">
        <v>580</v>
      </c>
      <c r="E9" s="11">
        <v>45213.776736111104</v>
      </c>
      <c r="F9" s="11">
        <v>696</v>
      </c>
      <c r="G9" s="11">
        <v>45214.522569444445</v>
      </c>
      <c r="H9" s="11">
        <v>775</v>
      </c>
      <c r="I9" s="11">
        <v>45211.161419753087</v>
      </c>
      <c r="J9" s="11">
        <v>2051</v>
      </c>
      <c r="K9" s="11">
        <v>45213.181198559665</v>
      </c>
    </row>
    <row r="10" spans="1:11" ht="15.6" x14ac:dyDescent="0.3">
      <c r="A10" s="10" t="s">
        <v>718</v>
      </c>
      <c r="B10" s="11"/>
      <c r="C10" s="11"/>
      <c r="D10" s="11">
        <v>258</v>
      </c>
      <c r="E10" s="11">
        <v>45220.098437500004</v>
      </c>
      <c r="F10" s="11">
        <v>962</v>
      </c>
      <c r="G10" s="11">
        <v>45213.474218749994</v>
      </c>
      <c r="H10" s="11">
        <v>87</v>
      </c>
      <c r="I10" s="11">
        <v>45225.888194444444</v>
      </c>
      <c r="J10" s="11">
        <v>1307</v>
      </c>
      <c r="K10" s="11">
        <v>45215.327116402106</v>
      </c>
    </row>
    <row r="11" spans="1:11" ht="15.6" x14ac:dyDescent="0.3">
      <c r="A11" s="10" t="s">
        <v>674</v>
      </c>
      <c r="B11" s="11"/>
      <c r="C11" s="11"/>
      <c r="D11" s="11">
        <v>330</v>
      </c>
      <c r="E11" s="11">
        <v>45217.425347222219</v>
      </c>
      <c r="F11" s="11">
        <v>505</v>
      </c>
      <c r="G11" s="11">
        <v>45219.239843749994</v>
      </c>
      <c r="H11" s="11">
        <v>735</v>
      </c>
      <c r="I11" s="11">
        <v>45210.903780864202</v>
      </c>
      <c r="J11" s="11">
        <v>1570</v>
      </c>
      <c r="K11" s="11">
        <v>45215.504559178742</v>
      </c>
    </row>
    <row r="12" spans="1:11" ht="15.6" x14ac:dyDescent="0.3">
      <c r="A12" s="10" t="s">
        <v>710</v>
      </c>
      <c r="B12" s="11"/>
      <c r="C12" s="11"/>
      <c r="D12" s="11">
        <v>500</v>
      </c>
      <c r="E12" s="11">
        <v>45218.208055555551</v>
      </c>
      <c r="F12" s="11">
        <v>204</v>
      </c>
      <c r="G12" s="11">
        <v>45205.465509259258</v>
      </c>
      <c r="H12" s="11">
        <v>426</v>
      </c>
      <c r="I12" s="11">
        <v>45217.171329365076</v>
      </c>
      <c r="J12" s="11">
        <v>1130</v>
      </c>
      <c r="K12" s="11">
        <v>45215.175740740742</v>
      </c>
    </row>
    <row r="13" spans="1:11" ht="15.6" x14ac:dyDescent="0.3">
      <c r="A13" s="10" t="s">
        <v>702</v>
      </c>
      <c r="B13" s="11"/>
      <c r="C13" s="11"/>
      <c r="D13" s="11">
        <v>116</v>
      </c>
      <c r="E13" s="11">
        <v>45212.392824074079</v>
      </c>
      <c r="F13" s="11">
        <v>308</v>
      </c>
      <c r="G13" s="11">
        <v>45214.167499999996</v>
      </c>
      <c r="H13" s="11">
        <v>590</v>
      </c>
      <c r="I13" s="11">
        <v>45214.344270833331</v>
      </c>
      <c r="J13" s="11">
        <v>1014</v>
      </c>
      <c r="K13" s="11">
        <v>45213.923133680561</v>
      </c>
    </row>
    <row r="14" spans="1:11" ht="15.6" x14ac:dyDescent="0.3">
      <c r="A14" s="10" t="s">
        <v>693</v>
      </c>
      <c r="B14" s="11"/>
      <c r="C14" s="11"/>
      <c r="D14" s="11">
        <v>440</v>
      </c>
      <c r="E14" s="11">
        <v>45210.994047619046</v>
      </c>
      <c r="F14" s="11">
        <v>488</v>
      </c>
      <c r="G14" s="11">
        <v>45213.242438271613</v>
      </c>
      <c r="H14" s="11">
        <v>235</v>
      </c>
      <c r="I14" s="11">
        <v>45214.304861111115</v>
      </c>
      <c r="J14" s="11">
        <v>1163</v>
      </c>
      <c r="K14" s="11">
        <v>45212.667986111112</v>
      </c>
    </row>
    <row r="15" spans="1:11" ht="15.6" x14ac:dyDescent="0.3">
      <c r="A15" s="10" t="s">
        <v>705</v>
      </c>
      <c r="B15" s="11"/>
      <c r="C15" s="11"/>
      <c r="D15" s="11">
        <v>152</v>
      </c>
      <c r="E15" s="11">
        <v>45214.569675925923</v>
      </c>
      <c r="F15" s="11">
        <v>119</v>
      </c>
      <c r="G15" s="11">
        <v>45216.797569444447</v>
      </c>
      <c r="H15" s="11">
        <v>298</v>
      </c>
      <c r="I15" s="11">
        <v>45216.598032407404</v>
      </c>
      <c r="J15" s="11">
        <v>569</v>
      </c>
      <c r="K15" s="11">
        <v>45216.081123737378</v>
      </c>
    </row>
    <row r="16" spans="1:11" ht="15.6" x14ac:dyDescent="0.3">
      <c r="A16" s="10" t="s">
        <v>689</v>
      </c>
      <c r="B16" s="11"/>
      <c r="C16" s="11"/>
      <c r="D16" s="11">
        <v>676</v>
      </c>
      <c r="E16" s="11">
        <v>45216.482793209871</v>
      </c>
      <c r="F16" s="11">
        <v>174</v>
      </c>
      <c r="G16" s="11">
        <v>45212.912962962961</v>
      </c>
      <c r="H16" s="11">
        <v>455</v>
      </c>
      <c r="I16" s="11">
        <v>45220.580324074072</v>
      </c>
      <c r="J16" s="11">
        <v>1305</v>
      </c>
      <c r="K16" s="11">
        <v>45217.728902116396</v>
      </c>
    </row>
    <row r="17" spans="1:11" ht="15.6" x14ac:dyDescent="0.3">
      <c r="A17" s="10" t="s">
        <v>724</v>
      </c>
      <c r="B17" s="11"/>
      <c r="C17" s="11"/>
      <c r="D17" s="11">
        <v>331</v>
      </c>
      <c r="E17" s="11">
        <v>45210.307291666664</v>
      </c>
      <c r="F17" s="11">
        <v>457</v>
      </c>
      <c r="G17" s="11">
        <v>45210.023842592585</v>
      </c>
      <c r="H17" s="11">
        <v>1310</v>
      </c>
      <c r="I17" s="11">
        <v>45216.350130208339</v>
      </c>
      <c r="J17" s="11">
        <v>2098</v>
      </c>
      <c r="K17" s="11">
        <v>45213.553304597714</v>
      </c>
    </row>
    <row r="18" spans="1:11" ht="15.6" x14ac:dyDescent="0.3">
      <c r="A18" s="10" t="s">
        <v>725</v>
      </c>
      <c r="B18" s="11"/>
      <c r="C18" s="11"/>
      <c r="D18" s="11">
        <v>139</v>
      </c>
      <c r="E18" s="11">
        <v>45220.387268518512</v>
      </c>
      <c r="F18" s="11">
        <v>453</v>
      </c>
      <c r="G18" s="11">
        <v>45219.843154761904</v>
      </c>
      <c r="H18" s="11">
        <v>360</v>
      </c>
      <c r="I18" s="11">
        <v>45212.58273809524</v>
      </c>
      <c r="J18" s="11">
        <v>952</v>
      </c>
      <c r="K18" s="11">
        <v>45216.949591503275</v>
      </c>
    </row>
    <row r="19" spans="1:11" ht="15.6" x14ac:dyDescent="0.3">
      <c r="A19" s="10" t="s">
        <v>678</v>
      </c>
      <c r="B19" s="11"/>
      <c r="C19" s="11"/>
      <c r="D19" s="11">
        <v>551</v>
      </c>
      <c r="E19" s="11">
        <v>45215.850848765433</v>
      </c>
      <c r="F19" s="11">
        <v>625</v>
      </c>
      <c r="G19" s="11">
        <v>45210.895202020205</v>
      </c>
      <c r="H19" s="11">
        <v>110</v>
      </c>
      <c r="I19" s="11">
        <v>45229.28402777778</v>
      </c>
      <c r="J19" s="11">
        <v>1286</v>
      </c>
      <c r="K19" s="11">
        <v>45214.594223484855</v>
      </c>
    </row>
    <row r="20" spans="1:11" ht="15.6" x14ac:dyDescent="0.3">
      <c r="A20" s="10" t="s">
        <v>701</v>
      </c>
      <c r="B20" s="11"/>
      <c r="C20" s="11"/>
      <c r="D20" s="11">
        <v>661</v>
      </c>
      <c r="E20" s="11">
        <v>45216.363811728392</v>
      </c>
      <c r="F20" s="11">
        <v>334</v>
      </c>
      <c r="G20" s="11">
        <v>45207.816388888888</v>
      </c>
      <c r="H20" s="11">
        <v>266</v>
      </c>
      <c r="I20" s="11">
        <v>45223.43854166667</v>
      </c>
      <c r="J20" s="11">
        <v>1261</v>
      </c>
      <c r="K20" s="11">
        <v>45215.561689814815</v>
      </c>
    </row>
    <row r="21" spans="1:11" ht="15.6" x14ac:dyDescent="0.3">
      <c r="A21" s="10" t="s">
        <v>713</v>
      </c>
      <c r="B21" s="11"/>
      <c r="C21" s="11"/>
      <c r="D21" s="11">
        <v>354</v>
      </c>
      <c r="E21" s="11">
        <v>45215.515972222216</v>
      </c>
      <c r="F21" s="11">
        <v>722</v>
      </c>
      <c r="G21" s="11">
        <v>45219.558207070702</v>
      </c>
      <c r="H21" s="11">
        <v>264</v>
      </c>
      <c r="I21" s="11">
        <v>45217.163888888885</v>
      </c>
      <c r="J21" s="11">
        <v>1340</v>
      </c>
      <c r="K21" s="11">
        <v>45217.735809178746</v>
      </c>
    </row>
    <row r="22" spans="1:11" ht="15.6" x14ac:dyDescent="0.3">
      <c r="A22" s="10" t="s">
        <v>715</v>
      </c>
      <c r="B22" s="11"/>
      <c r="C22" s="11"/>
      <c r="D22" s="11">
        <v>139</v>
      </c>
      <c r="E22" s="11">
        <v>45215.829166666663</v>
      </c>
      <c r="F22" s="11">
        <v>354</v>
      </c>
      <c r="G22" s="11">
        <v>45214.525434027782</v>
      </c>
      <c r="H22" s="11">
        <v>89</v>
      </c>
      <c r="I22" s="11">
        <v>45226.701041666667</v>
      </c>
      <c r="J22" s="11">
        <v>582</v>
      </c>
      <c r="K22" s="11">
        <v>45216.771990740737</v>
      </c>
    </row>
    <row r="23" spans="1:11" ht="15.6" x14ac:dyDescent="0.3">
      <c r="A23" s="10" t="s">
        <v>687</v>
      </c>
      <c r="B23" s="11"/>
      <c r="C23" s="11"/>
      <c r="D23" s="11"/>
      <c r="E23" s="11"/>
      <c r="F23" s="11">
        <v>740</v>
      </c>
      <c r="G23" s="11">
        <v>45212.828724747473</v>
      </c>
      <c r="H23" s="11">
        <v>355</v>
      </c>
      <c r="I23" s="11">
        <v>45213.263888888891</v>
      </c>
      <c r="J23" s="11">
        <v>1095</v>
      </c>
      <c r="K23" s="11">
        <v>45212.997955246916</v>
      </c>
    </row>
    <row r="24" spans="1:11" ht="15.6" x14ac:dyDescent="0.3">
      <c r="A24" s="10" t="s">
        <v>737</v>
      </c>
      <c r="B24" s="11"/>
      <c r="C24" s="11"/>
      <c r="D24" s="11">
        <v>170</v>
      </c>
      <c r="E24" s="11">
        <v>45215.752083333333</v>
      </c>
      <c r="F24" s="11">
        <v>313</v>
      </c>
      <c r="G24" s="11">
        <v>45213.36342592592</v>
      </c>
      <c r="H24" s="11">
        <v>591</v>
      </c>
      <c r="I24" s="11">
        <v>45219.441203703704</v>
      </c>
      <c r="J24" s="11">
        <v>1074</v>
      </c>
      <c r="K24" s="11">
        <v>45217.48782407408</v>
      </c>
    </row>
    <row r="25" spans="1:11" ht="15.6" x14ac:dyDescent="0.3">
      <c r="A25" s="10" t="s">
        <v>695</v>
      </c>
      <c r="B25" s="11"/>
      <c r="C25" s="11"/>
      <c r="D25" s="11">
        <v>887</v>
      </c>
      <c r="E25" s="11">
        <v>45212.459953703699</v>
      </c>
      <c r="F25" s="11">
        <v>564</v>
      </c>
      <c r="G25" s="11">
        <v>45214.164641203701</v>
      </c>
      <c r="H25" s="11">
        <v>984</v>
      </c>
      <c r="I25" s="11">
        <v>45211.787500000006</v>
      </c>
      <c r="J25" s="11">
        <v>2435</v>
      </c>
      <c r="K25" s="11">
        <v>45212.665056818187</v>
      </c>
    </row>
    <row r="26" spans="1:11" ht="15.6" x14ac:dyDescent="0.3">
      <c r="A26" s="10" t="s">
        <v>698</v>
      </c>
      <c r="B26" s="11"/>
      <c r="C26" s="11"/>
      <c r="D26" s="11">
        <v>275</v>
      </c>
      <c r="E26" s="11">
        <v>45211.77</v>
      </c>
      <c r="F26" s="11">
        <v>772</v>
      </c>
      <c r="G26" s="11">
        <v>45217.703182870369</v>
      </c>
      <c r="H26" s="11">
        <v>504</v>
      </c>
      <c r="I26" s="11">
        <v>45219.472453703696</v>
      </c>
      <c r="J26" s="11">
        <v>1551</v>
      </c>
      <c r="K26" s="11">
        <v>45217.174626068372</v>
      </c>
    </row>
    <row r="27" spans="1:11" ht="15.6" x14ac:dyDescent="0.3">
      <c r="A27" s="10" t="s">
        <v>736</v>
      </c>
      <c r="B27" s="11"/>
      <c r="C27" s="11"/>
      <c r="D27" s="11">
        <v>185</v>
      </c>
      <c r="E27" s="11">
        <v>45213.958101851858</v>
      </c>
      <c r="F27" s="11">
        <v>380</v>
      </c>
      <c r="G27" s="11">
        <v>45214.159259259264</v>
      </c>
      <c r="H27" s="11">
        <v>199</v>
      </c>
      <c r="I27" s="11">
        <v>45216.715798611112</v>
      </c>
      <c r="J27" s="11">
        <v>764</v>
      </c>
      <c r="K27" s="11">
        <v>45214.89946581197</v>
      </c>
    </row>
    <row r="28" spans="1:11" ht="15.6" x14ac:dyDescent="0.3">
      <c r="A28" s="10" t="s">
        <v>699</v>
      </c>
      <c r="B28" s="11"/>
      <c r="C28" s="11"/>
      <c r="D28" s="11">
        <v>1449</v>
      </c>
      <c r="E28" s="11">
        <v>45216.011507936513</v>
      </c>
      <c r="F28" s="11">
        <v>205</v>
      </c>
      <c r="G28" s="11">
        <v>45214.788194444438</v>
      </c>
      <c r="H28" s="11">
        <v>601</v>
      </c>
      <c r="I28" s="11">
        <v>45218.502199074072</v>
      </c>
      <c r="J28" s="11">
        <v>2255</v>
      </c>
      <c r="K28" s="11">
        <v>45216.335730286752</v>
      </c>
    </row>
    <row r="29" spans="1:11" ht="15.6" x14ac:dyDescent="0.3">
      <c r="A29" s="10" t="s">
        <v>700</v>
      </c>
      <c r="B29" s="11"/>
      <c r="C29" s="11"/>
      <c r="D29" s="11">
        <v>428</v>
      </c>
      <c r="E29" s="11">
        <v>45214.864149305555</v>
      </c>
      <c r="F29" s="11">
        <v>357</v>
      </c>
      <c r="G29" s="11">
        <v>45217.187326388892</v>
      </c>
      <c r="H29" s="11">
        <v>612</v>
      </c>
      <c r="I29" s="11">
        <v>45216.952604166661</v>
      </c>
      <c r="J29" s="11">
        <v>1397</v>
      </c>
      <c r="K29" s="11">
        <v>45216.164166666662</v>
      </c>
    </row>
    <row r="30" spans="1:11" ht="15.6" x14ac:dyDescent="0.3">
      <c r="A30" s="10" t="s">
        <v>681</v>
      </c>
      <c r="B30" s="11"/>
      <c r="C30" s="11"/>
      <c r="D30" s="11">
        <v>341</v>
      </c>
      <c r="E30" s="11">
        <v>45219.353888888887</v>
      </c>
      <c r="F30" s="11">
        <v>608</v>
      </c>
      <c r="G30" s="11">
        <v>45216.058410493824</v>
      </c>
      <c r="H30" s="11">
        <v>708</v>
      </c>
      <c r="I30" s="11">
        <v>45216.543055555558</v>
      </c>
      <c r="J30" s="11">
        <v>1657</v>
      </c>
      <c r="K30" s="11">
        <v>45216.93075</v>
      </c>
    </row>
    <row r="31" spans="1:11" ht="15.6" x14ac:dyDescent="0.3">
      <c r="A31" s="10" t="s">
        <v>684</v>
      </c>
      <c r="B31" s="11"/>
      <c r="C31" s="11"/>
      <c r="D31" s="11">
        <v>535</v>
      </c>
      <c r="E31" s="11">
        <v>45211.67569444445</v>
      </c>
      <c r="F31" s="11">
        <v>320</v>
      </c>
      <c r="G31" s="11">
        <v>45222.980555555558</v>
      </c>
      <c r="H31" s="11">
        <v>538</v>
      </c>
      <c r="I31" s="11">
        <v>45217.150954861107</v>
      </c>
      <c r="J31" s="11">
        <v>1393</v>
      </c>
      <c r="K31" s="11">
        <v>45216.95603070176</v>
      </c>
    </row>
    <row r="32" spans="1:11" ht="15.6" x14ac:dyDescent="0.3">
      <c r="A32" s="10" t="s">
        <v>692</v>
      </c>
      <c r="B32" s="11"/>
      <c r="C32" s="11"/>
      <c r="D32" s="11">
        <v>220</v>
      </c>
      <c r="E32" s="11">
        <v>45213.803194444437</v>
      </c>
      <c r="F32" s="11">
        <v>314</v>
      </c>
      <c r="G32" s="11">
        <v>45216.438611111109</v>
      </c>
      <c r="H32" s="11">
        <v>577</v>
      </c>
      <c r="I32" s="11">
        <v>45219.073194444434</v>
      </c>
      <c r="J32" s="11">
        <v>1111</v>
      </c>
      <c r="K32" s="11">
        <v>45217.097048611104</v>
      </c>
    </row>
    <row r="33" spans="1:11" ht="15.6" x14ac:dyDescent="0.3">
      <c r="A33" s="10" t="s">
        <v>886</v>
      </c>
      <c r="B33" s="11">
        <v>33683</v>
      </c>
      <c r="C33" s="11">
        <v>45215.564710670027</v>
      </c>
      <c r="D33" s="11">
        <v>10622</v>
      </c>
      <c r="E33" s="11">
        <v>45214.754453592803</v>
      </c>
      <c r="F33" s="11">
        <v>11465</v>
      </c>
      <c r="G33" s="11">
        <v>45214.682860360343</v>
      </c>
      <c r="H33" s="11">
        <v>12957</v>
      </c>
      <c r="I33" s="11">
        <v>45216.583237670056</v>
      </c>
      <c r="J33" s="11">
        <v>68727</v>
      </c>
      <c r="K33" s="11">
        <v>45215.472952130411</v>
      </c>
    </row>
  </sheetData>
  <conditionalFormatting sqref="A3:K4 A5:A33 G5:K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{6BC90ED3-9B34-4618-92DD-D26A61CADBAA}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{4EA47FCB-9370-4C63-9B03-3E82148805BF}</x14:id>
        </ext>
      </extLst>
    </cfRule>
  </conditionalFormatting>
  <conditionalFormatting sqref="A3:K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C90ED3-9B34-4618-92DD-D26A61CADB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A47FCB-9370-4C63-9B03-3E82148805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A3:K4 A5:A33 G5:K5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A819-4EB1-4E3B-BEDB-AD5386CA7CC3}">
  <dimension ref="A1:D661"/>
  <sheetViews>
    <sheetView workbookViewId="0">
      <selection activeCell="E1" sqref="E1"/>
    </sheetView>
  </sheetViews>
  <sheetFormatPr baseColWidth="10" defaultRowHeight="14.4" x14ac:dyDescent="0.3"/>
  <cols>
    <col min="1" max="1" width="9.109375" bestFit="1" customWidth="1"/>
    <col min="2" max="2" width="15.88671875" bestFit="1" customWidth="1"/>
    <col min="3" max="3" width="8.109375" bestFit="1" customWidth="1"/>
    <col min="4" max="4" width="16.21875" bestFit="1" customWidth="1"/>
  </cols>
  <sheetData>
    <row r="1" spans="1:4" x14ac:dyDescent="0.3">
      <c r="A1" t="s">
        <v>1</v>
      </c>
      <c r="B1" t="s">
        <v>1652</v>
      </c>
      <c r="C1" t="s">
        <v>1653</v>
      </c>
      <c r="D1" t="s">
        <v>1654</v>
      </c>
    </row>
    <row r="2" spans="1:4" x14ac:dyDescent="0.3">
      <c r="A2" t="s">
        <v>4</v>
      </c>
      <c r="B2">
        <v>2</v>
      </c>
      <c r="C2">
        <v>136</v>
      </c>
      <c r="D2" s="4">
        <v>45228.791666666664</v>
      </c>
    </row>
    <row r="3" spans="1:4" x14ac:dyDescent="0.3">
      <c r="A3" t="s">
        <v>6</v>
      </c>
      <c r="B3">
        <v>3</v>
      </c>
      <c r="C3">
        <v>161</v>
      </c>
      <c r="D3" s="4">
        <v>45226.003472222219</v>
      </c>
    </row>
    <row r="4" spans="1:4" x14ac:dyDescent="0.3">
      <c r="A4" t="s">
        <v>7</v>
      </c>
      <c r="B4">
        <v>2</v>
      </c>
      <c r="C4">
        <v>153</v>
      </c>
      <c r="D4" s="4">
        <v>45224.378472222219</v>
      </c>
    </row>
    <row r="5" spans="1:4" x14ac:dyDescent="0.3">
      <c r="A5" t="s">
        <v>9</v>
      </c>
      <c r="B5">
        <v>2</v>
      </c>
      <c r="C5">
        <v>129</v>
      </c>
      <c r="D5" s="4">
        <v>45221.997916666667</v>
      </c>
    </row>
    <row r="6" spans="1:4" x14ac:dyDescent="0.3">
      <c r="A6" t="s">
        <v>11</v>
      </c>
      <c r="B6">
        <v>3</v>
      </c>
      <c r="C6">
        <v>161</v>
      </c>
      <c r="D6" s="4">
        <v>45222.771527777775</v>
      </c>
    </row>
    <row r="7" spans="1:4" x14ac:dyDescent="0.3">
      <c r="A7" t="s">
        <v>12</v>
      </c>
      <c r="B7">
        <v>5</v>
      </c>
      <c r="C7">
        <v>389</v>
      </c>
      <c r="D7" s="4">
        <v>45219.476388888892</v>
      </c>
    </row>
    <row r="8" spans="1:4" x14ac:dyDescent="0.3">
      <c r="A8" t="s">
        <v>13</v>
      </c>
      <c r="B8">
        <v>2</v>
      </c>
      <c r="C8">
        <v>87</v>
      </c>
      <c r="D8" s="4">
        <v>45221.180555555555</v>
      </c>
    </row>
    <row r="9" spans="1:4" x14ac:dyDescent="0.3">
      <c r="A9" t="s">
        <v>14</v>
      </c>
      <c r="B9">
        <v>2</v>
      </c>
      <c r="C9">
        <v>92</v>
      </c>
      <c r="D9" s="4">
        <v>45216.792361111111</v>
      </c>
    </row>
    <row r="10" spans="1:4" x14ac:dyDescent="0.3">
      <c r="A10" t="s">
        <v>15</v>
      </c>
      <c r="B10">
        <v>1</v>
      </c>
      <c r="C10">
        <v>51</v>
      </c>
      <c r="D10" s="4">
        <v>45217.28125</v>
      </c>
    </row>
    <row r="11" spans="1:4" x14ac:dyDescent="0.3">
      <c r="A11" t="s">
        <v>16</v>
      </c>
      <c r="B11">
        <v>2</v>
      </c>
      <c r="C11">
        <v>114</v>
      </c>
      <c r="D11" s="4">
        <v>45227.48333333333</v>
      </c>
    </row>
    <row r="12" spans="1:4" x14ac:dyDescent="0.3">
      <c r="A12" t="s">
        <v>17</v>
      </c>
      <c r="B12">
        <v>2</v>
      </c>
      <c r="C12">
        <v>101</v>
      </c>
      <c r="D12" s="4">
        <v>45213.311111111114</v>
      </c>
    </row>
    <row r="13" spans="1:4" x14ac:dyDescent="0.3">
      <c r="A13" t="s">
        <v>18</v>
      </c>
      <c r="B13">
        <v>2</v>
      </c>
      <c r="C13">
        <v>155</v>
      </c>
      <c r="D13" s="4">
        <v>45218.368750000001</v>
      </c>
    </row>
    <row r="14" spans="1:4" x14ac:dyDescent="0.3">
      <c r="A14" t="s">
        <v>19</v>
      </c>
      <c r="B14">
        <v>1</v>
      </c>
      <c r="C14">
        <v>68</v>
      </c>
      <c r="D14" s="4">
        <v>45227.033333333333</v>
      </c>
    </row>
    <row r="15" spans="1:4" x14ac:dyDescent="0.3">
      <c r="A15" t="s">
        <v>20</v>
      </c>
      <c r="B15">
        <v>3</v>
      </c>
      <c r="C15">
        <v>143</v>
      </c>
      <c r="D15" s="4">
        <v>45225.238888888889</v>
      </c>
    </row>
    <row r="16" spans="1:4" x14ac:dyDescent="0.3">
      <c r="A16" t="s">
        <v>22</v>
      </c>
      <c r="B16">
        <v>3</v>
      </c>
      <c r="C16">
        <v>171</v>
      </c>
      <c r="D16" s="4">
        <v>45224.482638888891</v>
      </c>
    </row>
    <row r="17" spans="1:4" x14ac:dyDescent="0.3">
      <c r="A17" t="s">
        <v>23</v>
      </c>
      <c r="B17">
        <v>4</v>
      </c>
      <c r="C17">
        <v>381</v>
      </c>
      <c r="D17" s="4">
        <v>45220.091666666667</v>
      </c>
    </row>
    <row r="18" spans="1:4" x14ac:dyDescent="0.3">
      <c r="A18" t="s">
        <v>24</v>
      </c>
      <c r="B18">
        <v>1</v>
      </c>
      <c r="C18">
        <v>19</v>
      </c>
      <c r="D18" s="4">
        <v>45212.140277777777</v>
      </c>
    </row>
    <row r="19" spans="1:4" x14ac:dyDescent="0.3">
      <c r="A19" t="s">
        <v>25</v>
      </c>
      <c r="B19">
        <v>2</v>
      </c>
      <c r="C19">
        <v>76</v>
      </c>
      <c r="D19" s="4">
        <v>45227.484722222223</v>
      </c>
    </row>
    <row r="20" spans="1:4" x14ac:dyDescent="0.3">
      <c r="A20" t="s">
        <v>26</v>
      </c>
      <c r="B20">
        <v>3</v>
      </c>
      <c r="C20">
        <v>165</v>
      </c>
      <c r="D20" s="4">
        <v>45224.428472222222</v>
      </c>
    </row>
    <row r="21" spans="1:4" x14ac:dyDescent="0.3">
      <c r="A21" t="s">
        <v>27</v>
      </c>
      <c r="B21">
        <v>1</v>
      </c>
      <c r="C21">
        <v>106</v>
      </c>
      <c r="D21" s="4">
        <v>45229.503472222219</v>
      </c>
    </row>
    <row r="22" spans="1:4" x14ac:dyDescent="0.3">
      <c r="A22" t="s">
        <v>28</v>
      </c>
      <c r="B22">
        <v>2</v>
      </c>
      <c r="C22">
        <v>190</v>
      </c>
      <c r="D22" s="4">
        <v>45217.411805555559</v>
      </c>
    </row>
    <row r="23" spans="1:4" x14ac:dyDescent="0.3">
      <c r="A23" t="s">
        <v>29</v>
      </c>
      <c r="B23">
        <v>2</v>
      </c>
      <c r="C23">
        <v>91</v>
      </c>
      <c r="D23" s="4">
        <v>45224.456944444442</v>
      </c>
    </row>
    <row r="24" spans="1:4" x14ac:dyDescent="0.3">
      <c r="A24" t="s">
        <v>30</v>
      </c>
      <c r="B24">
        <v>3</v>
      </c>
      <c r="C24">
        <v>185</v>
      </c>
      <c r="D24" s="4">
        <v>45229.595833333333</v>
      </c>
    </row>
    <row r="25" spans="1:4" x14ac:dyDescent="0.3">
      <c r="A25" t="s">
        <v>31</v>
      </c>
      <c r="B25">
        <v>2</v>
      </c>
      <c r="C25">
        <v>165</v>
      </c>
      <c r="D25" s="4">
        <v>45211.477083333331</v>
      </c>
    </row>
    <row r="26" spans="1:4" x14ac:dyDescent="0.3">
      <c r="A26" t="s">
        <v>32</v>
      </c>
      <c r="B26">
        <v>4</v>
      </c>
      <c r="C26">
        <v>224</v>
      </c>
      <c r="D26" s="4">
        <v>45227.329861111109</v>
      </c>
    </row>
    <row r="27" spans="1:4" x14ac:dyDescent="0.3">
      <c r="A27" t="s">
        <v>33</v>
      </c>
      <c r="B27">
        <v>1</v>
      </c>
      <c r="C27">
        <v>64</v>
      </c>
      <c r="D27" s="4">
        <v>45203.511805555558</v>
      </c>
    </row>
    <row r="28" spans="1:4" x14ac:dyDescent="0.3">
      <c r="A28" t="s">
        <v>34</v>
      </c>
      <c r="B28">
        <v>5</v>
      </c>
      <c r="C28">
        <v>390</v>
      </c>
      <c r="D28" s="4">
        <v>45227.306250000001</v>
      </c>
    </row>
    <row r="29" spans="1:4" x14ac:dyDescent="0.3">
      <c r="A29" t="s">
        <v>35</v>
      </c>
      <c r="B29">
        <v>2</v>
      </c>
      <c r="C29">
        <v>51</v>
      </c>
      <c r="D29" s="4">
        <v>45221.717361111114</v>
      </c>
    </row>
    <row r="30" spans="1:4" x14ac:dyDescent="0.3">
      <c r="A30" t="s">
        <v>36</v>
      </c>
      <c r="B30">
        <v>3</v>
      </c>
      <c r="C30">
        <v>136</v>
      </c>
      <c r="D30" s="4">
        <v>45211.279166666667</v>
      </c>
    </row>
    <row r="31" spans="1:4" x14ac:dyDescent="0.3">
      <c r="A31" t="s">
        <v>37</v>
      </c>
      <c r="B31">
        <v>1</v>
      </c>
      <c r="C31">
        <v>115</v>
      </c>
      <c r="D31" s="4">
        <v>45208.957638888889</v>
      </c>
    </row>
    <row r="32" spans="1:4" x14ac:dyDescent="0.3">
      <c r="A32" t="s">
        <v>38</v>
      </c>
      <c r="B32">
        <v>2</v>
      </c>
      <c r="C32">
        <v>108</v>
      </c>
      <c r="D32" s="4">
        <v>45221.836111111108</v>
      </c>
    </row>
    <row r="33" spans="1:4" x14ac:dyDescent="0.3">
      <c r="A33" t="s">
        <v>39</v>
      </c>
      <c r="B33">
        <v>3</v>
      </c>
      <c r="C33">
        <v>259</v>
      </c>
      <c r="D33" s="4">
        <v>45219.840277777781</v>
      </c>
    </row>
    <row r="34" spans="1:4" x14ac:dyDescent="0.3">
      <c r="A34" t="s">
        <v>40</v>
      </c>
      <c r="B34">
        <v>1</v>
      </c>
      <c r="C34">
        <v>97</v>
      </c>
      <c r="D34" s="4">
        <v>45217.96875</v>
      </c>
    </row>
    <row r="35" spans="1:4" x14ac:dyDescent="0.3">
      <c r="A35" t="s">
        <v>41</v>
      </c>
      <c r="B35">
        <v>2</v>
      </c>
      <c r="C35">
        <v>37</v>
      </c>
      <c r="D35" s="4">
        <v>45205.599999999999</v>
      </c>
    </row>
    <row r="36" spans="1:4" x14ac:dyDescent="0.3">
      <c r="A36" t="s">
        <v>42</v>
      </c>
      <c r="B36">
        <v>2</v>
      </c>
      <c r="C36">
        <v>134</v>
      </c>
      <c r="D36" s="4">
        <v>45218.631944444445</v>
      </c>
    </row>
    <row r="37" spans="1:4" x14ac:dyDescent="0.3">
      <c r="A37" t="s">
        <v>43</v>
      </c>
      <c r="B37">
        <v>1</v>
      </c>
      <c r="C37">
        <v>118</v>
      </c>
      <c r="D37" s="4">
        <v>45217.321527777778</v>
      </c>
    </row>
    <row r="38" spans="1:4" x14ac:dyDescent="0.3">
      <c r="A38" t="s">
        <v>44</v>
      </c>
      <c r="B38">
        <v>3</v>
      </c>
      <c r="C38">
        <v>176</v>
      </c>
      <c r="D38" s="4">
        <v>45228.853472222225</v>
      </c>
    </row>
    <row r="39" spans="1:4" x14ac:dyDescent="0.3">
      <c r="A39" t="s">
        <v>45</v>
      </c>
      <c r="B39">
        <v>3</v>
      </c>
      <c r="C39">
        <v>215</v>
      </c>
      <c r="D39" s="4">
        <v>45226.07708333333</v>
      </c>
    </row>
    <row r="40" spans="1:4" x14ac:dyDescent="0.3">
      <c r="A40" t="s">
        <v>46</v>
      </c>
      <c r="B40">
        <v>1</v>
      </c>
      <c r="C40">
        <v>103</v>
      </c>
      <c r="D40" s="4">
        <v>45202.290277777778</v>
      </c>
    </row>
    <row r="41" spans="1:4" x14ac:dyDescent="0.3">
      <c r="A41" t="s">
        <v>47</v>
      </c>
      <c r="B41">
        <v>3</v>
      </c>
      <c r="C41">
        <v>251</v>
      </c>
      <c r="D41" s="4">
        <v>45230.788888888892</v>
      </c>
    </row>
    <row r="42" spans="1:4" x14ac:dyDescent="0.3">
      <c r="A42" t="s">
        <v>48</v>
      </c>
      <c r="B42">
        <v>1</v>
      </c>
      <c r="C42">
        <v>48</v>
      </c>
      <c r="D42" s="4">
        <v>45222.425694444442</v>
      </c>
    </row>
    <row r="43" spans="1:4" x14ac:dyDescent="0.3">
      <c r="A43" t="s">
        <v>49</v>
      </c>
      <c r="B43">
        <v>6</v>
      </c>
      <c r="C43">
        <v>330</v>
      </c>
      <c r="D43" s="4">
        <v>45230.834722222222</v>
      </c>
    </row>
    <row r="44" spans="1:4" x14ac:dyDescent="0.3">
      <c r="A44" t="s">
        <v>50</v>
      </c>
      <c r="B44">
        <v>2</v>
      </c>
      <c r="C44">
        <v>83</v>
      </c>
      <c r="D44" s="4">
        <v>45204.338888888888</v>
      </c>
    </row>
    <row r="45" spans="1:4" x14ac:dyDescent="0.3">
      <c r="A45" t="s">
        <v>51</v>
      </c>
      <c r="B45">
        <v>2</v>
      </c>
      <c r="C45">
        <v>142</v>
      </c>
      <c r="D45" s="4">
        <v>45215.67291666667</v>
      </c>
    </row>
    <row r="46" spans="1:4" x14ac:dyDescent="0.3">
      <c r="A46" t="s">
        <v>52</v>
      </c>
      <c r="B46">
        <v>2</v>
      </c>
      <c r="C46">
        <v>53</v>
      </c>
      <c r="D46" s="4">
        <v>45218.635416666664</v>
      </c>
    </row>
    <row r="47" spans="1:4" x14ac:dyDescent="0.3">
      <c r="A47" t="s">
        <v>53</v>
      </c>
      <c r="B47">
        <v>2</v>
      </c>
      <c r="C47">
        <v>106</v>
      </c>
      <c r="D47" s="4">
        <v>45225.660416666666</v>
      </c>
    </row>
    <row r="48" spans="1:4" x14ac:dyDescent="0.3">
      <c r="A48" t="s">
        <v>54</v>
      </c>
      <c r="B48">
        <v>2</v>
      </c>
      <c r="C48">
        <v>127</v>
      </c>
      <c r="D48" s="4">
        <v>45226.17083333333</v>
      </c>
    </row>
    <row r="49" spans="1:4" x14ac:dyDescent="0.3">
      <c r="A49" t="s">
        <v>55</v>
      </c>
      <c r="B49">
        <v>3</v>
      </c>
      <c r="C49">
        <v>205</v>
      </c>
      <c r="D49" s="4">
        <v>45208.172222222223</v>
      </c>
    </row>
    <row r="50" spans="1:4" x14ac:dyDescent="0.3">
      <c r="A50" t="s">
        <v>56</v>
      </c>
      <c r="B50">
        <v>1</v>
      </c>
      <c r="C50">
        <v>38</v>
      </c>
      <c r="D50" s="4">
        <v>45214.960416666669</v>
      </c>
    </row>
    <row r="51" spans="1:4" x14ac:dyDescent="0.3">
      <c r="A51" t="s">
        <v>57</v>
      </c>
      <c r="B51">
        <v>1</v>
      </c>
      <c r="C51">
        <v>21</v>
      </c>
      <c r="D51" s="4">
        <v>45221.861805555556</v>
      </c>
    </row>
    <row r="52" spans="1:4" x14ac:dyDescent="0.3">
      <c r="A52" t="s">
        <v>58</v>
      </c>
      <c r="B52">
        <v>2</v>
      </c>
      <c r="C52">
        <v>88</v>
      </c>
      <c r="D52" s="4">
        <v>45224.988194444442</v>
      </c>
    </row>
    <row r="53" spans="1:4" x14ac:dyDescent="0.3">
      <c r="A53" t="s">
        <v>59</v>
      </c>
      <c r="B53">
        <v>3</v>
      </c>
      <c r="C53">
        <v>267</v>
      </c>
      <c r="D53" s="4">
        <v>45223.45208333333</v>
      </c>
    </row>
    <row r="54" spans="1:4" x14ac:dyDescent="0.3">
      <c r="A54" t="s">
        <v>60</v>
      </c>
      <c r="B54">
        <v>3</v>
      </c>
      <c r="C54">
        <v>171</v>
      </c>
      <c r="D54" s="4">
        <v>45227.135416666664</v>
      </c>
    </row>
    <row r="55" spans="1:4" x14ac:dyDescent="0.3">
      <c r="A55" t="s">
        <v>61</v>
      </c>
      <c r="B55">
        <v>1</v>
      </c>
      <c r="C55">
        <v>117</v>
      </c>
      <c r="D55" s="4">
        <v>45206.273611111108</v>
      </c>
    </row>
    <row r="56" spans="1:4" x14ac:dyDescent="0.3">
      <c r="A56" t="s">
        <v>62</v>
      </c>
      <c r="B56">
        <v>1</v>
      </c>
      <c r="C56">
        <v>52</v>
      </c>
      <c r="D56" s="4">
        <v>45205.353472222225</v>
      </c>
    </row>
    <row r="57" spans="1:4" x14ac:dyDescent="0.3">
      <c r="A57" t="s">
        <v>63</v>
      </c>
      <c r="B57">
        <v>2</v>
      </c>
      <c r="C57">
        <v>99</v>
      </c>
      <c r="D57" s="4">
        <v>45230.847222222219</v>
      </c>
    </row>
    <row r="58" spans="1:4" x14ac:dyDescent="0.3">
      <c r="A58" t="s">
        <v>64</v>
      </c>
      <c r="B58">
        <v>4</v>
      </c>
      <c r="C58">
        <v>222</v>
      </c>
      <c r="D58" s="4">
        <v>45225.712500000001</v>
      </c>
    </row>
    <row r="59" spans="1:4" x14ac:dyDescent="0.3">
      <c r="A59" t="s">
        <v>65</v>
      </c>
      <c r="B59">
        <v>1</v>
      </c>
      <c r="C59">
        <v>61</v>
      </c>
      <c r="D59" s="4">
        <v>45201.856944444444</v>
      </c>
    </row>
    <row r="60" spans="1:4" x14ac:dyDescent="0.3">
      <c r="A60" t="s">
        <v>66</v>
      </c>
      <c r="B60">
        <v>2</v>
      </c>
      <c r="C60">
        <v>189</v>
      </c>
      <c r="D60" s="4">
        <v>45229.298611111109</v>
      </c>
    </row>
    <row r="61" spans="1:4" x14ac:dyDescent="0.3">
      <c r="A61" t="s">
        <v>67</v>
      </c>
      <c r="B61">
        <v>2</v>
      </c>
      <c r="C61">
        <v>204</v>
      </c>
      <c r="D61" s="4">
        <v>45222.834027777775</v>
      </c>
    </row>
    <row r="62" spans="1:4" x14ac:dyDescent="0.3">
      <c r="A62" t="s">
        <v>68</v>
      </c>
      <c r="B62">
        <v>3</v>
      </c>
      <c r="C62">
        <v>199</v>
      </c>
      <c r="D62" s="4">
        <v>45228.621527777781</v>
      </c>
    </row>
    <row r="63" spans="1:4" x14ac:dyDescent="0.3">
      <c r="A63" t="s">
        <v>69</v>
      </c>
      <c r="B63">
        <v>5</v>
      </c>
      <c r="C63">
        <v>385</v>
      </c>
      <c r="D63" s="4">
        <v>45229.065972222219</v>
      </c>
    </row>
    <row r="64" spans="1:4" x14ac:dyDescent="0.3">
      <c r="A64" t="s">
        <v>70</v>
      </c>
      <c r="B64">
        <v>1</v>
      </c>
      <c r="C64">
        <v>108</v>
      </c>
      <c r="D64" s="4">
        <v>45200.511111111111</v>
      </c>
    </row>
    <row r="65" spans="1:4" x14ac:dyDescent="0.3">
      <c r="A65" t="s">
        <v>71</v>
      </c>
      <c r="B65">
        <v>1</v>
      </c>
      <c r="C65">
        <v>72</v>
      </c>
      <c r="D65" s="4">
        <v>45213.948611111111</v>
      </c>
    </row>
    <row r="66" spans="1:4" x14ac:dyDescent="0.3">
      <c r="A66" t="s">
        <v>72</v>
      </c>
      <c r="B66">
        <v>2</v>
      </c>
      <c r="C66">
        <v>55</v>
      </c>
      <c r="D66" s="4">
        <v>45225.737500000003</v>
      </c>
    </row>
    <row r="67" spans="1:4" x14ac:dyDescent="0.3">
      <c r="A67" t="s">
        <v>73</v>
      </c>
      <c r="B67">
        <v>2</v>
      </c>
      <c r="C67">
        <v>157</v>
      </c>
      <c r="D67" s="4">
        <v>45230.862500000003</v>
      </c>
    </row>
    <row r="68" spans="1:4" x14ac:dyDescent="0.3">
      <c r="A68" t="s">
        <v>74</v>
      </c>
      <c r="B68">
        <v>1</v>
      </c>
      <c r="C68">
        <v>109</v>
      </c>
      <c r="D68" s="4">
        <v>45206.384027777778</v>
      </c>
    </row>
    <row r="69" spans="1:4" x14ac:dyDescent="0.3">
      <c r="A69" t="s">
        <v>75</v>
      </c>
      <c r="B69">
        <v>1</v>
      </c>
      <c r="C69">
        <v>75</v>
      </c>
      <c r="D69" s="4">
        <v>45230.067361111112</v>
      </c>
    </row>
    <row r="70" spans="1:4" x14ac:dyDescent="0.3">
      <c r="A70" t="s">
        <v>76</v>
      </c>
      <c r="B70">
        <v>2</v>
      </c>
      <c r="C70">
        <v>146</v>
      </c>
      <c r="D70" s="4">
        <v>45223.710416666669</v>
      </c>
    </row>
    <row r="71" spans="1:4" x14ac:dyDescent="0.3">
      <c r="A71" t="s">
        <v>77</v>
      </c>
      <c r="B71">
        <v>2</v>
      </c>
      <c r="C71">
        <v>169</v>
      </c>
      <c r="D71" s="4">
        <v>45223.418749999997</v>
      </c>
    </row>
    <row r="72" spans="1:4" x14ac:dyDescent="0.3">
      <c r="A72" t="s">
        <v>78</v>
      </c>
      <c r="B72">
        <v>1</v>
      </c>
      <c r="C72">
        <v>117</v>
      </c>
      <c r="D72" s="4">
        <v>45216.673611111109</v>
      </c>
    </row>
    <row r="73" spans="1:4" x14ac:dyDescent="0.3">
      <c r="A73" t="s">
        <v>79</v>
      </c>
      <c r="B73">
        <v>2</v>
      </c>
      <c r="C73">
        <v>124</v>
      </c>
      <c r="D73" s="4">
        <v>45219.997916666667</v>
      </c>
    </row>
    <row r="74" spans="1:4" x14ac:dyDescent="0.3">
      <c r="A74" t="s">
        <v>80</v>
      </c>
      <c r="B74">
        <v>1</v>
      </c>
      <c r="C74">
        <v>38</v>
      </c>
      <c r="D74" s="4">
        <v>45227.211111111108</v>
      </c>
    </row>
    <row r="75" spans="1:4" x14ac:dyDescent="0.3">
      <c r="A75" t="s">
        <v>81</v>
      </c>
      <c r="B75">
        <v>3</v>
      </c>
      <c r="C75">
        <v>139</v>
      </c>
      <c r="D75" s="4">
        <v>45224.010416666664</v>
      </c>
    </row>
    <row r="76" spans="1:4" x14ac:dyDescent="0.3">
      <c r="A76" t="s">
        <v>82</v>
      </c>
      <c r="B76">
        <v>3</v>
      </c>
      <c r="C76">
        <v>289</v>
      </c>
      <c r="D76" s="4">
        <v>45227.309027777781</v>
      </c>
    </row>
    <row r="77" spans="1:4" x14ac:dyDescent="0.3">
      <c r="A77" t="s">
        <v>83</v>
      </c>
      <c r="B77">
        <v>2</v>
      </c>
      <c r="C77">
        <v>29</v>
      </c>
      <c r="D77" s="4">
        <v>45230.009027777778</v>
      </c>
    </row>
    <row r="78" spans="1:4" x14ac:dyDescent="0.3">
      <c r="A78" t="s">
        <v>84</v>
      </c>
      <c r="B78">
        <v>2</v>
      </c>
      <c r="C78">
        <v>207</v>
      </c>
      <c r="D78" s="4">
        <v>45218.89166666667</v>
      </c>
    </row>
    <row r="79" spans="1:4" x14ac:dyDescent="0.3">
      <c r="A79" t="s">
        <v>85</v>
      </c>
      <c r="B79">
        <v>2</v>
      </c>
      <c r="C79">
        <v>189</v>
      </c>
      <c r="D79" s="4">
        <v>45219.101388888892</v>
      </c>
    </row>
    <row r="80" spans="1:4" x14ac:dyDescent="0.3">
      <c r="A80" t="s">
        <v>86</v>
      </c>
      <c r="B80">
        <v>2</v>
      </c>
      <c r="C80">
        <v>98</v>
      </c>
      <c r="D80" s="4">
        <v>45221.775000000001</v>
      </c>
    </row>
    <row r="81" spans="1:4" x14ac:dyDescent="0.3">
      <c r="A81" t="s">
        <v>87</v>
      </c>
      <c r="B81">
        <v>1</v>
      </c>
      <c r="C81">
        <v>39</v>
      </c>
      <c r="D81" s="4">
        <v>45216.457638888889</v>
      </c>
    </row>
    <row r="82" spans="1:4" x14ac:dyDescent="0.3">
      <c r="A82" t="s">
        <v>88</v>
      </c>
      <c r="B82">
        <v>1</v>
      </c>
      <c r="C82">
        <v>41</v>
      </c>
      <c r="D82" s="4">
        <v>45208.279166666667</v>
      </c>
    </row>
    <row r="83" spans="1:4" x14ac:dyDescent="0.3">
      <c r="A83" t="s">
        <v>89</v>
      </c>
      <c r="B83">
        <v>1</v>
      </c>
      <c r="C83">
        <v>82</v>
      </c>
      <c r="D83" s="4">
        <v>45222.427083333336</v>
      </c>
    </row>
    <row r="84" spans="1:4" x14ac:dyDescent="0.3">
      <c r="A84" t="s">
        <v>90</v>
      </c>
      <c r="B84">
        <v>2</v>
      </c>
      <c r="C84">
        <v>101</v>
      </c>
      <c r="D84" s="4">
        <v>45227.462500000001</v>
      </c>
    </row>
    <row r="85" spans="1:4" x14ac:dyDescent="0.3">
      <c r="A85" t="s">
        <v>91</v>
      </c>
      <c r="B85">
        <v>3</v>
      </c>
      <c r="C85">
        <v>195</v>
      </c>
      <c r="D85" s="4">
        <v>45221.84652777778</v>
      </c>
    </row>
    <row r="86" spans="1:4" x14ac:dyDescent="0.3">
      <c r="A86" t="s">
        <v>92</v>
      </c>
      <c r="B86">
        <v>2</v>
      </c>
      <c r="C86">
        <v>97</v>
      </c>
      <c r="D86" s="4">
        <v>45220.488888888889</v>
      </c>
    </row>
    <row r="87" spans="1:4" x14ac:dyDescent="0.3">
      <c r="A87" t="s">
        <v>93</v>
      </c>
      <c r="B87">
        <v>2</v>
      </c>
      <c r="C87">
        <v>140</v>
      </c>
      <c r="D87" s="4">
        <v>45228.269444444442</v>
      </c>
    </row>
    <row r="88" spans="1:4" x14ac:dyDescent="0.3">
      <c r="A88" t="s">
        <v>94</v>
      </c>
      <c r="B88">
        <v>2</v>
      </c>
      <c r="C88">
        <v>207</v>
      </c>
      <c r="D88" s="4">
        <v>45214.816666666666</v>
      </c>
    </row>
    <row r="89" spans="1:4" x14ac:dyDescent="0.3">
      <c r="A89" t="s">
        <v>95</v>
      </c>
      <c r="B89">
        <v>1</v>
      </c>
      <c r="C89">
        <v>58</v>
      </c>
      <c r="D89" s="4">
        <v>45230.004861111112</v>
      </c>
    </row>
    <row r="90" spans="1:4" x14ac:dyDescent="0.3">
      <c r="A90" t="s">
        <v>96</v>
      </c>
      <c r="B90">
        <v>1</v>
      </c>
      <c r="C90">
        <v>118</v>
      </c>
      <c r="D90" s="4">
        <v>45228.34097222222</v>
      </c>
    </row>
    <row r="91" spans="1:4" x14ac:dyDescent="0.3">
      <c r="A91" t="s">
        <v>97</v>
      </c>
      <c r="B91">
        <v>2</v>
      </c>
      <c r="C91">
        <v>121</v>
      </c>
      <c r="D91" s="4">
        <v>45225.129166666666</v>
      </c>
    </row>
    <row r="92" spans="1:4" x14ac:dyDescent="0.3">
      <c r="A92" t="s">
        <v>98</v>
      </c>
      <c r="B92">
        <v>1</v>
      </c>
      <c r="C92">
        <v>78</v>
      </c>
      <c r="D92" s="4">
        <v>45203.810416666667</v>
      </c>
    </row>
    <row r="93" spans="1:4" x14ac:dyDescent="0.3">
      <c r="A93" t="s">
        <v>99</v>
      </c>
      <c r="B93">
        <v>1</v>
      </c>
      <c r="C93">
        <v>29</v>
      </c>
      <c r="D93" s="4">
        <v>45211.993055555555</v>
      </c>
    </row>
    <row r="94" spans="1:4" x14ac:dyDescent="0.3">
      <c r="A94" t="s">
        <v>100</v>
      </c>
      <c r="B94">
        <v>1</v>
      </c>
      <c r="C94">
        <v>96</v>
      </c>
      <c r="D94" s="4">
        <v>45210.568055555559</v>
      </c>
    </row>
    <row r="95" spans="1:4" x14ac:dyDescent="0.3">
      <c r="A95" t="s">
        <v>101</v>
      </c>
      <c r="B95">
        <v>1</v>
      </c>
      <c r="C95">
        <v>94</v>
      </c>
      <c r="D95" s="4">
        <v>45216.14166666667</v>
      </c>
    </row>
    <row r="96" spans="1:4" x14ac:dyDescent="0.3">
      <c r="A96" t="s">
        <v>102</v>
      </c>
      <c r="B96">
        <v>1</v>
      </c>
      <c r="C96">
        <v>54</v>
      </c>
      <c r="D96" s="4">
        <v>45228.758333333331</v>
      </c>
    </row>
    <row r="97" spans="1:4" x14ac:dyDescent="0.3">
      <c r="A97" t="s">
        <v>103</v>
      </c>
      <c r="B97">
        <v>2</v>
      </c>
      <c r="C97">
        <v>153</v>
      </c>
      <c r="D97" s="4">
        <v>45210.39166666667</v>
      </c>
    </row>
    <row r="98" spans="1:4" x14ac:dyDescent="0.3">
      <c r="A98" t="s">
        <v>104</v>
      </c>
      <c r="B98">
        <v>2</v>
      </c>
      <c r="C98">
        <v>155</v>
      </c>
      <c r="D98" s="4">
        <v>45229.738194444442</v>
      </c>
    </row>
    <row r="99" spans="1:4" x14ac:dyDescent="0.3">
      <c r="A99" t="s">
        <v>105</v>
      </c>
      <c r="B99">
        <v>1</v>
      </c>
      <c r="C99">
        <v>23</v>
      </c>
      <c r="D99" s="4">
        <v>45223.990972222222</v>
      </c>
    </row>
    <row r="100" spans="1:4" x14ac:dyDescent="0.3">
      <c r="A100" t="s">
        <v>106</v>
      </c>
      <c r="B100">
        <v>1</v>
      </c>
      <c r="C100">
        <v>88</v>
      </c>
      <c r="D100" s="4">
        <v>45221.265972222223</v>
      </c>
    </row>
    <row r="101" spans="1:4" x14ac:dyDescent="0.3">
      <c r="A101" t="s">
        <v>107</v>
      </c>
      <c r="B101">
        <v>3</v>
      </c>
      <c r="C101">
        <v>303</v>
      </c>
      <c r="D101" s="4">
        <v>45220.96875</v>
      </c>
    </row>
    <row r="102" spans="1:4" x14ac:dyDescent="0.3">
      <c r="A102" t="s">
        <v>108</v>
      </c>
      <c r="B102">
        <v>1</v>
      </c>
      <c r="C102">
        <v>5</v>
      </c>
      <c r="D102" s="4">
        <v>45229.443749999999</v>
      </c>
    </row>
    <row r="103" spans="1:4" x14ac:dyDescent="0.3">
      <c r="A103" t="s">
        <v>109</v>
      </c>
      <c r="B103">
        <v>2</v>
      </c>
      <c r="C103">
        <v>129</v>
      </c>
      <c r="D103" s="4">
        <v>45220.792361111111</v>
      </c>
    </row>
    <row r="104" spans="1:4" x14ac:dyDescent="0.3">
      <c r="A104" t="s">
        <v>110</v>
      </c>
      <c r="B104">
        <v>1</v>
      </c>
      <c r="C104">
        <v>101</v>
      </c>
      <c r="D104" s="4">
        <v>45203.997916666667</v>
      </c>
    </row>
    <row r="105" spans="1:4" x14ac:dyDescent="0.3">
      <c r="A105" t="s">
        <v>111</v>
      </c>
      <c r="B105">
        <v>2</v>
      </c>
      <c r="C105">
        <v>213</v>
      </c>
      <c r="D105" s="4">
        <v>45228.01458333333</v>
      </c>
    </row>
    <row r="106" spans="1:4" x14ac:dyDescent="0.3">
      <c r="A106" t="s">
        <v>112</v>
      </c>
      <c r="B106">
        <v>2</v>
      </c>
      <c r="C106">
        <v>148</v>
      </c>
      <c r="D106" s="4">
        <v>45227.775694444441</v>
      </c>
    </row>
    <row r="107" spans="1:4" x14ac:dyDescent="0.3">
      <c r="A107" t="s">
        <v>113</v>
      </c>
      <c r="B107">
        <v>1</v>
      </c>
      <c r="C107">
        <v>118</v>
      </c>
      <c r="D107" s="4">
        <v>45212.929166666669</v>
      </c>
    </row>
    <row r="108" spans="1:4" x14ac:dyDescent="0.3">
      <c r="A108" t="s">
        <v>114</v>
      </c>
      <c r="B108">
        <v>3</v>
      </c>
      <c r="C108">
        <v>164</v>
      </c>
      <c r="D108" s="4">
        <v>45218.007638888892</v>
      </c>
    </row>
    <row r="109" spans="1:4" x14ac:dyDescent="0.3">
      <c r="A109" t="s">
        <v>115</v>
      </c>
      <c r="B109">
        <v>2</v>
      </c>
      <c r="C109">
        <v>120</v>
      </c>
      <c r="D109" s="4">
        <v>45213.89166666667</v>
      </c>
    </row>
    <row r="110" spans="1:4" x14ac:dyDescent="0.3">
      <c r="A110" t="s">
        <v>116</v>
      </c>
      <c r="B110">
        <v>3</v>
      </c>
      <c r="C110">
        <v>221</v>
      </c>
      <c r="D110" s="4">
        <v>45222.107638888891</v>
      </c>
    </row>
    <row r="111" spans="1:4" x14ac:dyDescent="0.3">
      <c r="A111" t="s">
        <v>117</v>
      </c>
      <c r="B111">
        <v>1</v>
      </c>
      <c r="C111">
        <v>33</v>
      </c>
      <c r="D111" s="4">
        <v>45205.816666666666</v>
      </c>
    </row>
    <row r="112" spans="1:4" x14ac:dyDescent="0.3">
      <c r="A112" t="s">
        <v>118</v>
      </c>
      <c r="B112">
        <v>3</v>
      </c>
      <c r="C112">
        <v>217</v>
      </c>
      <c r="D112" s="4">
        <v>45221.167361111111</v>
      </c>
    </row>
    <row r="113" spans="1:4" x14ac:dyDescent="0.3">
      <c r="A113" t="s">
        <v>119</v>
      </c>
      <c r="B113">
        <v>4</v>
      </c>
      <c r="C113">
        <v>329</v>
      </c>
      <c r="D113" s="4">
        <v>45226.013194444444</v>
      </c>
    </row>
    <row r="114" spans="1:4" x14ac:dyDescent="0.3">
      <c r="A114" t="s">
        <v>120</v>
      </c>
      <c r="B114">
        <v>2</v>
      </c>
      <c r="C114">
        <v>207</v>
      </c>
      <c r="D114" s="4">
        <v>45209.268750000003</v>
      </c>
    </row>
    <row r="115" spans="1:4" x14ac:dyDescent="0.3">
      <c r="A115" t="s">
        <v>121</v>
      </c>
      <c r="B115">
        <v>2</v>
      </c>
      <c r="C115">
        <v>78</v>
      </c>
      <c r="D115" s="4">
        <v>45215.479166666664</v>
      </c>
    </row>
    <row r="116" spans="1:4" x14ac:dyDescent="0.3">
      <c r="A116" t="s">
        <v>122</v>
      </c>
      <c r="B116">
        <v>2</v>
      </c>
      <c r="C116">
        <v>100</v>
      </c>
      <c r="D116" s="4">
        <v>45216.693749999999</v>
      </c>
    </row>
    <row r="117" spans="1:4" x14ac:dyDescent="0.3">
      <c r="A117" t="s">
        <v>123</v>
      </c>
      <c r="B117">
        <v>2</v>
      </c>
      <c r="C117">
        <v>64</v>
      </c>
      <c r="D117" s="4">
        <v>45225.965277777781</v>
      </c>
    </row>
    <row r="118" spans="1:4" x14ac:dyDescent="0.3">
      <c r="A118" t="s">
        <v>124</v>
      </c>
      <c r="B118">
        <v>2</v>
      </c>
      <c r="C118">
        <v>154</v>
      </c>
      <c r="D118" s="4">
        <v>45221.095833333333</v>
      </c>
    </row>
    <row r="119" spans="1:4" x14ac:dyDescent="0.3">
      <c r="A119" t="s">
        <v>125</v>
      </c>
      <c r="B119">
        <v>1</v>
      </c>
      <c r="C119">
        <v>20</v>
      </c>
      <c r="D119" s="4">
        <v>45216.902777777781</v>
      </c>
    </row>
    <row r="120" spans="1:4" x14ac:dyDescent="0.3">
      <c r="A120" t="s">
        <v>126</v>
      </c>
      <c r="B120">
        <v>1</v>
      </c>
      <c r="C120">
        <v>63</v>
      </c>
      <c r="D120" s="4">
        <v>45219.420138888891</v>
      </c>
    </row>
    <row r="121" spans="1:4" x14ac:dyDescent="0.3">
      <c r="A121" t="s">
        <v>127</v>
      </c>
      <c r="B121">
        <v>5</v>
      </c>
      <c r="C121">
        <v>237</v>
      </c>
      <c r="D121" s="4">
        <v>45227.92291666667</v>
      </c>
    </row>
    <row r="122" spans="1:4" x14ac:dyDescent="0.3">
      <c r="A122" t="s">
        <v>128</v>
      </c>
      <c r="B122">
        <v>1</v>
      </c>
      <c r="C122">
        <v>107</v>
      </c>
      <c r="D122" s="4">
        <v>45209.32708333333</v>
      </c>
    </row>
    <row r="123" spans="1:4" x14ac:dyDescent="0.3">
      <c r="A123" t="s">
        <v>129</v>
      </c>
      <c r="B123">
        <v>1</v>
      </c>
      <c r="C123">
        <v>64</v>
      </c>
      <c r="D123" s="4">
        <v>45206.167361111111</v>
      </c>
    </row>
    <row r="124" spans="1:4" x14ac:dyDescent="0.3">
      <c r="A124" t="s">
        <v>130</v>
      </c>
      <c r="B124">
        <v>1</v>
      </c>
      <c r="C124">
        <v>90</v>
      </c>
      <c r="D124" s="4">
        <v>45201.3125</v>
      </c>
    </row>
    <row r="125" spans="1:4" x14ac:dyDescent="0.3">
      <c r="A125" t="s">
        <v>131</v>
      </c>
      <c r="B125">
        <v>2</v>
      </c>
      <c r="C125">
        <v>111</v>
      </c>
      <c r="D125" s="4">
        <v>45230.228472222225</v>
      </c>
    </row>
    <row r="126" spans="1:4" x14ac:dyDescent="0.3">
      <c r="A126" t="s">
        <v>132</v>
      </c>
      <c r="B126">
        <v>2</v>
      </c>
      <c r="C126">
        <v>104</v>
      </c>
      <c r="D126" s="4">
        <v>45216.701388888891</v>
      </c>
    </row>
    <row r="127" spans="1:4" x14ac:dyDescent="0.3">
      <c r="A127" t="s">
        <v>133</v>
      </c>
      <c r="B127">
        <v>4</v>
      </c>
      <c r="C127">
        <v>273</v>
      </c>
      <c r="D127" s="4">
        <v>45221.910416666666</v>
      </c>
    </row>
    <row r="128" spans="1:4" x14ac:dyDescent="0.3">
      <c r="A128" t="s">
        <v>134</v>
      </c>
      <c r="B128">
        <v>1</v>
      </c>
      <c r="C128">
        <v>27</v>
      </c>
      <c r="D128" s="4">
        <v>45212.965277777781</v>
      </c>
    </row>
    <row r="129" spans="1:4" x14ac:dyDescent="0.3">
      <c r="A129" t="s">
        <v>135</v>
      </c>
      <c r="B129">
        <v>2</v>
      </c>
      <c r="C129">
        <v>154</v>
      </c>
      <c r="D129" s="4">
        <v>45226.623611111114</v>
      </c>
    </row>
    <row r="130" spans="1:4" x14ac:dyDescent="0.3">
      <c r="A130" t="s">
        <v>136</v>
      </c>
      <c r="B130">
        <v>2</v>
      </c>
      <c r="C130">
        <v>141</v>
      </c>
      <c r="D130" s="4">
        <v>45217.173611111109</v>
      </c>
    </row>
    <row r="131" spans="1:4" x14ac:dyDescent="0.3">
      <c r="A131" t="s">
        <v>137</v>
      </c>
      <c r="B131">
        <v>2</v>
      </c>
      <c r="C131">
        <v>92</v>
      </c>
      <c r="D131" s="4">
        <v>45218.875694444447</v>
      </c>
    </row>
    <row r="132" spans="1:4" x14ac:dyDescent="0.3">
      <c r="A132" t="s">
        <v>138</v>
      </c>
      <c r="B132">
        <v>1</v>
      </c>
      <c r="C132">
        <v>83</v>
      </c>
      <c r="D132" s="4">
        <v>45202.852083333331</v>
      </c>
    </row>
    <row r="133" spans="1:4" x14ac:dyDescent="0.3">
      <c r="A133" t="s">
        <v>139</v>
      </c>
      <c r="B133">
        <v>3</v>
      </c>
      <c r="C133">
        <v>183</v>
      </c>
      <c r="D133" s="4">
        <v>45217.473611111112</v>
      </c>
    </row>
    <row r="134" spans="1:4" x14ac:dyDescent="0.3">
      <c r="A134" t="s">
        <v>140</v>
      </c>
      <c r="B134">
        <v>4</v>
      </c>
      <c r="C134">
        <v>347</v>
      </c>
      <c r="D134" s="4">
        <v>45217.818749999999</v>
      </c>
    </row>
    <row r="135" spans="1:4" x14ac:dyDescent="0.3">
      <c r="A135" t="s">
        <v>141</v>
      </c>
      <c r="B135">
        <v>1</v>
      </c>
      <c r="C135">
        <v>104</v>
      </c>
      <c r="D135" s="4">
        <v>45210.270138888889</v>
      </c>
    </row>
    <row r="136" spans="1:4" x14ac:dyDescent="0.3">
      <c r="A136" t="s">
        <v>142</v>
      </c>
      <c r="B136">
        <v>2</v>
      </c>
      <c r="C136">
        <v>151</v>
      </c>
      <c r="D136" s="4">
        <v>45220.754166666666</v>
      </c>
    </row>
    <row r="137" spans="1:4" x14ac:dyDescent="0.3">
      <c r="A137" t="s">
        <v>143</v>
      </c>
      <c r="B137">
        <v>2</v>
      </c>
      <c r="C137">
        <v>169</v>
      </c>
      <c r="D137" s="4">
        <v>45230.323611111111</v>
      </c>
    </row>
    <row r="138" spans="1:4" x14ac:dyDescent="0.3">
      <c r="A138" t="s">
        <v>144</v>
      </c>
      <c r="B138">
        <v>1</v>
      </c>
      <c r="C138">
        <v>60</v>
      </c>
      <c r="D138" s="4">
        <v>45224.552777777775</v>
      </c>
    </row>
    <row r="139" spans="1:4" x14ac:dyDescent="0.3">
      <c r="A139" t="s">
        <v>145</v>
      </c>
      <c r="B139">
        <v>2</v>
      </c>
      <c r="C139">
        <v>151</v>
      </c>
      <c r="D139" s="4">
        <v>45226.104166666664</v>
      </c>
    </row>
    <row r="140" spans="1:4" x14ac:dyDescent="0.3">
      <c r="A140" t="s">
        <v>146</v>
      </c>
      <c r="B140">
        <v>1</v>
      </c>
      <c r="C140">
        <v>80</v>
      </c>
      <c r="D140" s="4">
        <v>45201.468055555553</v>
      </c>
    </row>
    <row r="141" spans="1:4" x14ac:dyDescent="0.3">
      <c r="A141" t="s">
        <v>147</v>
      </c>
      <c r="B141">
        <v>1</v>
      </c>
      <c r="C141">
        <v>39</v>
      </c>
      <c r="D141" s="4">
        <v>45220.117361111108</v>
      </c>
    </row>
    <row r="142" spans="1:4" x14ac:dyDescent="0.3">
      <c r="A142" t="s">
        <v>148</v>
      </c>
      <c r="B142">
        <v>3</v>
      </c>
      <c r="C142">
        <v>152</v>
      </c>
      <c r="D142" s="4">
        <v>45206.027083333334</v>
      </c>
    </row>
    <row r="143" spans="1:4" x14ac:dyDescent="0.3">
      <c r="A143" t="s">
        <v>149</v>
      </c>
      <c r="B143">
        <v>4</v>
      </c>
      <c r="C143">
        <v>352</v>
      </c>
      <c r="D143" s="4">
        <v>45229.722916666666</v>
      </c>
    </row>
    <row r="144" spans="1:4" x14ac:dyDescent="0.3">
      <c r="A144" t="s">
        <v>150</v>
      </c>
      <c r="B144">
        <v>4</v>
      </c>
      <c r="C144">
        <v>208</v>
      </c>
      <c r="D144" s="4">
        <v>45216.459027777775</v>
      </c>
    </row>
    <row r="145" spans="1:4" x14ac:dyDescent="0.3">
      <c r="A145" t="s">
        <v>151</v>
      </c>
      <c r="B145">
        <v>4</v>
      </c>
      <c r="C145">
        <v>211</v>
      </c>
      <c r="D145" s="4">
        <v>45228.57708333333</v>
      </c>
    </row>
    <row r="146" spans="1:4" x14ac:dyDescent="0.3">
      <c r="A146" t="s">
        <v>152</v>
      </c>
      <c r="B146">
        <v>1</v>
      </c>
      <c r="C146">
        <v>117</v>
      </c>
      <c r="D146" s="4">
        <v>45222.367361111108</v>
      </c>
    </row>
    <row r="147" spans="1:4" x14ac:dyDescent="0.3">
      <c r="A147" t="s">
        <v>153</v>
      </c>
      <c r="B147">
        <v>1</v>
      </c>
      <c r="C147">
        <v>62</v>
      </c>
      <c r="D147" s="4">
        <v>45211.234722222223</v>
      </c>
    </row>
    <row r="148" spans="1:4" x14ac:dyDescent="0.3">
      <c r="A148" t="s">
        <v>154</v>
      </c>
      <c r="B148">
        <v>3</v>
      </c>
      <c r="C148">
        <v>208</v>
      </c>
      <c r="D148" s="4">
        <v>45230.565972222219</v>
      </c>
    </row>
    <row r="149" spans="1:4" x14ac:dyDescent="0.3">
      <c r="A149" t="s">
        <v>155</v>
      </c>
      <c r="B149">
        <v>2</v>
      </c>
      <c r="C149">
        <v>169</v>
      </c>
      <c r="D149" s="4">
        <v>45226.969444444447</v>
      </c>
    </row>
    <row r="150" spans="1:4" x14ac:dyDescent="0.3">
      <c r="A150" t="s">
        <v>156</v>
      </c>
      <c r="B150">
        <v>2</v>
      </c>
      <c r="C150">
        <v>107</v>
      </c>
      <c r="D150" s="4">
        <v>45224.201388888891</v>
      </c>
    </row>
    <row r="151" spans="1:4" x14ac:dyDescent="0.3">
      <c r="A151" t="s">
        <v>157</v>
      </c>
      <c r="B151">
        <v>2</v>
      </c>
      <c r="C151">
        <v>91</v>
      </c>
      <c r="D151" s="4">
        <v>45229.4</v>
      </c>
    </row>
    <row r="152" spans="1:4" x14ac:dyDescent="0.3">
      <c r="A152" t="s">
        <v>158</v>
      </c>
      <c r="B152">
        <v>2</v>
      </c>
      <c r="C152">
        <v>120</v>
      </c>
      <c r="D152" s="4">
        <v>45221.517361111109</v>
      </c>
    </row>
    <row r="153" spans="1:4" x14ac:dyDescent="0.3">
      <c r="A153" t="s">
        <v>159</v>
      </c>
      <c r="B153">
        <v>1</v>
      </c>
      <c r="C153">
        <v>90</v>
      </c>
      <c r="D153" s="4">
        <v>45230.925000000003</v>
      </c>
    </row>
    <row r="154" spans="1:4" x14ac:dyDescent="0.3">
      <c r="A154" t="s">
        <v>160</v>
      </c>
      <c r="B154">
        <v>3</v>
      </c>
      <c r="C154">
        <v>227</v>
      </c>
      <c r="D154" s="4">
        <v>45217.775694444441</v>
      </c>
    </row>
    <row r="155" spans="1:4" x14ac:dyDescent="0.3">
      <c r="A155" t="s">
        <v>161</v>
      </c>
      <c r="B155">
        <v>1</v>
      </c>
      <c r="C155">
        <v>48</v>
      </c>
      <c r="D155" s="4">
        <v>45226.84375</v>
      </c>
    </row>
    <row r="156" spans="1:4" x14ac:dyDescent="0.3">
      <c r="A156" t="s">
        <v>162</v>
      </c>
      <c r="B156">
        <v>1</v>
      </c>
      <c r="C156">
        <v>8</v>
      </c>
      <c r="D156" s="4">
        <v>45203.950694444444</v>
      </c>
    </row>
    <row r="157" spans="1:4" x14ac:dyDescent="0.3">
      <c r="A157" t="s">
        <v>163</v>
      </c>
      <c r="B157">
        <v>1</v>
      </c>
      <c r="C157">
        <v>68</v>
      </c>
      <c r="D157" s="4">
        <v>45209.901388888888</v>
      </c>
    </row>
    <row r="158" spans="1:4" x14ac:dyDescent="0.3">
      <c r="A158" t="s">
        <v>164</v>
      </c>
      <c r="B158">
        <v>1</v>
      </c>
      <c r="C158">
        <v>113</v>
      </c>
      <c r="D158" s="4">
        <v>45225.159722222219</v>
      </c>
    </row>
    <row r="159" spans="1:4" x14ac:dyDescent="0.3">
      <c r="A159" t="s">
        <v>165</v>
      </c>
      <c r="B159">
        <v>2</v>
      </c>
      <c r="C159">
        <v>146</v>
      </c>
      <c r="D159" s="4">
        <v>45219.041666666664</v>
      </c>
    </row>
    <row r="160" spans="1:4" x14ac:dyDescent="0.3">
      <c r="A160" t="s">
        <v>166</v>
      </c>
      <c r="B160">
        <v>2</v>
      </c>
      <c r="C160">
        <v>43</v>
      </c>
      <c r="D160" s="4">
        <v>45217.570833333331</v>
      </c>
    </row>
    <row r="161" spans="1:4" x14ac:dyDescent="0.3">
      <c r="A161" t="s">
        <v>167</v>
      </c>
      <c r="B161">
        <v>2</v>
      </c>
      <c r="C161">
        <v>98</v>
      </c>
      <c r="D161" s="4">
        <v>45220.416666666664</v>
      </c>
    </row>
    <row r="162" spans="1:4" x14ac:dyDescent="0.3">
      <c r="A162" t="s">
        <v>168</v>
      </c>
      <c r="B162">
        <v>2</v>
      </c>
      <c r="C162">
        <v>107</v>
      </c>
      <c r="D162" s="4">
        <v>45227.577777777777</v>
      </c>
    </row>
    <row r="163" spans="1:4" x14ac:dyDescent="0.3">
      <c r="A163" t="s">
        <v>169</v>
      </c>
      <c r="B163">
        <v>2</v>
      </c>
      <c r="C163">
        <v>114</v>
      </c>
      <c r="D163" s="4">
        <v>45215.811111111114</v>
      </c>
    </row>
    <row r="164" spans="1:4" x14ac:dyDescent="0.3">
      <c r="A164" t="s">
        <v>170</v>
      </c>
      <c r="B164">
        <v>4</v>
      </c>
      <c r="C164">
        <v>190</v>
      </c>
      <c r="D164" s="4">
        <v>45230.486111111109</v>
      </c>
    </row>
    <row r="165" spans="1:4" x14ac:dyDescent="0.3">
      <c r="A165" t="s">
        <v>171</v>
      </c>
      <c r="B165">
        <v>4</v>
      </c>
      <c r="C165">
        <v>258</v>
      </c>
      <c r="D165" s="4">
        <v>45228.614583333336</v>
      </c>
    </row>
    <row r="166" spans="1:4" x14ac:dyDescent="0.3">
      <c r="A166" t="s">
        <v>172</v>
      </c>
      <c r="B166">
        <v>4</v>
      </c>
      <c r="C166">
        <v>162</v>
      </c>
      <c r="D166" s="4">
        <v>45220.651388888888</v>
      </c>
    </row>
    <row r="167" spans="1:4" x14ac:dyDescent="0.3">
      <c r="A167" t="s">
        <v>173</v>
      </c>
      <c r="B167">
        <v>2</v>
      </c>
      <c r="C167">
        <v>141</v>
      </c>
      <c r="D167" s="4">
        <v>45230.629861111112</v>
      </c>
    </row>
    <row r="168" spans="1:4" x14ac:dyDescent="0.3">
      <c r="A168" t="s">
        <v>174</v>
      </c>
      <c r="B168">
        <v>2</v>
      </c>
      <c r="C168">
        <v>219</v>
      </c>
      <c r="D168" s="4">
        <v>45226.100694444445</v>
      </c>
    </row>
    <row r="169" spans="1:4" x14ac:dyDescent="0.3">
      <c r="A169" t="s">
        <v>175</v>
      </c>
      <c r="B169">
        <v>2</v>
      </c>
      <c r="C169">
        <v>65</v>
      </c>
      <c r="D169" s="4">
        <v>45215.10833333333</v>
      </c>
    </row>
    <row r="170" spans="1:4" x14ac:dyDescent="0.3">
      <c r="A170" t="s">
        <v>176</v>
      </c>
      <c r="B170">
        <v>2</v>
      </c>
      <c r="C170">
        <v>191</v>
      </c>
      <c r="D170" s="4">
        <v>45227.195833333331</v>
      </c>
    </row>
    <row r="171" spans="1:4" x14ac:dyDescent="0.3">
      <c r="A171" t="s">
        <v>177</v>
      </c>
      <c r="B171">
        <v>1</v>
      </c>
      <c r="C171">
        <v>10</v>
      </c>
      <c r="D171" s="4">
        <v>45204.20208333333</v>
      </c>
    </row>
    <row r="172" spans="1:4" x14ac:dyDescent="0.3">
      <c r="A172" t="s">
        <v>178</v>
      </c>
      <c r="B172">
        <v>2</v>
      </c>
      <c r="C172">
        <v>209</v>
      </c>
      <c r="D172" s="4">
        <v>45221.772222222222</v>
      </c>
    </row>
    <row r="173" spans="1:4" x14ac:dyDescent="0.3">
      <c r="A173" t="s">
        <v>179</v>
      </c>
      <c r="B173">
        <v>3</v>
      </c>
      <c r="C173">
        <v>163</v>
      </c>
      <c r="D173" s="4">
        <v>45209.898611111108</v>
      </c>
    </row>
    <row r="174" spans="1:4" x14ac:dyDescent="0.3">
      <c r="A174" t="s">
        <v>180</v>
      </c>
      <c r="B174">
        <v>1</v>
      </c>
      <c r="C174">
        <v>27</v>
      </c>
      <c r="D174" s="4">
        <v>45224.568055555559</v>
      </c>
    </row>
    <row r="175" spans="1:4" x14ac:dyDescent="0.3">
      <c r="A175" t="s">
        <v>181</v>
      </c>
      <c r="B175">
        <v>1</v>
      </c>
      <c r="C175">
        <v>65</v>
      </c>
      <c r="D175" s="4">
        <v>45219.801388888889</v>
      </c>
    </row>
    <row r="176" spans="1:4" x14ac:dyDescent="0.3">
      <c r="A176" t="s">
        <v>182</v>
      </c>
      <c r="B176">
        <v>2</v>
      </c>
      <c r="C176">
        <v>125</v>
      </c>
      <c r="D176" s="4">
        <v>45224.683333333334</v>
      </c>
    </row>
    <row r="177" spans="1:4" x14ac:dyDescent="0.3">
      <c r="A177" t="s">
        <v>183</v>
      </c>
      <c r="B177">
        <v>3</v>
      </c>
      <c r="C177">
        <v>254</v>
      </c>
      <c r="D177" s="4">
        <v>45219.818749999999</v>
      </c>
    </row>
    <row r="178" spans="1:4" x14ac:dyDescent="0.3">
      <c r="A178" t="s">
        <v>184</v>
      </c>
      <c r="B178">
        <v>1</v>
      </c>
      <c r="C178">
        <v>61</v>
      </c>
      <c r="D178" s="4">
        <v>45227.768750000003</v>
      </c>
    </row>
    <row r="179" spans="1:4" x14ac:dyDescent="0.3">
      <c r="A179" t="s">
        <v>185</v>
      </c>
      <c r="B179">
        <v>3</v>
      </c>
      <c r="C179">
        <v>126</v>
      </c>
      <c r="D179" s="4">
        <v>45230.119444444441</v>
      </c>
    </row>
    <row r="180" spans="1:4" x14ac:dyDescent="0.3">
      <c r="A180" t="s">
        <v>186</v>
      </c>
      <c r="B180">
        <v>4</v>
      </c>
      <c r="C180">
        <v>177</v>
      </c>
      <c r="D180" s="4">
        <v>45224.98333333333</v>
      </c>
    </row>
    <row r="181" spans="1:4" x14ac:dyDescent="0.3">
      <c r="A181" t="s">
        <v>187</v>
      </c>
      <c r="B181">
        <v>3</v>
      </c>
      <c r="C181">
        <v>217</v>
      </c>
      <c r="D181" s="4">
        <v>45226.975694444445</v>
      </c>
    </row>
    <row r="182" spans="1:4" x14ac:dyDescent="0.3">
      <c r="A182" t="s">
        <v>188</v>
      </c>
      <c r="B182">
        <v>2</v>
      </c>
      <c r="C182">
        <v>145</v>
      </c>
      <c r="D182" s="4">
        <v>45210.38958333333</v>
      </c>
    </row>
    <row r="183" spans="1:4" x14ac:dyDescent="0.3">
      <c r="A183" t="s">
        <v>189</v>
      </c>
      <c r="B183">
        <v>2</v>
      </c>
      <c r="C183">
        <v>181</v>
      </c>
      <c r="D183" s="4">
        <v>45210.458333333336</v>
      </c>
    </row>
    <row r="184" spans="1:4" x14ac:dyDescent="0.3">
      <c r="A184" t="s">
        <v>190</v>
      </c>
      <c r="B184">
        <v>2</v>
      </c>
      <c r="C184">
        <v>118</v>
      </c>
      <c r="D184" s="4">
        <v>45205.711111111108</v>
      </c>
    </row>
    <row r="185" spans="1:4" x14ac:dyDescent="0.3">
      <c r="A185" t="s">
        <v>191</v>
      </c>
      <c r="B185">
        <v>5</v>
      </c>
      <c r="C185">
        <v>273</v>
      </c>
      <c r="D185" s="4">
        <v>45223.436111111114</v>
      </c>
    </row>
    <row r="186" spans="1:4" x14ac:dyDescent="0.3">
      <c r="A186" t="s">
        <v>192</v>
      </c>
      <c r="B186">
        <v>3</v>
      </c>
      <c r="C186">
        <v>106</v>
      </c>
      <c r="D186" s="4">
        <v>45214.943055555559</v>
      </c>
    </row>
    <row r="187" spans="1:4" x14ac:dyDescent="0.3">
      <c r="A187" t="s">
        <v>193</v>
      </c>
      <c r="B187">
        <v>2</v>
      </c>
      <c r="C187">
        <v>111</v>
      </c>
      <c r="D187" s="4">
        <v>45218.558333333334</v>
      </c>
    </row>
    <row r="188" spans="1:4" x14ac:dyDescent="0.3">
      <c r="A188" t="s">
        <v>194</v>
      </c>
      <c r="B188">
        <v>1</v>
      </c>
      <c r="C188">
        <v>46</v>
      </c>
      <c r="D188" s="4">
        <v>45207.368055555555</v>
      </c>
    </row>
    <row r="189" spans="1:4" x14ac:dyDescent="0.3">
      <c r="A189" t="s">
        <v>195</v>
      </c>
      <c r="B189">
        <v>3</v>
      </c>
      <c r="C189">
        <v>221</v>
      </c>
      <c r="D189" s="4">
        <v>45225.859027777777</v>
      </c>
    </row>
    <row r="190" spans="1:4" x14ac:dyDescent="0.3">
      <c r="A190" t="s">
        <v>196</v>
      </c>
      <c r="B190">
        <v>5</v>
      </c>
      <c r="C190">
        <v>226</v>
      </c>
      <c r="D190" s="4">
        <v>45222.597222222219</v>
      </c>
    </row>
    <row r="191" spans="1:4" x14ac:dyDescent="0.3">
      <c r="A191" t="s">
        <v>197</v>
      </c>
      <c r="B191">
        <v>2</v>
      </c>
      <c r="C191">
        <v>154</v>
      </c>
      <c r="D191" s="4">
        <v>45230.444444444445</v>
      </c>
    </row>
    <row r="192" spans="1:4" x14ac:dyDescent="0.3">
      <c r="A192" t="s">
        <v>198</v>
      </c>
      <c r="B192">
        <v>1</v>
      </c>
      <c r="C192">
        <v>25</v>
      </c>
      <c r="D192" s="4">
        <v>45220.206944444442</v>
      </c>
    </row>
    <row r="193" spans="1:4" x14ac:dyDescent="0.3">
      <c r="A193" t="s">
        <v>199</v>
      </c>
      <c r="B193">
        <v>2</v>
      </c>
      <c r="C193">
        <v>157</v>
      </c>
      <c r="D193" s="4">
        <v>45210.895833333336</v>
      </c>
    </row>
    <row r="194" spans="1:4" x14ac:dyDescent="0.3">
      <c r="A194" t="s">
        <v>200</v>
      </c>
      <c r="B194">
        <v>3</v>
      </c>
      <c r="C194">
        <v>144</v>
      </c>
      <c r="D194" s="4">
        <v>45217.68472222222</v>
      </c>
    </row>
    <row r="195" spans="1:4" x14ac:dyDescent="0.3">
      <c r="A195" t="s">
        <v>201</v>
      </c>
      <c r="B195">
        <v>1</v>
      </c>
      <c r="C195">
        <v>68</v>
      </c>
      <c r="D195" s="4">
        <v>45226.790277777778</v>
      </c>
    </row>
    <row r="196" spans="1:4" x14ac:dyDescent="0.3">
      <c r="A196" t="s">
        <v>202</v>
      </c>
      <c r="B196">
        <v>1</v>
      </c>
      <c r="C196">
        <v>89</v>
      </c>
      <c r="D196" s="4">
        <v>45214.929861111108</v>
      </c>
    </row>
    <row r="197" spans="1:4" x14ac:dyDescent="0.3">
      <c r="A197" t="s">
        <v>203</v>
      </c>
      <c r="B197">
        <v>1</v>
      </c>
      <c r="C197">
        <v>56</v>
      </c>
      <c r="D197" s="4">
        <v>45222.511805555558</v>
      </c>
    </row>
    <row r="198" spans="1:4" x14ac:dyDescent="0.3">
      <c r="A198" t="s">
        <v>204</v>
      </c>
      <c r="B198">
        <v>1</v>
      </c>
      <c r="C198">
        <v>109</v>
      </c>
      <c r="D198" s="4">
        <v>45216.729861111111</v>
      </c>
    </row>
    <row r="199" spans="1:4" x14ac:dyDescent="0.3">
      <c r="A199" t="s">
        <v>205</v>
      </c>
      <c r="B199">
        <v>2</v>
      </c>
      <c r="C199">
        <v>109</v>
      </c>
      <c r="D199" s="4">
        <v>45214.109722222223</v>
      </c>
    </row>
    <row r="200" spans="1:4" x14ac:dyDescent="0.3">
      <c r="A200" t="s">
        <v>206</v>
      </c>
      <c r="B200">
        <v>2</v>
      </c>
      <c r="C200">
        <v>85</v>
      </c>
      <c r="D200" s="4">
        <v>45221.578472222223</v>
      </c>
    </row>
    <row r="201" spans="1:4" x14ac:dyDescent="0.3">
      <c r="A201" t="s">
        <v>207</v>
      </c>
      <c r="B201">
        <v>3</v>
      </c>
      <c r="C201">
        <v>96</v>
      </c>
      <c r="D201" s="4">
        <v>45230.911805555559</v>
      </c>
    </row>
    <row r="202" spans="1:4" x14ac:dyDescent="0.3">
      <c r="A202" t="s">
        <v>208</v>
      </c>
      <c r="B202">
        <v>3</v>
      </c>
      <c r="C202">
        <v>268</v>
      </c>
      <c r="D202" s="4">
        <v>45218.242361111108</v>
      </c>
    </row>
    <row r="203" spans="1:4" x14ac:dyDescent="0.3">
      <c r="A203" t="s">
        <v>209</v>
      </c>
      <c r="B203">
        <v>2</v>
      </c>
      <c r="C203">
        <v>88</v>
      </c>
      <c r="D203" s="4">
        <v>45211.904861111114</v>
      </c>
    </row>
    <row r="204" spans="1:4" x14ac:dyDescent="0.3">
      <c r="A204" t="s">
        <v>210</v>
      </c>
      <c r="B204">
        <v>2</v>
      </c>
      <c r="C204">
        <v>109</v>
      </c>
      <c r="D204" s="4">
        <v>45225.996527777781</v>
      </c>
    </row>
    <row r="205" spans="1:4" x14ac:dyDescent="0.3">
      <c r="A205" t="s">
        <v>211</v>
      </c>
      <c r="B205">
        <v>1</v>
      </c>
      <c r="C205">
        <v>114</v>
      </c>
      <c r="D205" s="4">
        <v>45210.979166666664</v>
      </c>
    </row>
    <row r="206" spans="1:4" x14ac:dyDescent="0.3">
      <c r="A206" t="s">
        <v>212</v>
      </c>
      <c r="B206">
        <v>3</v>
      </c>
      <c r="C206">
        <v>201</v>
      </c>
      <c r="D206" s="4">
        <v>45222.51666666667</v>
      </c>
    </row>
    <row r="207" spans="1:4" x14ac:dyDescent="0.3">
      <c r="A207" t="s">
        <v>213</v>
      </c>
      <c r="B207">
        <v>1</v>
      </c>
      <c r="C207">
        <v>18</v>
      </c>
      <c r="D207" s="4">
        <v>45221.839583333334</v>
      </c>
    </row>
    <row r="208" spans="1:4" x14ac:dyDescent="0.3">
      <c r="A208" t="s">
        <v>214</v>
      </c>
      <c r="B208">
        <v>3</v>
      </c>
      <c r="C208">
        <v>211</v>
      </c>
      <c r="D208" s="4">
        <v>45229.801388888889</v>
      </c>
    </row>
    <row r="209" spans="1:4" x14ac:dyDescent="0.3">
      <c r="A209" t="s">
        <v>215</v>
      </c>
      <c r="B209">
        <v>1</v>
      </c>
      <c r="C209">
        <v>78</v>
      </c>
      <c r="D209" s="4">
        <v>45227.163194444445</v>
      </c>
    </row>
    <row r="210" spans="1:4" x14ac:dyDescent="0.3">
      <c r="A210" t="s">
        <v>216</v>
      </c>
      <c r="B210">
        <v>2</v>
      </c>
      <c r="C210">
        <v>194</v>
      </c>
      <c r="D210" s="4">
        <v>45223.736111111109</v>
      </c>
    </row>
    <row r="211" spans="1:4" x14ac:dyDescent="0.3">
      <c r="A211" t="s">
        <v>217</v>
      </c>
      <c r="B211">
        <v>2</v>
      </c>
      <c r="C211">
        <v>54</v>
      </c>
      <c r="D211" s="4">
        <v>45223.18472222222</v>
      </c>
    </row>
    <row r="212" spans="1:4" x14ac:dyDescent="0.3">
      <c r="A212" t="s">
        <v>218</v>
      </c>
      <c r="B212">
        <v>1</v>
      </c>
      <c r="C212">
        <v>94</v>
      </c>
      <c r="D212" s="4">
        <v>45227.839583333334</v>
      </c>
    </row>
    <row r="213" spans="1:4" x14ac:dyDescent="0.3">
      <c r="A213" t="s">
        <v>219</v>
      </c>
      <c r="B213">
        <v>3</v>
      </c>
      <c r="C213">
        <v>195</v>
      </c>
      <c r="D213" s="4">
        <v>45206.366666666669</v>
      </c>
    </row>
    <row r="214" spans="1:4" x14ac:dyDescent="0.3">
      <c r="A214" t="s">
        <v>220</v>
      </c>
      <c r="B214">
        <v>1</v>
      </c>
      <c r="C214">
        <v>7</v>
      </c>
      <c r="D214" s="4">
        <v>45208.443749999999</v>
      </c>
    </row>
    <row r="215" spans="1:4" x14ac:dyDescent="0.3">
      <c r="A215" t="s">
        <v>221</v>
      </c>
      <c r="B215">
        <v>1</v>
      </c>
      <c r="C215">
        <v>111</v>
      </c>
      <c r="D215" s="4">
        <v>45222.52847222222</v>
      </c>
    </row>
    <row r="216" spans="1:4" x14ac:dyDescent="0.3">
      <c r="A216" t="s">
        <v>222</v>
      </c>
      <c r="B216">
        <v>2</v>
      </c>
      <c r="C216">
        <v>94</v>
      </c>
      <c r="D216" s="4">
        <v>45224.818055555559</v>
      </c>
    </row>
    <row r="217" spans="1:4" x14ac:dyDescent="0.3">
      <c r="A217" t="s">
        <v>223</v>
      </c>
      <c r="B217">
        <v>1</v>
      </c>
      <c r="C217">
        <v>55</v>
      </c>
      <c r="D217" s="4">
        <v>45221.724999999999</v>
      </c>
    </row>
    <row r="218" spans="1:4" x14ac:dyDescent="0.3">
      <c r="A218" t="s">
        <v>224</v>
      </c>
      <c r="B218">
        <v>3</v>
      </c>
      <c r="C218">
        <v>140</v>
      </c>
      <c r="D218" s="4">
        <v>45222.663194444445</v>
      </c>
    </row>
    <row r="219" spans="1:4" x14ac:dyDescent="0.3">
      <c r="A219" t="s">
        <v>225</v>
      </c>
      <c r="B219">
        <v>3</v>
      </c>
      <c r="C219">
        <v>105</v>
      </c>
      <c r="D219" s="4">
        <v>45230.726388888892</v>
      </c>
    </row>
    <row r="220" spans="1:4" x14ac:dyDescent="0.3">
      <c r="A220" t="s">
        <v>226</v>
      </c>
      <c r="B220">
        <v>2</v>
      </c>
      <c r="C220">
        <v>176</v>
      </c>
      <c r="D220" s="4">
        <v>45203.227777777778</v>
      </c>
    </row>
    <row r="221" spans="1:4" x14ac:dyDescent="0.3">
      <c r="A221" t="s">
        <v>227</v>
      </c>
      <c r="B221">
        <v>1</v>
      </c>
      <c r="C221">
        <v>92</v>
      </c>
      <c r="D221" s="4">
        <v>45221.384722222225</v>
      </c>
    </row>
    <row r="222" spans="1:4" x14ac:dyDescent="0.3">
      <c r="A222" t="s">
        <v>228</v>
      </c>
      <c r="B222">
        <v>3</v>
      </c>
      <c r="C222">
        <v>195</v>
      </c>
      <c r="D222" s="4">
        <v>45223.102083333331</v>
      </c>
    </row>
    <row r="223" spans="1:4" x14ac:dyDescent="0.3">
      <c r="A223" t="s">
        <v>229</v>
      </c>
      <c r="B223">
        <v>1</v>
      </c>
      <c r="C223">
        <v>100</v>
      </c>
      <c r="D223" s="4">
        <v>45203.864583333336</v>
      </c>
    </row>
    <row r="224" spans="1:4" x14ac:dyDescent="0.3">
      <c r="A224" t="s">
        <v>230</v>
      </c>
      <c r="B224">
        <v>2</v>
      </c>
      <c r="C224">
        <v>113</v>
      </c>
      <c r="D224" s="4">
        <v>45227.144444444442</v>
      </c>
    </row>
    <row r="225" spans="1:4" x14ac:dyDescent="0.3">
      <c r="A225" t="s">
        <v>231</v>
      </c>
      <c r="B225">
        <v>1</v>
      </c>
      <c r="C225">
        <v>82</v>
      </c>
      <c r="D225" s="4">
        <v>45205.929861111108</v>
      </c>
    </row>
    <row r="226" spans="1:4" x14ac:dyDescent="0.3">
      <c r="A226" t="s">
        <v>232</v>
      </c>
      <c r="B226">
        <v>2</v>
      </c>
      <c r="C226">
        <v>175</v>
      </c>
      <c r="D226" s="4">
        <v>45228.001388888886</v>
      </c>
    </row>
    <row r="227" spans="1:4" x14ac:dyDescent="0.3">
      <c r="A227" t="s">
        <v>233</v>
      </c>
      <c r="B227">
        <v>1</v>
      </c>
      <c r="C227">
        <v>68</v>
      </c>
      <c r="D227" s="4">
        <v>45210.054166666669</v>
      </c>
    </row>
    <row r="228" spans="1:4" x14ac:dyDescent="0.3">
      <c r="A228" t="s">
        <v>234</v>
      </c>
      <c r="B228">
        <v>1</v>
      </c>
      <c r="C228">
        <v>120</v>
      </c>
      <c r="D228" s="4">
        <v>45204.314583333333</v>
      </c>
    </row>
    <row r="229" spans="1:4" x14ac:dyDescent="0.3">
      <c r="A229" t="s">
        <v>235</v>
      </c>
      <c r="B229">
        <v>2</v>
      </c>
      <c r="C229">
        <v>151</v>
      </c>
      <c r="D229" s="4">
        <v>45222.902777777781</v>
      </c>
    </row>
    <row r="230" spans="1:4" x14ac:dyDescent="0.3">
      <c r="A230" t="s">
        <v>236</v>
      </c>
      <c r="B230">
        <v>1</v>
      </c>
      <c r="C230">
        <v>41</v>
      </c>
      <c r="D230" s="4">
        <v>45225.215277777781</v>
      </c>
    </row>
    <row r="231" spans="1:4" x14ac:dyDescent="0.3">
      <c r="A231" t="s">
        <v>237</v>
      </c>
      <c r="B231">
        <v>1</v>
      </c>
      <c r="C231">
        <v>107</v>
      </c>
      <c r="D231" s="4">
        <v>45227.527083333334</v>
      </c>
    </row>
    <row r="232" spans="1:4" x14ac:dyDescent="0.3">
      <c r="A232" t="s">
        <v>238</v>
      </c>
      <c r="B232">
        <v>3</v>
      </c>
      <c r="C232">
        <v>160</v>
      </c>
      <c r="D232" s="4">
        <v>45225.622916666667</v>
      </c>
    </row>
    <row r="233" spans="1:4" x14ac:dyDescent="0.3">
      <c r="A233" t="s">
        <v>239</v>
      </c>
      <c r="B233">
        <v>1</v>
      </c>
      <c r="C233">
        <v>82</v>
      </c>
      <c r="D233" s="4">
        <v>45229.756249999999</v>
      </c>
    </row>
    <row r="234" spans="1:4" x14ac:dyDescent="0.3">
      <c r="A234" t="s">
        <v>240</v>
      </c>
      <c r="B234">
        <v>1</v>
      </c>
      <c r="C234">
        <v>50</v>
      </c>
      <c r="D234" s="4">
        <v>45208.594444444447</v>
      </c>
    </row>
    <row r="235" spans="1:4" x14ac:dyDescent="0.3">
      <c r="A235" t="s">
        <v>241</v>
      </c>
      <c r="B235">
        <v>1</v>
      </c>
      <c r="C235">
        <v>33</v>
      </c>
      <c r="D235" s="4">
        <v>45221.039583333331</v>
      </c>
    </row>
    <row r="236" spans="1:4" x14ac:dyDescent="0.3">
      <c r="A236" t="s">
        <v>242</v>
      </c>
      <c r="B236">
        <v>1</v>
      </c>
      <c r="C236">
        <v>84</v>
      </c>
      <c r="D236" s="4">
        <v>45205.102777777778</v>
      </c>
    </row>
    <row r="237" spans="1:4" x14ac:dyDescent="0.3">
      <c r="A237" t="s">
        <v>243</v>
      </c>
      <c r="B237">
        <v>2</v>
      </c>
      <c r="C237">
        <v>144</v>
      </c>
      <c r="D237" s="4">
        <v>45230.484027777777</v>
      </c>
    </row>
    <row r="238" spans="1:4" x14ac:dyDescent="0.3">
      <c r="A238" t="s">
        <v>244</v>
      </c>
      <c r="B238">
        <v>1</v>
      </c>
      <c r="C238">
        <v>91</v>
      </c>
      <c r="D238" s="4">
        <v>45209.852083333331</v>
      </c>
    </row>
    <row r="239" spans="1:4" x14ac:dyDescent="0.3">
      <c r="A239" t="s">
        <v>245</v>
      </c>
      <c r="B239">
        <v>3</v>
      </c>
      <c r="C239">
        <v>121</v>
      </c>
      <c r="D239" s="4">
        <v>45223.252083333333</v>
      </c>
    </row>
    <row r="240" spans="1:4" x14ac:dyDescent="0.3">
      <c r="A240" t="s">
        <v>246</v>
      </c>
      <c r="B240">
        <v>2</v>
      </c>
      <c r="C240">
        <v>180</v>
      </c>
      <c r="D240" s="4">
        <v>45226.574305555558</v>
      </c>
    </row>
    <row r="241" spans="1:4" x14ac:dyDescent="0.3">
      <c r="A241" t="s">
        <v>247</v>
      </c>
      <c r="B241">
        <v>2</v>
      </c>
      <c r="C241">
        <v>170</v>
      </c>
      <c r="D241" s="4">
        <v>45221.988888888889</v>
      </c>
    </row>
    <row r="242" spans="1:4" x14ac:dyDescent="0.3">
      <c r="A242" t="s">
        <v>248</v>
      </c>
      <c r="B242">
        <v>3</v>
      </c>
      <c r="C242">
        <v>247</v>
      </c>
      <c r="D242" s="4">
        <v>45218.990277777775</v>
      </c>
    </row>
    <row r="243" spans="1:4" x14ac:dyDescent="0.3">
      <c r="A243" t="s">
        <v>249</v>
      </c>
      <c r="B243">
        <v>1</v>
      </c>
      <c r="C243">
        <v>13</v>
      </c>
      <c r="D243" s="4">
        <v>45204.570138888892</v>
      </c>
    </row>
    <row r="244" spans="1:4" x14ac:dyDescent="0.3">
      <c r="A244" t="s">
        <v>250</v>
      </c>
      <c r="B244">
        <v>2</v>
      </c>
      <c r="C244">
        <v>138</v>
      </c>
      <c r="D244" s="4">
        <v>45207.955555555556</v>
      </c>
    </row>
    <row r="245" spans="1:4" x14ac:dyDescent="0.3">
      <c r="A245" t="s">
        <v>251</v>
      </c>
      <c r="B245">
        <v>2</v>
      </c>
      <c r="C245">
        <v>69</v>
      </c>
      <c r="D245" s="4">
        <v>45226.656944444447</v>
      </c>
    </row>
    <row r="246" spans="1:4" x14ac:dyDescent="0.3">
      <c r="A246" t="s">
        <v>252</v>
      </c>
      <c r="B246">
        <v>1</v>
      </c>
      <c r="C246">
        <v>104</v>
      </c>
      <c r="D246" s="4">
        <v>45222.467361111114</v>
      </c>
    </row>
    <row r="247" spans="1:4" x14ac:dyDescent="0.3">
      <c r="A247" t="s">
        <v>253</v>
      </c>
      <c r="B247">
        <v>3</v>
      </c>
      <c r="C247">
        <v>120</v>
      </c>
      <c r="D247" s="4">
        <v>45228.100694444445</v>
      </c>
    </row>
    <row r="248" spans="1:4" x14ac:dyDescent="0.3">
      <c r="A248" t="s">
        <v>254</v>
      </c>
      <c r="B248">
        <v>1</v>
      </c>
      <c r="C248">
        <v>80</v>
      </c>
      <c r="D248" s="4">
        <v>45221.481944444444</v>
      </c>
    </row>
    <row r="249" spans="1:4" x14ac:dyDescent="0.3">
      <c r="A249" t="s">
        <v>255</v>
      </c>
      <c r="B249">
        <v>2</v>
      </c>
      <c r="C249">
        <v>100</v>
      </c>
      <c r="D249" s="4">
        <v>45228.848611111112</v>
      </c>
    </row>
    <row r="250" spans="1:4" x14ac:dyDescent="0.3">
      <c r="A250" t="s">
        <v>256</v>
      </c>
      <c r="B250">
        <v>1</v>
      </c>
      <c r="C250">
        <v>69</v>
      </c>
      <c r="D250" s="4">
        <v>45206.162499999999</v>
      </c>
    </row>
    <row r="251" spans="1:4" x14ac:dyDescent="0.3">
      <c r="A251" t="s">
        <v>257</v>
      </c>
      <c r="B251">
        <v>3</v>
      </c>
      <c r="C251">
        <v>156</v>
      </c>
      <c r="D251" s="4">
        <v>45226.586805555555</v>
      </c>
    </row>
    <row r="252" spans="1:4" x14ac:dyDescent="0.3">
      <c r="A252" t="s">
        <v>258</v>
      </c>
      <c r="B252">
        <v>1</v>
      </c>
      <c r="C252">
        <v>83</v>
      </c>
      <c r="D252" s="4">
        <v>45221.27847222222</v>
      </c>
    </row>
    <row r="253" spans="1:4" x14ac:dyDescent="0.3">
      <c r="A253" t="s">
        <v>259</v>
      </c>
      <c r="B253">
        <v>3</v>
      </c>
      <c r="C253">
        <v>233</v>
      </c>
      <c r="D253" s="4">
        <v>45227.724305555559</v>
      </c>
    </row>
    <row r="254" spans="1:4" x14ac:dyDescent="0.3">
      <c r="A254" t="s">
        <v>260</v>
      </c>
      <c r="B254">
        <v>1</v>
      </c>
      <c r="C254">
        <v>115</v>
      </c>
      <c r="D254" s="4">
        <v>45202.717361111114</v>
      </c>
    </row>
    <row r="255" spans="1:4" x14ac:dyDescent="0.3">
      <c r="A255" t="s">
        <v>261</v>
      </c>
      <c r="B255">
        <v>2</v>
      </c>
      <c r="C255">
        <v>150</v>
      </c>
      <c r="D255" s="4">
        <v>45221.197916666664</v>
      </c>
    </row>
    <row r="256" spans="1:4" x14ac:dyDescent="0.3">
      <c r="A256" t="s">
        <v>262</v>
      </c>
      <c r="B256">
        <v>2</v>
      </c>
      <c r="C256">
        <v>105</v>
      </c>
      <c r="D256" s="4">
        <v>45219.181250000001</v>
      </c>
    </row>
    <row r="257" spans="1:4" x14ac:dyDescent="0.3">
      <c r="A257" t="s">
        <v>263</v>
      </c>
      <c r="B257">
        <v>1</v>
      </c>
      <c r="C257">
        <v>66</v>
      </c>
      <c r="D257" s="4">
        <v>45227.005555555559</v>
      </c>
    </row>
    <row r="258" spans="1:4" x14ac:dyDescent="0.3">
      <c r="A258" t="s">
        <v>264</v>
      </c>
      <c r="B258">
        <v>2</v>
      </c>
      <c r="C258">
        <v>130</v>
      </c>
      <c r="D258" s="4">
        <v>45220.469444444447</v>
      </c>
    </row>
    <row r="259" spans="1:4" x14ac:dyDescent="0.3">
      <c r="A259" t="s">
        <v>265</v>
      </c>
      <c r="B259">
        <v>3</v>
      </c>
      <c r="C259">
        <v>167</v>
      </c>
      <c r="D259" s="4">
        <v>45210.007638888892</v>
      </c>
    </row>
    <row r="260" spans="1:4" x14ac:dyDescent="0.3">
      <c r="A260" t="s">
        <v>266</v>
      </c>
      <c r="B260">
        <v>2</v>
      </c>
      <c r="C260">
        <v>114</v>
      </c>
      <c r="D260" s="4">
        <v>45212.200694444444</v>
      </c>
    </row>
    <row r="261" spans="1:4" x14ac:dyDescent="0.3">
      <c r="A261" t="s">
        <v>267</v>
      </c>
      <c r="B261">
        <v>1</v>
      </c>
      <c r="C261">
        <v>103</v>
      </c>
      <c r="D261" s="4">
        <v>45213.960416666669</v>
      </c>
    </row>
    <row r="262" spans="1:4" x14ac:dyDescent="0.3">
      <c r="A262" t="s">
        <v>268</v>
      </c>
      <c r="B262">
        <v>1</v>
      </c>
      <c r="C262">
        <v>42</v>
      </c>
      <c r="D262" s="4">
        <v>45204.895833333336</v>
      </c>
    </row>
    <row r="263" spans="1:4" x14ac:dyDescent="0.3">
      <c r="A263" t="s">
        <v>269</v>
      </c>
      <c r="B263">
        <v>4</v>
      </c>
      <c r="C263">
        <v>237</v>
      </c>
      <c r="D263" s="4">
        <v>45220.847916666666</v>
      </c>
    </row>
    <row r="264" spans="1:4" x14ac:dyDescent="0.3">
      <c r="A264" t="s">
        <v>270</v>
      </c>
      <c r="B264">
        <v>1</v>
      </c>
      <c r="C264">
        <v>5</v>
      </c>
      <c r="D264" s="4">
        <v>45203.35833333333</v>
      </c>
    </row>
    <row r="265" spans="1:4" x14ac:dyDescent="0.3">
      <c r="A265" t="s">
        <v>271</v>
      </c>
      <c r="B265">
        <v>3</v>
      </c>
      <c r="C265">
        <v>176</v>
      </c>
      <c r="D265" s="4">
        <v>45227.915277777778</v>
      </c>
    </row>
    <row r="266" spans="1:4" x14ac:dyDescent="0.3">
      <c r="A266" t="s">
        <v>272</v>
      </c>
      <c r="B266">
        <v>2</v>
      </c>
      <c r="C266">
        <v>71</v>
      </c>
      <c r="D266" s="4">
        <v>45221.857638888891</v>
      </c>
    </row>
    <row r="267" spans="1:4" x14ac:dyDescent="0.3">
      <c r="A267" t="s">
        <v>273</v>
      </c>
      <c r="B267">
        <v>2</v>
      </c>
      <c r="C267">
        <v>85</v>
      </c>
      <c r="D267" s="4">
        <v>45218.127083333333</v>
      </c>
    </row>
    <row r="268" spans="1:4" x14ac:dyDescent="0.3">
      <c r="A268" t="s">
        <v>274</v>
      </c>
      <c r="B268">
        <v>2</v>
      </c>
      <c r="C268">
        <v>120</v>
      </c>
      <c r="D268" s="4">
        <v>45227.393055555556</v>
      </c>
    </row>
    <row r="269" spans="1:4" x14ac:dyDescent="0.3">
      <c r="A269" t="s">
        <v>275</v>
      </c>
      <c r="B269">
        <v>1</v>
      </c>
      <c r="C269">
        <v>73</v>
      </c>
      <c r="D269" s="4">
        <v>45222.415277777778</v>
      </c>
    </row>
    <row r="270" spans="1:4" x14ac:dyDescent="0.3">
      <c r="A270" t="s">
        <v>276</v>
      </c>
      <c r="B270">
        <v>1</v>
      </c>
      <c r="C270">
        <v>34</v>
      </c>
      <c r="D270" s="4">
        <v>45205.191666666666</v>
      </c>
    </row>
    <row r="271" spans="1:4" x14ac:dyDescent="0.3">
      <c r="A271" t="s">
        <v>277</v>
      </c>
      <c r="B271">
        <v>1</v>
      </c>
      <c r="C271">
        <v>69</v>
      </c>
      <c r="D271" s="4">
        <v>45221.50277777778</v>
      </c>
    </row>
    <row r="272" spans="1:4" x14ac:dyDescent="0.3">
      <c r="A272" t="s">
        <v>278</v>
      </c>
      <c r="B272">
        <v>2</v>
      </c>
      <c r="C272">
        <v>92</v>
      </c>
      <c r="D272" s="4">
        <v>45210.689583333333</v>
      </c>
    </row>
    <row r="273" spans="1:4" x14ac:dyDescent="0.3">
      <c r="A273" t="s">
        <v>279</v>
      </c>
      <c r="B273">
        <v>1</v>
      </c>
      <c r="C273">
        <v>108</v>
      </c>
      <c r="D273" s="4">
        <v>45213.597916666666</v>
      </c>
    </row>
    <row r="274" spans="1:4" x14ac:dyDescent="0.3">
      <c r="A274" t="s">
        <v>280</v>
      </c>
      <c r="B274">
        <v>2</v>
      </c>
      <c r="C274">
        <v>136</v>
      </c>
      <c r="D274" s="4">
        <v>45205.47152777778</v>
      </c>
    </row>
    <row r="275" spans="1:4" x14ac:dyDescent="0.3">
      <c r="A275" t="s">
        <v>281</v>
      </c>
      <c r="B275">
        <v>1</v>
      </c>
      <c r="C275">
        <v>14</v>
      </c>
      <c r="D275" s="4">
        <v>45223.450694444444</v>
      </c>
    </row>
    <row r="276" spans="1:4" x14ac:dyDescent="0.3">
      <c r="A276" t="s">
        <v>282</v>
      </c>
      <c r="B276">
        <v>2</v>
      </c>
      <c r="C276">
        <v>145</v>
      </c>
      <c r="D276" s="4">
        <v>45230.776388888888</v>
      </c>
    </row>
    <row r="277" spans="1:4" x14ac:dyDescent="0.3">
      <c r="A277" t="s">
        <v>283</v>
      </c>
      <c r="B277">
        <v>3</v>
      </c>
      <c r="C277">
        <v>239</v>
      </c>
      <c r="D277" s="4">
        <v>45225.979166666664</v>
      </c>
    </row>
    <row r="278" spans="1:4" x14ac:dyDescent="0.3">
      <c r="A278" t="s">
        <v>284</v>
      </c>
      <c r="B278">
        <v>1</v>
      </c>
      <c r="C278">
        <v>99</v>
      </c>
      <c r="D278" s="4">
        <v>45205.793749999997</v>
      </c>
    </row>
    <row r="279" spans="1:4" x14ac:dyDescent="0.3">
      <c r="A279" t="s">
        <v>285</v>
      </c>
      <c r="B279">
        <v>1</v>
      </c>
      <c r="C279">
        <v>60</v>
      </c>
      <c r="D279" s="4">
        <v>45214.893750000003</v>
      </c>
    </row>
    <row r="280" spans="1:4" x14ac:dyDescent="0.3">
      <c r="A280" t="s">
        <v>286</v>
      </c>
      <c r="B280">
        <v>1</v>
      </c>
      <c r="C280">
        <v>63</v>
      </c>
      <c r="D280" s="4">
        <v>45213.342361111114</v>
      </c>
    </row>
    <row r="281" spans="1:4" x14ac:dyDescent="0.3">
      <c r="A281" t="s">
        <v>287</v>
      </c>
      <c r="B281">
        <v>2</v>
      </c>
      <c r="C281">
        <v>151</v>
      </c>
      <c r="D281" s="4">
        <v>45218.647916666669</v>
      </c>
    </row>
    <row r="282" spans="1:4" x14ac:dyDescent="0.3">
      <c r="A282" t="s">
        <v>288</v>
      </c>
      <c r="B282">
        <v>1</v>
      </c>
      <c r="C282">
        <v>59</v>
      </c>
      <c r="D282" s="4">
        <v>45221.376388888886</v>
      </c>
    </row>
    <row r="283" spans="1:4" x14ac:dyDescent="0.3">
      <c r="A283" t="s">
        <v>289</v>
      </c>
      <c r="B283">
        <v>1</v>
      </c>
      <c r="C283">
        <v>78</v>
      </c>
      <c r="D283" s="4">
        <v>45207.526388888888</v>
      </c>
    </row>
    <row r="284" spans="1:4" x14ac:dyDescent="0.3">
      <c r="A284" t="s">
        <v>290</v>
      </c>
      <c r="B284">
        <v>2</v>
      </c>
      <c r="C284">
        <v>168</v>
      </c>
      <c r="D284" s="4">
        <v>45226.659722222219</v>
      </c>
    </row>
    <row r="285" spans="1:4" x14ac:dyDescent="0.3">
      <c r="A285" t="s">
        <v>291</v>
      </c>
      <c r="B285">
        <v>1</v>
      </c>
      <c r="C285">
        <v>74</v>
      </c>
      <c r="D285" s="4">
        <v>45226.37777777778</v>
      </c>
    </row>
    <row r="286" spans="1:4" x14ac:dyDescent="0.3">
      <c r="A286" t="s">
        <v>292</v>
      </c>
      <c r="B286">
        <v>2</v>
      </c>
      <c r="C286">
        <v>223</v>
      </c>
      <c r="D286" s="4">
        <v>45228.880555555559</v>
      </c>
    </row>
    <row r="287" spans="1:4" x14ac:dyDescent="0.3">
      <c r="A287" t="s">
        <v>293</v>
      </c>
      <c r="B287">
        <v>1</v>
      </c>
      <c r="C287">
        <v>99</v>
      </c>
      <c r="D287" s="4">
        <v>45219.683333333334</v>
      </c>
    </row>
    <row r="288" spans="1:4" x14ac:dyDescent="0.3">
      <c r="A288" t="s">
        <v>294</v>
      </c>
      <c r="B288">
        <v>1</v>
      </c>
      <c r="C288">
        <v>72</v>
      </c>
      <c r="D288" s="4">
        <v>45230.997916666667</v>
      </c>
    </row>
    <row r="289" spans="1:4" x14ac:dyDescent="0.3">
      <c r="A289" t="s">
        <v>295</v>
      </c>
      <c r="B289">
        <v>2</v>
      </c>
      <c r="C289">
        <v>61</v>
      </c>
      <c r="D289" s="4">
        <v>45230.731944444444</v>
      </c>
    </row>
    <row r="290" spans="1:4" x14ac:dyDescent="0.3">
      <c r="A290" t="s">
        <v>296</v>
      </c>
      <c r="B290">
        <v>1</v>
      </c>
      <c r="C290">
        <v>89</v>
      </c>
      <c r="D290" s="4">
        <v>45225.77847222222</v>
      </c>
    </row>
    <row r="291" spans="1:4" x14ac:dyDescent="0.3">
      <c r="A291" t="s">
        <v>297</v>
      </c>
      <c r="B291">
        <v>2</v>
      </c>
      <c r="C291">
        <v>137</v>
      </c>
      <c r="D291" s="4">
        <v>45225.288888888892</v>
      </c>
    </row>
    <row r="292" spans="1:4" x14ac:dyDescent="0.3">
      <c r="A292" t="s">
        <v>298</v>
      </c>
      <c r="B292">
        <v>2</v>
      </c>
      <c r="C292">
        <v>164</v>
      </c>
      <c r="D292" s="4">
        <v>45230.061111111114</v>
      </c>
    </row>
    <row r="293" spans="1:4" x14ac:dyDescent="0.3">
      <c r="A293" t="s">
        <v>299</v>
      </c>
      <c r="B293">
        <v>3</v>
      </c>
      <c r="C293">
        <v>209</v>
      </c>
      <c r="D293" s="4">
        <v>45202.695138888892</v>
      </c>
    </row>
    <row r="294" spans="1:4" x14ac:dyDescent="0.3">
      <c r="A294" t="s">
        <v>300</v>
      </c>
      <c r="B294">
        <v>2</v>
      </c>
      <c r="C294">
        <v>103</v>
      </c>
      <c r="D294" s="4">
        <v>45220.927777777775</v>
      </c>
    </row>
    <row r="295" spans="1:4" x14ac:dyDescent="0.3">
      <c r="A295" t="s">
        <v>301</v>
      </c>
      <c r="B295">
        <v>1</v>
      </c>
      <c r="C295">
        <v>53</v>
      </c>
      <c r="D295" s="4">
        <v>45222.602777777778</v>
      </c>
    </row>
    <row r="296" spans="1:4" x14ac:dyDescent="0.3">
      <c r="A296" t="s">
        <v>302</v>
      </c>
      <c r="B296">
        <v>1</v>
      </c>
      <c r="C296">
        <v>25</v>
      </c>
      <c r="D296" s="4">
        <v>45205.474305555559</v>
      </c>
    </row>
    <row r="297" spans="1:4" x14ac:dyDescent="0.3">
      <c r="A297" t="s">
        <v>303</v>
      </c>
      <c r="B297">
        <v>3</v>
      </c>
      <c r="C297">
        <v>133</v>
      </c>
      <c r="D297" s="4">
        <v>45229.39166666667</v>
      </c>
    </row>
    <row r="298" spans="1:4" x14ac:dyDescent="0.3">
      <c r="A298" t="s">
        <v>304</v>
      </c>
      <c r="B298">
        <v>2</v>
      </c>
      <c r="C298">
        <v>133</v>
      </c>
      <c r="D298" s="4">
        <v>45213.446527777778</v>
      </c>
    </row>
    <row r="299" spans="1:4" x14ac:dyDescent="0.3">
      <c r="A299" t="s">
        <v>305</v>
      </c>
      <c r="B299">
        <v>3</v>
      </c>
      <c r="C299">
        <v>204</v>
      </c>
      <c r="D299" s="4">
        <v>45219.076388888891</v>
      </c>
    </row>
    <row r="300" spans="1:4" x14ac:dyDescent="0.3">
      <c r="A300" t="s">
        <v>306</v>
      </c>
      <c r="B300">
        <v>4</v>
      </c>
      <c r="C300">
        <v>237</v>
      </c>
      <c r="D300" s="4">
        <v>45223.759722222225</v>
      </c>
    </row>
    <row r="301" spans="1:4" x14ac:dyDescent="0.3">
      <c r="A301" t="s">
        <v>307</v>
      </c>
      <c r="B301">
        <v>3</v>
      </c>
      <c r="C301">
        <v>270</v>
      </c>
      <c r="D301" s="4">
        <v>45215.990277777775</v>
      </c>
    </row>
    <row r="302" spans="1:4" x14ac:dyDescent="0.3">
      <c r="A302" t="s">
        <v>308</v>
      </c>
      <c r="B302">
        <v>1</v>
      </c>
      <c r="C302">
        <v>61</v>
      </c>
      <c r="D302" s="4">
        <v>45202.779166666667</v>
      </c>
    </row>
    <row r="303" spans="1:4" x14ac:dyDescent="0.3">
      <c r="A303" t="s">
        <v>309</v>
      </c>
      <c r="B303">
        <v>1</v>
      </c>
      <c r="C303">
        <v>10</v>
      </c>
      <c r="D303" s="4">
        <v>45204.47152777778</v>
      </c>
    </row>
    <row r="304" spans="1:4" x14ac:dyDescent="0.3">
      <c r="A304" t="s">
        <v>310</v>
      </c>
      <c r="B304">
        <v>2</v>
      </c>
      <c r="C304">
        <v>177</v>
      </c>
      <c r="D304" s="4">
        <v>45230.863888888889</v>
      </c>
    </row>
    <row r="305" spans="1:4" x14ac:dyDescent="0.3">
      <c r="A305" t="s">
        <v>311</v>
      </c>
      <c r="B305">
        <v>2</v>
      </c>
      <c r="C305">
        <v>92</v>
      </c>
      <c r="D305" s="4">
        <v>45223.400694444441</v>
      </c>
    </row>
    <row r="306" spans="1:4" x14ac:dyDescent="0.3">
      <c r="A306" t="s">
        <v>312</v>
      </c>
      <c r="B306">
        <v>1</v>
      </c>
      <c r="C306">
        <v>91</v>
      </c>
      <c r="D306" s="4">
        <v>45219.920138888891</v>
      </c>
    </row>
    <row r="307" spans="1:4" x14ac:dyDescent="0.3">
      <c r="A307" t="s">
        <v>313</v>
      </c>
      <c r="B307">
        <v>1</v>
      </c>
      <c r="C307">
        <v>97</v>
      </c>
      <c r="D307" s="4">
        <v>45209.724999999999</v>
      </c>
    </row>
    <row r="308" spans="1:4" x14ac:dyDescent="0.3">
      <c r="A308" t="s">
        <v>314</v>
      </c>
      <c r="B308">
        <v>2</v>
      </c>
      <c r="C308">
        <v>61</v>
      </c>
      <c r="D308" s="4">
        <v>45226.90625</v>
      </c>
    </row>
    <row r="309" spans="1:4" x14ac:dyDescent="0.3">
      <c r="A309" t="s">
        <v>315</v>
      </c>
      <c r="B309">
        <v>1</v>
      </c>
      <c r="C309">
        <v>61</v>
      </c>
      <c r="D309" s="4">
        <v>45204.905555555553</v>
      </c>
    </row>
    <row r="310" spans="1:4" x14ac:dyDescent="0.3">
      <c r="A310" t="s">
        <v>316</v>
      </c>
      <c r="B310">
        <v>1</v>
      </c>
      <c r="C310">
        <v>83</v>
      </c>
      <c r="D310" s="4">
        <v>45226.988194444442</v>
      </c>
    </row>
    <row r="311" spans="1:4" x14ac:dyDescent="0.3">
      <c r="A311" t="s">
        <v>317</v>
      </c>
      <c r="B311">
        <v>3</v>
      </c>
      <c r="C311">
        <v>114</v>
      </c>
      <c r="D311" s="4">
        <v>45229.670138888891</v>
      </c>
    </row>
    <row r="312" spans="1:4" x14ac:dyDescent="0.3">
      <c r="A312" t="s">
        <v>318</v>
      </c>
      <c r="B312">
        <v>2</v>
      </c>
      <c r="C312">
        <v>170</v>
      </c>
      <c r="D312" s="4">
        <v>45220.893750000003</v>
      </c>
    </row>
    <row r="313" spans="1:4" x14ac:dyDescent="0.3">
      <c r="A313" t="s">
        <v>319</v>
      </c>
      <c r="B313">
        <v>1</v>
      </c>
      <c r="C313">
        <v>62</v>
      </c>
      <c r="D313" s="4">
        <v>45230.26458333333</v>
      </c>
    </row>
    <row r="314" spans="1:4" x14ac:dyDescent="0.3">
      <c r="A314" t="s">
        <v>320</v>
      </c>
      <c r="B314">
        <v>2</v>
      </c>
      <c r="C314">
        <v>39</v>
      </c>
      <c r="D314" s="4">
        <v>45230.633333333331</v>
      </c>
    </row>
    <row r="315" spans="1:4" x14ac:dyDescent="0.3">
      <c r="A315" t="s">
        <v>321</v>
      </c>
      <c r="B315">
        <v>1</v>
      </c>
      <c r="C315">
        <v>73</v>
      </c>
      <c r="D315" s="4">
        <v>45207.17291666667</v>
      </c>
    </row>
    <row r="316" spans="1:4" x14ac:dyDescent="0.3">
      <c r="A316" t="s">
        <v>322</v>
      </c>
      <c r="B316">
        <v>3</v>
      </c>
      <c r="C316">
        <v>159</v>
      </c>
      <c r="D316" s="4">
        <v>45216.970138888886</v>
      </c>
    </row>
    <row r="317" spans="1:4" x14ac:dyDescent="0.3">
      <c r="A317" t="s">
        <v>323</v>
      </c>
      <c r="B317">
        <v>1</v>
      </c>
      <c r="C317">
        <v>44</v>
      </c>
      <c r="D317" s="4">
        <v>45225.147222222222</v>
      </c>
    </row>
    <row r="318" spans="1:4" x14ac:dyDescent="0.3">
      <c r="A318" t="s">
        <v>324</v>
      </c>
      <c r="B318">
        <v>1</v>
      </c>
      <c r="C318">
        <v>56</v>
      </c>
      <c r="D318" s="4">
        <v>45201.30972222222</v>
      </c>
    </row>
    <row r="319" spans="1:4" x14ac:dyDescent="0.3">
      <c r="A319" t="s">
        <v>325</v>
      </c>
      <c r="B319">
        <v>1</v>
      </c>
      <c r="C319">
        <v>100</v>
      </c>
      <c r="D319" s="4">
        <v>45220.811805555553</v>
      </c>
    </row>
    <row r="320" spans="1:4" x14ac:dyDescent="0.3">
      <c r="A320" t="s">
        <v>326</v>
      </c>
      <c r="B320">
        <v>1</v>
      </c>
      <c r="C320">
        <v>61</v>
      </c>
      <c r="D320" s="4">
        <v>45202.161805555559</v>
      </c>
    </row>
    <row r="321" spans="1:4" x14ac:dyDescent="0.3">
      <c r="A321" t="s">
        <v>327</v>
      </c>
      <c r="B321">
        <v>1</v>
      </c>
      <c r="C321">
        <v>119</v>
      </c>
      <c r="D321" s="4">
        <v>45228.651388888888</v>
      </c>
    </row>
    <row r="322" spans="1:4" x14ac:dyDescent="0.3">
      <c r="A322" t="s">
        <v>328</v>
      </c>
      <c r="B322">
        <v>1</v>
      </c>
      <c r="C322">
        <v>48</v>
      </c>
      <c r="D322" s="4">
        <v>45216.760416666664</v>
      </c>
    </row>
    <row r="323" spans="1:4" x14ac:dyDescent="0.3">
      <c r="A323" t="s">
        <v>329</v>
      </c>
      <c r="B323">
        <v>1</v>
      </c>
      <c r="C323">
        <v>28</v>
      </c>
      <c r="D323" s="4">
        <v>45222.179166666669</v>
      </c>
    </row>
    <row r="324" spans="1:4" x14ac:dyDescent="0.3">
      <c r="A324" t="s">
        <v>330</v>
      </c>
      <c r="B324">
        <v>1</v>
      </c>
      <c r="C324">
        <v>68</v>
      </c>
      <c r="D324" s="4">
        <v>45213.027083333334</v>
      </c>
    </row>
    <row r="325" spans="1:4" x14ac:dyDescent="0.3">
      <c r="A325" t="s">
        <v>331</v>
      </c>
      <c r="B325">
        <v>2</v>
      </c>
      <c r="C325">
        <v>146</v>
      </c>
      <c r="D325" s="4">
        <v>45221.049305555556</v>
      </c>
    </row>
    <row r="326" spans="1:4" x14ac:dyDescent="0.3">
      <c r="A326" t="s">
        <v>332</v>
      </c>
      <c r="B326">
        <v>2</v>
      </c>
      <c r="C326">
        <v>174</v>
      </c>
      <c r="D326" s="4">
        <v>45227.660416666666</v>
      </c>
    </row>
    <row r="327" spans="1:4" x14ac:dyDescent="0.3">
      <c r="A327" t="s">
        <v>333</v>
      </c>
      <c r="B327">
        <v>2</v>
      </c>
      <c r="C327">
        <v>130</v>
      </c>
      <c r="D327" s="4">
        <v>45216.709027777775</v>
      </c>
    </row>
    <row r="328" spans="1:4" x14ac:dyDescent="0.3">
      <c r="A328" t="s">
        <v>334</v>
      </c>
      <c r="B328">
        <v>2</v>
      </c>
      <c r="C328">
        <v>154</v>
      </c>
      <c r="D328" s="4">
        <v>45212.626388888886</v>
      </c>
    </row>
    <row r="329" spans="1:4" x14ac:dyDescent="0.3">
      <c r="A329" t="s">
        <v>335</v>
      </c>
      <c r="B329">
        <v>5</v>
      </c>
      <c r="C329">
        <v>312</v>
      </c>
      <c r="D329" s="4">
        <v>45224.288194444445</v>
      </c>
    </row>
    <row r="330" spans="1:4" x14ac:dyDescent="0.3">
      <c r="A330" t="s">
        <v>336</v>
      </c>
      <c r="B330">
        <v>2</v>
      </c>
      <c r="C330">
        <v>122</v>
      </c>
      <c r="D330" s="4">
        <v>45213.066666666666</v>
      </c>
    </row>
    <row r="331" spans="1:4" x14ac:dyDescent="0.3">
      <c r="A331" t="s">
        <v>337</v>
      </c>
      <c r="B331">
        <v>2</v>
      </c>
      <c r="C331">
        <v>78</v>
      </c>
      <c r="D331" s="4">
        <v>45210.03125</v>
      </c>
    </row>
    <row r="332" spans="1:4" x14ac:dyDescent="0.3">
      <c r="A332" t="s">
        <v>338</v>
      </c>
      <c r="B332">
        <v>1</v>
      </c>
      <c r="C332">
        <v>60</v>
      </c>
      <c r="D332" s="4">
        <v>45220.15902777778</v>
      </c>
    </row>
    <row r="333" spans="1:4" x14ac:dyDescent="0.3">
      <c r="A333" t="s">
        <v>339</v>
      </c>
      <c r="B333">
        <v>1</v>
      </c>
      <c r="C333">
        <v>110</v>
      </c>
      <c r="D333" s="4">
        <v>45210.168055555558</v>
      </c>
    </row>
    <row r="334" spans="1:4" x14ac:dyDescent="0.3">
      <c r="A334" t="s">
        <v>340</v>
      </c>
      <c r="B334">
        <v>1</v>
      </c>
      <c r="C334">
        <v>28</v>
      </c>
      <c r="D334" s="4">
        <v>45211.722916666666</v>
      </c>
    </row>
    <row r="335" spans="1:4" x14ac:dyDescent="0.3">
      <c r="A335" t="s">
        <v>341</v>
      </c>
      <c r="B335">
        <v>3</v>
      </c>
      <c r="C335">
        <v>109</v>
      </c>
      <c r="D335" s="4">
        <v>45226.84097222222</v>
      </c>
    </row>
    <row r="336" spans="1:4" x14ac:dyDescent="0.3">
      <c r="A336" t="s">
        <v>342</v>
      </c>
      <c r="B336">
        <v>3</v>
      </c>
      <c r="C336">
        <v>210</v>
      </c>
      <c r="D336" s="4">
        <v>45226.895138888889</v>
      </c>
    </row>
    <row r="337" spans="1:4" x14ac:dyDescent="0.3">
      <c r="A337" t="s">
        <v>343</v>
      </c>
      <c r="B337">
        <v>1</v>
      </c>
      <c r="C337">
        <v>46</v>
      </c>
      <c r="D337" s="4">
        <v>45222.652777777781</v>
      </c>
    </row>
    <row r="338" spans="1:4" x14ac:dyDescent="0.3">
      <c r="A338" t="s">
        <v>344</v>
      </c>
      <c r="B338">
        <v>1</v>
      </c>
      <c r="C338">
        <v>18</v>
      </c>
      <c r="D338" s="4">
        <v>45205.169444444444</v>
      </c>
    </row>
    <row r="339" spans="1:4" x14ac:dyDescent="0.3">
      <c r="A339" t="s">
        <v>345</v>
      </c>
      <c r="B339">
        <v>1</v>
      </c>
      <c r="C339">
        <v>15</v>
      </c>
      <c r="D339" s="4">
        <v>45222.584722222222</v>
      </c>
    </row>
    <row r="340" spans="1:4" x14ac:dyDescent="0.3">
      <c r="A340" t="s">
        <v>346</v>
      </c>
      <c r="B340">
        <v>1</v>
      </c>
      <c r="C340">
        <v>42</v>
      </c>
      <c r="D340" s="4">
        <v>45201.457638888889</v>
      </c>
    </row>
    <row r="341" spans="1:4" x14ac:dyDescent="0.3">
      <c r="A341" t="s">
        <v>347</v>
      </c>
      <c r="B341">
        <v>2</v>
      </c>
      <c r="C341">
        <v>72</v>
      </c>
      <c r="D341" s="4">
        <v>45226.729166666664</v>
      </c>
    </row>
    <row r="342" spans="1:4" x14ac:dyDescent="0.3">
      <c r="A342" t="s">
        <v>348</v>
      </c>
      <c r="B342">
        <v>2</v>
      </c>
      <c r="C342">
        <v>195</v>
      </c>
      <c r="D342" s="4">
        <v>45220.262499999997</v>
      </c>
    </row>
    <row r="343" spans="1:4" x14ac:dyDescent="0.3">
      <c r="A343" t="s">
        <v>349</v>
      </c>
      <c r="B343">
        <v>2</v>
      </c>
      <c r="C343">
        <v>113</v>
      </c>
      <c r="D343" s="4">
        <v>45212.240277777775</v>
      </c>
    </row>
    <row r="344" spans="1:4" x14ac:dyDescent="0.3">
      <c r="A344" t="s">
        <v>350</v>
      </c>
      <c r="B344">
        <v>2</v>
      </c>
      <c r="C344">
        <v>168</v>
      </c>
      <c r="D344" s="4">
        <v>45208.711111111108</v>
      </c>
    </row>
    <row r="345" spans="1:4" x14ac:dyDescent="0.3">
      <c r="A345" t="s">
        <v>351</v>
      </c>
      <c r="B345">
        <v>1</v>
      </c>
      <c r="C345">
        <v>68</v>
      </c>
      <c r="D345" s="4">
        <v>45202.912499999999</v>
      </c>
    </row>
    <row r="346" spans="1:4" x14ac:dyDescent="0.3">
      <c r="A346" t="s">
        <v>352</v>
      </c>
      <c r="B346">
        <v>1</v>
      </c>
      <c r="C346">
        <v>42</v>
      </c>
      <c r="D346" s="4">
        <v>45209.239583333336</v>
      </c>
    </row>
    <row r="347" spans="1:4" x14ac:dyDescent="0.3">
      <c r="A347" t="s">
        <v>353</v>
      </c>
      <c r="B347">
        <v>2</v>
      </c>
      <c r="C347">
        <v>88</v>
      </c>
      <c r="D347" s="4">
        <v>45205.480555555558</v>
      </c>
    </row>
    <row r="348" spans="1:4" x14ac:dyDescent="0.3">
      <c r="A348" t="s">
        <v>354</v>
      </c>
      <c r="B348">
        <v>2</v>
      </c>
      <c r="C348">
        <v>97</v>
      </c>
      <c r="D348" s="4">
        <v>45214.850694444445</v>
      </c>
    </row>
    <row r="349" spans="1:4" x14ac:dyDescent="0.3">
      <c r="A349" t="s">
        <v>355</v>
      </c>
      <c r="B349">
        <v>1</v>
      </c>
      <c r="C349">
        <v>36</v>
      </c>
      <c r="D349" s="4">
        <v>45225.177083333336</v>
      </c>
    </row>
    <row r="350" spans="1:4" x14ac:dyDescent="0.3">
      <c r="A350" t="s">
        <v>356</v>
      </c>
      <c r="B350">
        <v>1</v>
      </c>
      <c r="C350">
        <v>108</v>
      </c>
      <c r="D350" s="4">
        <v>45225.625694444447</v>
      </c>
    </row>
    <row r="351" spans="1:4" x14ac:dyDescent="0.3">
      <c r="A351" t="s">
        <v>357</v>
      </c>
      <c r="B351">
        <v>1</v>
      </c>
      <c r="C351">
        <v>108</v>
      </c>
      <c r="D351" s="4">
        <v>45211.73333333333</v>
      </c>
    </row>
    <row r="352" spans="1:4" x14ac:dyDescent="0.3">
      <c r="A352" t="s">
        <v>358</v>
      </c>
      <c r="B352">
        <v>2</v>
      </c>
      <c r="C352">
        <v>187</v>
      </c>
      <c r="D352" s="4">
        <v>45215.775000000001</v>
      </c>
    </row>
    <row r="353" spans="1:4" x14ac:dyDescent="0.3">
      <c r="A353" t="s">
        <v>359</v>
      </c>
      <c r="B353">
        <v>1</v>
      </c>
      <c r="C353">
        <v>43</v>
      </c>
      <c r="D353" s="4">
        <v>45228.086111111108</v>
      </c>
    </row>
    <row r="354" spans="1:4" x14ac:dyDescent="0.3">
      <c r="A354" t="s">
        <v>360</v>
      </c>
      <c r="B354">
        <v>1</v>
      </c>
      <c r="C354">
        <v>63</v>
      </c>
      <c r="D354" s="4">
        <v>45209.53125</v>
      </c>
    </row>
    <row r="355" spans="1:4" x14ac:dyDescent="0.3">
      <c r="A355" t="s">
        <v>361</v>
      </c>
      <c r="B355">
        <v>1</v>
      </c>
      <c r="C355">
        <v>14</v>
      </c>
      <c r="D355" s="4">
        <v>45223.647916666669</v>
      </c>
    </row>
    <row r="356" spans="1:4" x14ac:dyDescent="0.3">
      <c r="A356" t="s">
        <v>362</v>
      </c>
      <c r="B356">
        <v>1</v>
      </c>
      <c r="C356">
        <v>93</v>
      </c>
      <c r="D356" s="4">
        <v>45213.577777777777</v>
      </c>
    </row>
    <row r="357" spans="1:4" x14ac:dyDescent="0.3">
      <c r="A357" t="s">
        <v>363</v>
      </c>
      <c r="B357">
        <v>1</v>
      </c>
      <c r="C357">
        <v>25</v>
      </c>
      <c r="D357" s="4">
        <v>45210.836111111108</v>
      </c>
    </row>
    <row r="358" spans="1:4" x14ac:dyDescent="0.3">
      <c r="A358" t="s">
        <v>364</v>
      </c>
      <c r="B358">
        <v>1</v>
      </c>
      <c r="C358">
        <v>61</v>
      </c>
      <c r="D358" s="4">
        <v>45214.613194444442</v>
      </c>
    </row>
    <row r="359" spans="1:4" x14ac:dyDescent="0.3">
      <c r="A359" t="s">
        <v>365</v>
      </c>
      <c r="B359">
        <v>1</v>
      </c>
      <c r="C359">
        <v>66</v>
      </c>
      <c r="D359" s="4">
        <v>45228.736111111109</v>
      </c>
    </row>
    <row r="360" spans="1:4" x14ac:dyDescent="0.3">
      <c r="A360" t="s">
        <v>366</v>
      </c>
      <c r="B360">
        <v>1</v>
      </c>
      <c r="C360">
        <v>31</v>
      </c>
      <c r="D360" s="4">
        <v>45230.185416666667</v>
      </c>
    </row>
    <row r="361" spans="1:4" x14ac:dyDescent="0.3">
      <c r="A361" t="s">
        <v>367</v>
      </c>
      <c r="B361">
        <v>1</v>
      </c>
      <c r="C361">
        <v>48</v>
      </c>
      <c r="D361" s="4">
        <v>45216.078472222223</v>
      </c>
    </row>
    <row r="362" spans="1:4" x14ac:dyDescent="0.3">
      <c r="A362" t="s">
        <v>368</v>
      </c>
      <c r="B362">
        <v>1</v>
      </c>
      <c r="C362">
        <v>82</v>
      </c>
      <c r="D362" s="4">
        <v>45203.67291666667</v>
      </c>
    </row>
    <row r="363" spans="1:4" x14ac:dyDescent="0.3">
      <c r="A363" t="s">
        <v>369</v>
      </c>
      <c r="B363">
        <v>1</v>
      </c>
      <c r="C363">
        <v>115</v>
      </c>
      <c r="D363" s="4">
        <v>45211.706250000003</v>
      </c>
    </row>
    <row r="364" spans="1:4" x14ac:dyDescent="0.3">
      <c r="A364" t="s">
        <v>370</v>
      </c>
      <c r="B364">
        <v>1</v>
      </c>
      <c r="C364">
        <v>96</v>
      </c>
      <c r="D364" s="4">
        <v>45209.094444444447</v>
      </c>
    </row>
    <row r="365" spans="1:4" x14ac:dyDescent="0.3">
      <c r="A365" t="s">
        <v>371</v>
      </c>
      <c r="B365">
        <v>1</v>
      </c>
      <c r="C365">
        <v>98</v>
      </c>
      <c r="D365" s="4">
        <v>45208.194444444445</v>
      </c>
    </row>
    <row r="366" spans="1:4" x14ac:dyDescent="0.3">
      <c r="A366" t="s">
        <v>372</v>
      </c>
      <c r="B366">
        <v>1</v>
      </c>
      <c r="C366">
        <v>49</v>
      </c>
      <c r="D366" s="4">
        <v>45202.695138888892</v>
      </c>
    </row>
    <row r="367" spans="1:4" x14ac:dyDescent="0.3">
      <c r="A367" t="s">
        <v>373</v>
      </c>
      <c r="B367">
        <v>2</v>
      </c>
      <c r="C367">
        <v>69</v>
      </c>
      <c r="D367" s="4">
        <v>45220.390972222223</v>
      </c>
    </row>
    <row r="368" spans="1:4" x14ac:dyDescent="0.3">
      <c r="A368" t="s">
        <v>374</v>
      </c>
      <c r="B368">
        <v>3</v>
      </c>
      <c r="C368">
        <v>105</v>
      </c>
      <c r="D368" s="4">
        <v>45219.453472222223</v>
      </c>
    </row>
    <row r="369" spans="1:4" x14ac:dyDescent="0.3">
      <c r="A369" t="s">
        <v>375</v>
      </c>
      <c r="B369">
        <v>1</v>
      </c>
      <c r="C369">
        <v>70</v>
      </c>
      <c r="D369" s="4">
        <v>45229.751388888886</v>
      </c>
    </row>
    <row r="370" spans="1:4" x14ac:dyDescent="0.3">
      <c r="A370" t="s">
        <v>376</v>
      </c>
      <c r="B370">
        <v>2</v>
      </c>
      <c r="C370">
        <v>163</v>
      </c>
      <c r="D370" s="4">
        <v>45230.088194444441</v>
      </c>
    </row>
    <row r="371" spans="1:4" x14ac:dyDescent="0.3">
      <c r="A371" t="s">
        <v>377</v>
      </c>
      <c r="B371">
        <v>1</v>
      </c>
      <c r="C371">
        <v>35</v>
      </c>
      <c r="D371" s="4">
        <v>45206.768055555556</v>
      </c>
    </row>
    <row r="372" spans="1:4" x14ac:dyDescent="0.3">
      <c r="A372" t="s">
        <v>378</v>
      </c>
      <c r="B372">
        <v>1</v>
      </c>
      <c r="C372">
        <v>64</v>
      </c>
      <c r="D372" s="4">
        <v>45219.834027777775</v>
      </c>
    </row>
    <row r="373" spans="1:4" x14ac:dyDescent="0.3">
      <c r="A373" t="s">
        <v>379</v>
      </c>
      <c r="B373">
        <v>1</v>
      </c>
      <c r="C373">
        <v>66</v>
      </c>
      <c r="D373" s="4">
        <v>45204.931250000001</v>
      </c>
    </row>
    <row r="374" spans="1:4" x14ac:dyDescent="0.3">
      <c r="A374" t="s">
        <v>380</v>
      </c>
      <c r="B374">
        <v>1</v>
      </c>
      <c r="C374">
        <v>49</v>
      </c>
      <c r="D374" s="4">
        <v>45225.647916666669</v>
      </c>
    </row>
    <row r="375" spans="1:4" x14ac:dyDescent="0.3">
      <c r="A375" t="s">
        <v>381</v>
      </c>
      <c r="B375">
        <v>2</v>
      </c>
      <c r="C375">
        <v>196</v>
      </c>
      <c r="D375" s="4">
        <v>45228.672222222223</v>
      </c>
    </row>
    <row r="376" spans="1:4" x14ac:dyDescent="0.3">
      <c r="A376" t="s">
        <v>382</v>
      </c>
      <c r="B376">
        <v>2</v>
      </c>
      <c r="C376">
        <v>156</v>
      </c>
      <c r="D376" s="4">
        <v>45215.088888888888</v>
      </c>
    </row>
    <row r="377" spans="1:4" x14ac:dyDescent="0.3">
      <c r="A377" t="s">
        <v>383</v>
      </c>
      <c r="B377">
        <v>2</v>
      </c>
      <c r="C377">
        <v>94</v>
      </c>
      <c r="D377" s="4">
        <v>45220.743055555555</v>
      </c>
    </row>
    <row r="378" spans="1:4" x14ac:dyDescent="0.3">
      <c r="A378" t="s">
        <v>384</v>
      </c>
      <c r="B378">
        <v>3</v>
      </c>
      <c r="C378">
        <v>222</v>
      </c>
      <c r="D378" s="4">
        <v>45230.839583333334</v>
      </c>
    </row>
    <row r="379" spans="1:4" x14ac:dyDescent="0.3">
      <c r="A379" t="s">
        <v>385</v>
      </c>
      <c r="B379">
        <v>1</v>
      </c>
      <c r="C379">
        <v>74</v>
      </c>
      <c r="D379" s="4">
        <v>45215.015972222223</v>
      </c>
    </row>
    <row r="380" spans="1:4" x14ac:dyDescent="0.3">
      <c r="A380" t="s">
        <v>386</v>
      </c>
      <c r="B380">
        <v>1</v>
      </c>
      <c r="C380">
        <v>53</v>
      </c>
      <c r="D380" s="4">
        <v>45210.879861111112</v>
      </c>
    </row>
    <row r="381" spans="1:4" x14ac:dyDescent="0.3">
      <c r="A381" t="s">
        <v>387</v>
      </c>
      <c r="B381">
        <v>2</v>
      </c>
      <c r="C381">
        <v>114</v>
      </c>
      <c r="D381" s="4">
        <v>45230.868055555555</v>
      </c>
    </row>
    <row r="382" spans="1:4" x14ac:dyDescent="0.3">
      <c r="A382" t="s">
        <v>388</v>
      </c>
      <c r="B382">
        <v>3</v>
      </c>
      <c r="C382">
        <v>236</v>
      </c>
      <c r="D382" s="4">
        <v>45230.50277777778</v>
      </c>
    </row>
    <row r="383" spans="1:4" x14ac:dyDescent="0.3">
      <c r="A383" t="s">
        <v>389</v>
      </c>
      <c r="B383">
        <v>1</v>
      </c>
      <c r="C383">
        <v>10</v>
      </c>
      <c r="D383" s="4">
        <v>45216.865277777775</v>
      </c>
    </row>
    <row r="384" spans="1:4" x14ac:dyDescent="0.3">
      <c r="A384" t="s">
        <v>390</v>
      </c>
      <c r="B384">
        <v>1</v>
      </c>
      <c r="C384">
        <v>96</v>
      </c>
      <c r="D384" s="4">
        <v>45226.885416666664</v>
      </c>
    </row>
    <row r="385" spans="1:4" x14ac:dyDescent="0.3">
      <c r="A385" t="s">
        <v>391</v>
      </c>
      <c r="B385">
        <v>1</v>
      </c>
      <c r="C385">
        <v>15</v>
      </c>
      <c r="D385" s="4">
        <v>45201.780555555553</v>
      </c>
    </row>
    <row r="386" spans="1:4" x14ac:dyDescent="0.3">
      <c r="A386" t="s">
        <v>392</v>
      </c>
      <c r="B386">
        <v>1</v>
      </c>
      <c r="C386">
        <v>37</v>
      </c>
      <c r="D386" s="4">
        <v>45206.563888888886</v>
      </c>
    </row>
    <row r="387" spans="1:4" x14ac:dyDescent="0.3">
      <c r="A387" t="s">
        <v>393</v>
      </c>
      <c r="B387">
        <v>1</v>
      </c>
      <c r="C387">
        <v>100</v>
      </c>
      <c r="D387" s="4">
        <v>45224.831944444442</v>
      </c>
    </row>
    <row r="388" spans="1:4" x14ac:dyDescent="0.3">
      <c r="A388" t="s">
        <v>394</v>
      </c>
      <c r="B388">
        <v>1</v>
      </c>
      <c r="C388">
        <v>73</v>
      </c>
      <c r="D388" s="4">
        <v>45216.513888888891</v>
      </c>
    </row>
    <row r="389" spans="1:4" x14ac:dyDescent="0.3">
      <c r="A389" t="s">
        <v>395</v>
      </c>
      <c r="B389">
        <v>1</v>
      </c>
      <c r="C389">
        <v>94</v>
      </c>
      <c r="D389" s="4">
        <v>45217.488194444442</v>
      </c>
    </row>
    <row r="390" spans="1:4" x14ac:dyDescent="0.3">
      <c r="A390" t="s">
        <v>396</v>
      </c>
      <c r="B390">
        <v>1</v>
      </c>
      <c r="C390">
        <v>18</v>
      </c>
      <c r="D390" s="4">
        <v>45219.633333333331</v>
      </c>
    </row>
    <row r="391" spans="1:4" x14ac:dyDescent="0.3">
      <c r="A391" t="s">
        <v>397</v>
      </c>
      <c r="B391">
        <v>2</v>
      </c>
      <c r="C391">
        <v>136</v>
      </c>
      <c r="D391" s="4">
        <v>45230.303472222222</v>
      </c>
    </row>
    <row r="392" spans="1:4" x14ac:dyDescent="0.3">
      <c r="A392" t="s">
        <v>398</v>
      </c>
      <c r="B392">
        <v>1</v>
      </c>
      <c r="C392">
        <v>99</v>
      </c>
      <c r="D392" s="4">
        <v>45217.384722222225</v>
      </c>
    </row>
    <row r="393" spans="1:4" x14ac:dyDescent="0.3">
      <c r="A393" t="s">
        <v>399</v>
      </c>
      <c r="B393">
        <v>2</v>
      </c>
      <c r="C393">
        <v>110</v>
      </c>
      <c r="D393" s="4">
        <v>45230.40902777778</v>
      </c>
    </row>
    <row r="394" spans="1:4" x14ac:dyDescent="0.3">
      <c r="A394" t="s">
        <v>400</v>
      </c>
      <c r="B394">
        <v>1</v>
      </c>
      <c r="C394">
        <v>35</v>
      </c>
      <c r="D394" s="4">
        <v>45209.925694444442</v>
      </c>
    </row>
    <row r="395" spans="1:4" x14ac:dyDescent="0.3">
      <c r="A395" t="s">
        <v>401</v>
      </c>
      <c r="B395">
        <v>1</v>
      </c>
      <c r="C395">
        <v>36</v>
      </c>
      <c r="D395" s="4">
        <v>45222.938194444447</v>
      </c>
    </row>
    <row r="396" spans="1:4" x14ac:dyDescent="0.3">
      <c r="A396" t="s">
        <v>402</v>
      </c>
      <c r="B396">
        <v>3</v>
      </c>
      <c r="C396">
        <v>291</v>
      </c>
      <c r="D396" s="4">
        <v>45219.527083333334</v>
      </c>
    </row>
    <row r="397" spans="1:4" x14ac:dyDescent="0.3">
      <c r="A397" t="s">
        <v>403</v>
      </c>
      <c r="B397">
        <v>1</v>
      </c>
      <c r="C397">
        <v>5</v>
      </c>
      <c r="D397" s="4">
        <v>45203.213888888888</v>
      </c>
    </row>
    <row r="398" spans="1:4" x14ac:dyDescent="0.3">
      <c r="A398" t="s">
        <v>404</v>
      </c>
      <c r="B398">
        <v>2</v>
      </c>
      <c r="C398">
        <v>206</v>
      </c>
      <c r="D398" s="4">
        <v>45215.457638888889</v>
      </c>
    </row>
    <row r="399" spans="1:4" x14ac:dyDescent="0.3">
      <c r="A399" t="s">
        <v>405</v>
      </c>
      <c r="B399">
        <v>1</v>
      </c>
      <c r="C399">
        <v>32</v>
      </c>
      <c r="D399" s="4">
        <v>45207.011111111111</v>
      </c>
    </row>
    <row r="400" spans="1:4" x14ac:dyDescent="0.3">
      <c r="A400" t="s">
        <v>406</v>
      </c>
      <c r="B400">
        <v>2</v>
      </c>
      <c r="C400">
        <v>81</v>
      </c>
      <c r="D400" s="4">
        <v>45224.347916666666</v>
      </c>
    </row>
    <row r="401" spans="1:4" x14ac:dyDescent="0.3">
      <c r="A401" t="s">
        <v>407</v>
      </c>
      <c r="B401">
        <v>1</v>
      </c>
      <c r="C401">
        <v>59</v>
      </c>
      <c r="D401" s="4">
        <v>45218.011111111111</v>
      </c>
    </row>
    <row r="402" spans="1:4" x14ac:dyDescent="0.3">
      <c r="A402" t="s">
        <v>408</v>
      </c>
      <c r="B402">
        <v>1</v>
      </c>
      <c r="C402">
        <v>94</v>
      </c>
      <c r="D402" s="4">
        <v>45207.070833333331</v>
      </c>
    </row>
    <row r="403" spans="1:4" x14ac:dyDescent="0.3">
      <c r="A403" t="s">
        <v>409</v>
      </c>
      <c r="B403">
        <v>2</v>
      </c>
      <c r="C403">
        <v>75</v>
      </c>
      <c r="D403" s="4">
        <v>45230.913194444445</v>
      </c>
    </row>
    <row r="404" spans="1:4" x14ac:dyDescent="0.3">
      <c r="A404" t="s">
        <v>410</v>
      </c>
      <c r="B404">
        <v>1</v>
      </c>
      <c r="C404">
        <v>9</v>
      </c>
      <c r="D404" s="4">
        <v>45230.1875</v>
      </c>
    </row>
    <row r="405" spans="1:4" x14ac:dyDescent="0.3">
      <c r="A405" t="s">
        <v>411</v>
      </c>
      <c r="B405">
        <v>2</v>
      </c>
      <c r="C405">
        <v>140</v>
      </c>
      <c r="D405" s="4">
        <v>45209.354861111111</v>
      </c>
    </row>
    <row r="406" spans="1:4" x14ac:dyDescent="0.3">
      <c r="A406" t="s">
        <v>412</v>
      </c>
      <c r="B406">
        <v>1</v>
      </c>
      <c r="C406">
        <v>28</v>
      </c>
      <c r="D406" s="4">
        <v>45222.748611111114</v>
      </c>
    </row>
    <row r="407" spans="1:4" x14ac:dyDescent="0.3">
      <c r="A407" t="s">
        <v>413</v>
      </c>
      <c r="B407">
        <v>1</v>
      </c>
      <c r="C407">
        <v>103</v>
      </c>
      <c r="D407" s="4">
        <v>45215.743750000001</v>
      </c>
    </row>
    <row r="408" spans="1:4" x14ac:dyDescent="0.3">
      <c r="A408" t="s">
        <v>414</v>
      </c>
      <c r="B408">
        <v>2</v>
      </c>
      <c r="C408">
        <v>121</v>
      </c>
      <c r="D408" s="4">
        <v>45221.283333333333</v>
      </c>
    </row>
    <row r="409" spans="1:4" x14ac:dyDescent="0.3">
      <c r="A409" t="s">
        <v>415</v>
      </c>
      <c r="B409">
        <v>1</v>
      </c>
      <c r="C409">
        <v>103</v>
      </c>
      <c r="D409" s="4">
        <v>45207.908333333333</v>
      </c>
    </row>
    <row r="410" spans="1:4" x14ac:dyDescent="0.3">
      <c r="A410" t="s">
        <v>416</v>
      </c>
      <c r="B410">
        <v>2</v>
      </c>
      <c r="C410">
        <v>137</v>
      </c>
      <c r="D410" s="4">
        <v>45219.106249999997</v>
      </c>
    </row>
    <row r="411" spans="1:4" x14ac:dyDescent="0.3">
      <c r="A411" t="s">
        <v>417</v>
      </c>
      <c r="B411">
        <v>1</v>
      </c>
      <c r="C411">
        <v>98</v>
      </c>
      <c r="D411" s="4">
        <v>45214.697916666664</v>
      </c>
    </row>
    <row r="412" spans="1:4" x14ac:dyDescent="0.3">
      <c r="A412" t="s">
        <v>418</v>
      </c>
      <c r="B412">
        <v>1</v>
      </c>
      <c r="C412">
        <v>52</v>
      </c>
      <c r="D412" s="4">
        <v>45226.747916666667</v>
      </c>
    </row>
    <row r="413" spans="1:4" x14ac:dyDescent="0.3">
      <c r="A413" t="s">
        <v>419</v>
      </c>
      <c r="B413">
        <v>2</v>
      </c>
      <c r="C413">
        <v>203</v>
      </c>
      <c r="D413" s="4">
        <v>45227.447916666664</v>
      </c>
    </row>
    <row r="414" spans="1:4" x14ac:dyDescent="0.3">
      <c r="A414" t="s">
        <v>420</v>
      </c>
      <c r="B414">
        <v>2</v>
      </c>
      <c r="C414">
        <v>119</v>
      </c>
      <c r="D414" s="4">
        <v>45210.908333333333</v>
      </c>
    </row>
    <row r="415" spans="1:4" x14ac:dyDescent="0.3">
      <c r="A415" t="s">
        <v>421</v>
      </c>
      <c r="B415">
        <v>2</v>
      </c>
      <c r="C415">
        <v>146</v>
      </c>
      <c r="D415" s="4">
        <v>45209.940972222219</v>
      </c>
    </row>
    <row r="416" spans="1:4" x14ac:dyDescent="0.3">
      <c r="A416" t="s">
        <v>422</v>
      </c>
      <c r="B416">
        <v>1</v>
      </c>
      <c r="C416">
        <v>53</v>
      </c>
      <c r="D416" s="4">
        <v>45202.686111111114</v>
      </c>
    </row>
    <row r="417" spans="1:4" x14ac:dyDescent="0.3">
      <c r="A417" t="s">
        <v>423</v>
      </c>
      <c r="B417">
        <v>2</v>
      </c>
      <c r="C417">
        <v>47</v>
      </c>
      <c r="D417" s="4">
        <v>45225.061805555553</v>
      </c>
    </row>
    <row r="418" spans="1:4" x14ac:dyDescent="0.3">
      <c r="A418" t="s">
        <v>424</v>
      </c>
      <c r="B418">
        <v>3</v>
      </c>
      <c r="C418">
        <v>235</v>
      </c>
      <c r="D418" s="4">
        <v>45225.921527777777</v>
      </c>
    </row>
    <row r="419" spans="1:4" x14ac:dyDescent="0.3">
      <c r="A419" t="s">
        <v>425</v>
      </c>
      <c r="B419">
        <v>1</v>
      </c>
      <c r="C419">
        <v>89</v>
      </c>
      <c r="D419" s="4">
        <v>45214.752083333333</v>
      </c>
    </row>
    <row r="420" spans="1:4" x14ac:dyDescent="0.3">
      <c r="A420" t="s">
        <v>426</v>
      </c>
      <c r="B420">
        <v>1</v>
      </c>
      <c r="C420">
        <v>74</v>
      </c>
      <c r="D420" s="4">
        <v>45225.406944444447</v>
      </c>
    </row>
    <row r="421" spans="1:4" x14ac:dyDescent="0.3">
      <c r="A421" t="s">
        <v>427</v>
      </c>
      <c r="B421">
        <v>2</v>
      </c>
      <c r="C421">
        <v>127</v>
      </c>
      <c r="D421" s="4">
        <v>45213.145138888889</v>
      </c>
    </row>
    <row r="422" spans="1:4" x14ac:dyDescent="0.3">
      <c r="A422" t="s">
        <v>428</v>
      </c>
      <c r="B422">
        <v>1</v>
      </c>
      <c r="C422">
        <v>87</v>
      </c>
      <c r="D422" s="4">
        <v>45221.565972222219</v>
      </c>
    </row>
    <row r="423" spans="1:4" x14ac:dyDescent="0.3">
      <c r="A423" t="s">
        <v>429</v>
      </c>
      <c r="B423">
        <v>1</v>
      </c>
      <c r="C423">
        <v>63</v>
      </c>
      <c r="D423" s="4">
        <v>45212.680555555555</v>
      </c>
    </row>
    <row r="424" spans="1:4" x14ac:dyDescent="0.3">
      <c r="A424" t="s">
        <v>430</v>
      </c>
      <c r="B424">
        <v>2</v>
      </c>
      <c r="C424">
        <v>66</v>
      </c>
      <c r="D424" s="4">
        <v>45222.55972222222</v>
      </c>
    </row>
    <row r="425" spans="1:4" x14ac:dyDescent="0.3">
      <c r="A425" t="s">
        <v>431</v>
      </c>
      <c r="B425">
        <v>2</v>
      </c>
      <c r="C425">
        <v>148</v>
      </c>
      <c r="D425" s="4">
        <v>45223.293749999997</v>
      </c>
    </row>
    <row r="426" spans="1:4" x14ac:dyDescent="0.3">
      <c r="A426" t="s">
        <v>432</v>
      </c>
      <c r="B426">
        <v>2</v>
      </c>
      <c r="C426">
        <v>89</v>
      </c>
      <c r="D426" s="4">
        <v>45227.77847222222</v>
      </c>
    </row>
    <row r="427" spans="1:4" x14ac:dyDescent="0.3">
      <c r="A427" t="s">
        <v>433</v>
      </c>
      <c r="B427">
        <v>1</v>
      </c>
      <c r="C427">
        <v>97</v>
      </c>
      <c r="D427" s="4">
        <v>45201.726388888892</v>
      </c>
    </row>
    <row r="428" spans="1:4" x14ac:dyDescent="0.3">
      <c r="A428" t="s">
        <v>434</v>
      </c>
      <c r="B428">
        <v>1</v>
      </c>
      <c r="C428">
        <v>28</v>
      </c>
      <c r="D428" s="4">
        <v>45207.342361111114</v>
      </c>
    </row>
    <row r="429" spans="1:4" x14ac:dyDescent="0.3">
      <c r="A429" t="s">
        <v>435</v>
      </c>
      <c r="B429">
        <v>2</v>
      </c>
      <c r="C429">
        <v>226</v>
      </c>
      <c r="D429" s="4">
        <v>45214.160416666666</v>
      </c>
    </row>
    <row r="430" spans="1:4" x14ac:dyDescent="0.3">
      <c r="A430" t="s">
        <v>436</v>
      </c>
      <c r="B430">
        <v>1</v>
      </c>
      <c r="C430">
        <v>74</v>
      </c>
      <c r="D430" s="4">
        <v>45229.620833333334</v>
      </c>
    </row>
    <row r="431" spans="1:4" x14ac:dyDescent="0.3">
      <c r="A431" t="s">
        <v>437</v>
      </c>
      <c r="B431">
        <v>1</v>
      </c>
      <c r="C431">
        <v>72</v>
      </c>
      <c r="D431" s="4">
        <v>45208.529861111114</v>
      </c>
    </row>
    <row r="432" spans="1:4" x14ac:dyDescent="0.3">
      <c r="A432" t="s">
        <v>438</v>
      </c>
      <c r="B432">
        <v>1</v>
      </c>
      <c r="C432">
        <v>112</v>
      </c>
      <c r="D432" s="4">
        <v>45227.091666666667</v>
      </c>
    </row>
    <row r="433" spans="1:4" x14ac:dyDescent="0.3">
      <c r="A433" t="s">
        <v>439</v>
      </c>
      <c r="B433">
        <v>1</v>
      </c>
      <c r="C433">
        <v>113</v>
      </c>
      <c r="D433" s="4">
        <v>45225.781944444447</v>
      </c>
    </row>
    <row r="434" spans="1:4" x14ac:dyDescent="0.3">
      <c r="A434" t="s">
        <v>440</v>
      </c>
      <c r="B434">
        <v>1</v>
      </c>
      <c r="C434">
        <v>109</v>
      </c>
      <c r="D434" s="4">
        <v>45215.288194444445</v>
      </c>
    </row>
    <row r="435" spans="1:4" x14ac:dyDescent="0.3">
      <c r="A435" t="s">
        <v>441</v>
      </c>
      <c r="B435">
        <v>1</v>
      </c>
      <c r="C435">
        <v>5</v>
      </c>
      <c r="D435" s="4">
        <v>45203.991666666669</v>
      </c>
    </row>
    <row r="436" spans="1:4" x14ac:dyDescent="0.3">
      <c r="A436" t="s">
        <v>442</v>
      </c>
      <c r="B436">
        <v>3</v>
      </c>
      <c r="C436">
        <v>114</v>
      </c>
      <c r="D436" s="4">
        <v>45229.986805555556</v>
      </c>
    </row>
    <row r="437" spans="1:4" x14ac:dyDescent="0.3">
      <c r="A437" t="s">
        <v>443</v>
      </c>
      <c r="B437">
        <v>2</v>
      </c>
      <c r="C437">
        <v>49</v>
      </c>
      <c r="D437" s="4">
        <v>45229.772222222222</v>
      </c>
    </row>
    <row r="438" spans="1:4" x14ac:dyDescent="0.3">
      <c r="A438" t="s">
        <v>444</v>
      </c>
      <c r="B438">
        <v>1</v>
      </c>
      <c r="C438">
        <v>34</v>
      </c>
      <c r="D438" s="4">
        <v>45214.736805555556</v>
      </c>
    </row>
    <row r="439" spans="1:4" x14ac:dyDescent="0.3">
      <c r="A439" t="s">
        <v>445</v>
      </c>
      <c r="B439">
        <v>3</v>
      </c>
      <c r="C439">
        <v>195</v>
      </c>
      <c r="D439" s="4">
        <v>45211.705555555556</v>
      </c>
    </row>
    <row r="440" spans="1:4" x14ac:dyDescent="0.3">
      <c r="A440" t="s">
        <v>446</v>
      </c>
      <c r="B440">
        <v>2</v>
      </c>
      <c r="C440">
        <v>57</v>
      </c>
      <c r="D440" s="4">
        <v>45215.587500000001</v>
      </c>
    </row>
    <row r="441" spans="1:4" x14ac:dyDescent="0.3">
      <c r="A441" t="s">
        <v>447</v>
      </c>
      <c r="B441">
        <v>1</v>
      </c>
      <c r="C441">
        <v>69</v>
      </c>
      <c r="D441" s="4">
        <v>45206.472222222219</v>
      </c>
    </row>
    <row r="442" spans="1:4" x14ac:dyDescent="0.3">
      <c r="A442" t="s">
        <v>448</v>
      </c>
      <c r="B442">
        <v>1</v>
      </c>
      <c r="C442">
        <v>52</v>
      </c>
      <c r="D442" s="4">
        <v>45227.324305555558</v>
      </c>
    </row>
    <row r="443" spans="1:4" x14ac:dyDescent="0.3">
      <c r="A443" t="s">
        <v>449</v>
      </c>
      <c r="B443">
        <v>1</v>
      </c>
      <c r="C443">
        <v>12</v>
      </c>
      <c r="D443" s="4">
        <v>45204.011111111111</v>
      </c>
    </row>
    <row r="444" spans="1:4" x14ac:dyDescent="0.3">
      <c r="A444" t="s">
        <v>450</v>
      </c>
      <c r="B444">
        <v>2</v>
      </c>
      <c r="C444">
        <v>128</v>
      </c>
      <c r="D444" s="4">
        <v>45227.751388888886</v>
      </c>
    </row>
    <row r="445" spans="1:4" x14ac:dyDescent="0.3">
      <c r="A445" t="s">
        <v>451</v>
      </c>
      <c r="B445">
        <v>1</v>
      </c>
      <c r="C445">
        <v>83</v>
      </c>
      <c r="D445" s="4">
        <v>45207.525000000001</v>
      </c>
    </row>
    <row r="446" spans="1:4" x14ac:dyDescent="0.3">
      <c r="A446" t="s">
        <v>452</v>
      </c>
      <c r="B446">
        <v>2</v>
      </c>
      <c r="C446">
        <v>93</v>
      </c>
      <c r="D446" s="4">
        <v>45226.313194444447</v>
      </c>
    </row>
    <row r="447" spans="1:4" x14ac:dyDescent="0.3">
      <c r="A447" t="s">
        <v>453</v>
      </c>
      <c r="B447">
        <v>1</v>
      </c>
      <c r="C447">
        <v>89</v>
      </c>
      <c r="D447" s="4">
        <v>45217.863194444442</v>
      </c>
    </row>
    <row r="448" spans="1:4" x14ac:dyDescent="0.3">
      <c r="A448" t="s">
        <v>454</v>
      </c>
      <c r="B448">
        <v>3</v>
      </c>
      <c r="C448">
        <v>182</v>
      </c>
      <c r="D448" s="4">
        <v>45228.747916666667</v>
      </c>
    </row>
    <row r="449" spans="1:4" x14ac:dyDescent="0.3">
      <c r="A449" t="s">
        <v>455</v>
      </c>
      <c r="B449">
        <v>1</v>
      </c>
      <c r="C449">
        <v>83</v>
      </c>
      <c r="D449" s="4">
        <v>45224.963888888888</v>
      </c>
    </row>
    <row r="450" spans="1:4" x14ac:dyDescent="0.3">
      <c r="A450" t="s">
        <v>456</v>
      </c>
      <c r="B450">
        <v>1</v>
      </c>
      <c r="C450">
        <v>30</v>
      </c>
      <c r="D450" s="4">
        <v>45225.948611111111</v>
      </c>
    </row>
    <row r="451" spans="1:4" x14ac:dyDescent="0.3">
      <c r="A451" t="s">
        <v>457</v>
      </c>
      <c r="B451">
        <v>2</v>
      </c>
      <c r="C451">
        <v>126</v>
      </c>
      <c r="D451" s="4">
        <v>45202.699305555558</v>
      </c>
    </row>
    <row r="452" spans="1:4" x14ac:dyDescent="0.3">
      <c r="A452" t="s">
        <v>458</v>
      </c>
      <c r="B452">
        <v>1</v>
      </c>
      <c r="C452">
        <v>22</v>
      </c>
      <c r="D452" s="4">
        <v>45213.328472222223</v>
      </c>
    </row>
    <row r="453" spans="1:4" x14ac:dyDescent="0.3">
      <c r="A453" t="s">
        <v>459</v>
      </c>
      <c r="B453">
        <v>3</v>
      </c>
      <c r="C453">
        <v>205</v>
      </c>
      <c r="D453" s="4">
        <v>45216.435416666667</v>
      </c>
    </row>
    <row r="454" spans="1:4" x14ac:dyDescent="0.3">
      <c r="A454" t="s">
        <v>460</v>
      </c>
      <c r="B454">
        <v>3</v>
      </c>
      <c r="C454">
        <v>214</v>
      </c>
      <c r="D454" s="4">
        <v>45220.368055555555</v>
      </c>
    </row>
    <row r="455" spans="1:4" x14ac:dyDescent="0.3">
      <c r="A455" t="s">
        <v>461</v>
      </c>
      <c r="B455">
        <v>3</v>
      </c>
      <c r="C455">
        <v>197</v>
      </c>
      <c r="D455" s="4">
        <v>45214.634722222225</v>
      </c>
    </row>
    <row r="456" spans="1:4" x14ac:dyDescent="0.3">
      <c r="A456" t="s">
        <v>462</v>
      </c>
      <c r="B456">
        <v>3</v>
      </c>
      <c r="C456">
        <v>139</v>
      </c>
      <c r="D456" s="4">
        <v>45229.972222222219</v>
      </c>
    </row>
    <row r="457" spans="1:4" x14ac:dyDescent="0.3">
      <c r="A457" t="s">
        <v>463</v>
      </c>
      <c r="B457">
        <v>1</v>
      </c>
      <c r="C457">
        <v>115</v>
      </c>
      <c r="D457" s="4">
        <v>45202.804166666669</v>
      </c>
    </row>
    <row r="458" spans="1:4" x14ac:dyDescent="0.3">
      <c r="A458" t="s">
        <v>464</v>
      </c>
      <c r="B458">
        <v>1</v>
      </c>
      <c r="C458">
        <v>47</v>
      </c>
      <c r="D458" s="4">
        <v>45225.322916666664</v>
      </c>
    </row>
    <row r="459" spans="1:4" x14ac:dyDescent="0.3">
      <c r="A459" t="s">
        <v>465</v>
      </c>
      <c r="B459">
        <v>1</v>
      </c>
      <c r="C459">
        <v>61</v>
      </c>
      <c r="D459" s="4">
        <v>45202.095138888886</v>
      </c>
    </row>
    <row r="460" spans="1:4" x14ac:dyDescent="0.3">
      <c r="A460" t="s">
        <v>466</v>
      </c>
      <c r="B460">
        <v>2</v>
      </c>
      <c r="C460">
        <v>143</v>
      </c>
      <c r="D460" s="4">
        <v>45225.839583333334</v>
      </c>
    </row>
    <row r="461" spans="1:4" x14ac:dyDescent="0.3">
      <c r="A461" t="s">
        <v>467</v>
      </c>
      <c r="B461">
        <v>1</v>
      </c>
      <c r="C461">
        <v>110</v>
      </c>
      <c r="D461" s="4">
        <v>45211.128472222219</v>
      </c>
    </row>
    <row r="462" spans="1:4" x14ac:dyDescent="0.3">
      <c r="A462" t="s">
        <v>468</v>
      </c>
      <c r="B462">
        <v>1</v>
      </c>
      <c r="C462">
        <v>88</v>
      </c>
      <c r="D462" s="4">
        <v>45211.337500000001</v>
      </c>
    </row>
    <row r="463" spans="1:4" x14ac:dyDescent="0.3">
      <c r="A463" t="s">
        <v>469</v>
      </c>
      <c r="B463">
        <v>1</v>
      </c>
      <c r="C463">
        <v>81</v>
      </c>
      <c r="D463" s="4">
        <v>45204.09097222222</v>
      </c>
    </row>
    <row r="464" spans="1:4" x14ac:dyDescent="0.3">
      <c r="A464" t="s">
        <v>470</v>
      </c>
      <c r="B464">
        <v>1</v>
      </c>
      <c r="C464">
        <v>22</v>
      </c>
      <c r="D464" s="4">
        <v>45213.607638888891</v>
      </c>
    </row>
    <row r="465" spans="1:4" x14ac:dyDescent="0.3">
      <c r="A465" t="s">
        <v>471</v>
      </c>
      <c r="B465">
        <v>1</v>
      </c>
      <c r="C465">
        <v>46</v>
      </c>
      <c r="D465" s="4">
        <v>45203.003472222219</v>
      </c>
    </row>
    <row r="466" spans="1:4" x14ac:dyDescent="0.3">
      <c r="A466" t="s">
        <v>472</v>
      </c>
      <c r="B466">
        <v>2</v>
      </c>
      <c r="C466">
        <v>100</v>
      </c>
      <c r="D466" s="4">
        <v>45211.711805555555</v>
      </c>
    </row>
    <row r="467" spans="1:4" x14ac:dyDescent="0.3">
      <c r="A467" t="s">
        <v>473</v>
      </c>
      <c r="B467">
        <v>1</v>
      </c>
      <c r="C467">
        <v>30</v>
      </c>
      <c r="D467" s="4">
        <v>45210.5</v>
      </c>
    </row>
    <row r="468" spans="1:4" x14ac:dyDescent="0.3">
      <c r="A468" t="s">
        <v>474</v>
      </c>
      <c r="B468">
        <v>1</v>
      </c>
      <c r="C468">
        <v>66</v>
      </c>
      <c r="D468" s="4">
        <v>45209.558333333334</v>
      </c>
    </row>
    <row r="469" spans="1:4" x14ac:dyDescent="0.3">
      <c r="A469" t="s">
        <v>475</v>
      </c>
      <c r="B469">
        <v>2</v>
      </c>
      <c r="C469">
        <v>89</v>
      </c>
      <c r="D469" s="4">
        <v>45228.563194444447</v>
      </c>
    </row>
    <row r="470" spans="1:4" x14ac:dyDescent="0.3">
      <c r="A470" t="s">
        <v>476</v>
      </c>
      <c r="B470">
        <v>1</v>
      </c>
      <c r="C470">
        <v>42</v>
      </c>
      <c r="D470" s="4">
        <v>45205.178472222222</v>
      </c>
    </row>
    <row r="471" spans="1:4" x14ac:dyDescent="0.3">
      <c r="A471" t="s">
        <v>477</v>
      </c>
      <c r="B471">
        <v>2</v>
      </c>
      <c r="C471">
        <v>142</v>
      </c>
      <c r="D471" s="4">
        <v>45204.090277777781</v>
      </c>
    </row>
    <row r="472" spans="1:4" x14ac:dyDescent="0.3">
      <c r="A472" t="s">
        <v>478</v>
      </c>
      <c r="B472">
        <v>1</v>
      </c>
      <c r="C472">
        <v>86</v>
      </c>
      <c r="D472" s="4">
        <v>45213.351388888892</v>
      </c>
    </row>
    <row r="473" spans="1:4" x14ac:dyDescent="0.3">
      <c r="A473" t="s">
        <v>479</v>
      </c>
      <c r="B473">
        <v>1</v>
      </c>
      <c r="C473">
        <v>78</v>
      </c>
      <c r="D473" s="4">
        <v>45202.469444444447</v>
      </c>
    </row>
    <row r="474" spans="1:4" x14ac:dyDescent="0.3">
      <c r="A474" t="s">
        <v>480</v>
      </c>
      <c r="B474">
        <v>1</v>
      </c>
      <c r="C474">
        <v>28</v>
      </c>
      <c r="D474" s="4">
        <v>45212.617361111108</v>
      </c>
    </row>
    <row r="475" spans="1:4" x14ac:dyDescent="0.3">
      <c r="A475" t="s">
        <v>481</v>
      </c>
      <c r="B475">
        <v>1</v>
      </c>
      <c r="C475">
        <v>86</v>
      </c>
      <c r="D475" s="4">
        <v>45216.181944444441</v>
      </c>
    </row>
    <row r="476" spans="1:4" x14ac:dyDescent="0.3">
      <c r="A476" t="s">
        <v>482</v>
      </c>
      <c r="B476">
        <v>1</v>
      </c>
      <c r="C476">
        <v>93</v>
      </c>
      <c r="D476" s="4">
        <v>45209.581944444442</v>
      </c>
    </row>
    <row r="477" spans="1:4" x14ac:dyDescent="0.3">
      <c r="A477" t="s">
        <v>483</v>
      </c>
      <c r="B477">
        <v>1</v>
      </c>
      <c r="C477">
        <v>27</v>
      </c>
      <c r="D477" s="4">
        <v>45226.964583333334</v>
      </c>
    </row>
    <row r="478" spans="1:4" x14ac:dyDescent="0.3">
      <c r="A478" t="s">
        <v>484</v>
      </c>
      <c r="B478">
        <v>1</v>
      </c>
      <c r="C478">
        <v>76</v>
      </c>
      <c r="D478" s="4">
        <v>45211.38958333333</v>
      </c>
    </row>
    <row r="479" spans="1:4" x14ac:dyDescent="0.3">
      <c r="A479" t="s">
        <v>485</v>
      </c>
      <c r="B479">
        <v>1</v>
      </c>
      <c r="C479">
        <v>41</v>
      </c>
      <c r="D479" s="4">
        <v>45203.615277777775</v>
      </c>
    </row>
    <row r="480" spans="1:4" x14ac:dyDescent="0.3">
      <c r="A480" t="s">
        <v>486</v>
      </c>
      <c r="B480">
        <v>3</v>
      </c>
      <c r="C480">
        <v>127</v>
      </c>
      <c r="D480" s="4">
        <v>45212.447222222225</v>
      </c>
    </row>
    <row r="481" spans="1:4" x14ac:dyDescent="0.3">
      <c r="A481" t="s">
        <v>487</v>
      </c>
      <c r="B481">
        <v>3</v>
      </c>
      <c r="C481">
        <v>298</v>
      </c>
      <c r="D481" s="4">
        <v>45230.12777777778</v>
      </c>
    </row>
    <row r="482" spans="1:4" x14ac:dyDescent="0.3">
      <c r="A482" t="s">
        <v>488</v>
      </c>
      <c r="B482">
        <v>1</v>
      </c>
      <c r="C482">
        <v>84</v>
      </c>
      <c r="D482" s="4">
        <v>45205.96875</v>
      </c>
    </row>
    <row r="483" spans="1:4" x14ac:dyDescent="0.3">
      <c r="A483" t="s">
        <v>489</v>
      </c>
      <c r="B483">
        <v>1</v>
      </c>
      <c r="C483">
        <v>11</v>
      </c>
      <c r="D483" s="4">
        <v>45216.232638888891</v>
      </c>
    </row>
    <row r="484" spans="1:4" x14ac:dyDescent="0.3">
      <c r="A484" t="s">
        <v>490</v>
      </c>
      <c r="B484">
        <v>1</v>
      </c>
      <c r="C484">
        <v>115</v>
      </c>
      <c r="D484" s="4">
        <v>45205.440972222219</v>
      </c>
    </row>
    <row r="485" spans="1:4" x14ac:dyDescent="0.3">
      <c r="A485" t="s">
        <v>491</v>
      </c>
      <c r="B485">
        <v>1</v>
      </c>
      <c r="C485">
        <v>6</v>
      </c>
      <c r="D485" s="4">
        <v>45225.527777777781</v>
      </c>
    </row>
    <row r="486" spans="1:4" x14ac:dyDescent="0.3">
      <c r="A486" t="s">
        <v>492</v>
      </c>
      <c r="B486">
        <v>1</v>
      </c>
      <c r="C486">
        <v>22</v>
      </c>
      <c r="D486" s="4">
        <v>45221.559027777781</v>
      </c>
    </row>
    <row r="487" spans="1:4" x14ac:dyDescent="0.3">
      <c r="A487" t="s">
        <v>493</v>
      </c>
      <c r="B487">
        <v>1</v>
      </c>
      <c r="C487">
        <v>88</v>
      </c>
      <c r="D487" s="4">
        <v>45222.10833333333</v>
      </c>
    </row>
    <row r="488" spans="1:4" x14ac:dyDescent="0.3">
      <c r="A488" t="s">
        <v>494</v>
      </c>
      <c r="B488">
        <v>1</v>
      </c>
      <c r="C488">
        <v>68</v>
      </c>
      <c r="D488" s="4">
        <v>45203.71597222222</v>
      </c>
    </row>
    <row r="489" spans="1:4" x14ac:dyDescent="0.3">
      <c r="A489" t="s">
        <v>495</v>
      </c>
      <c r="B489">
        <v>2</v>
      </c>
      <c r="C489">
        <v>123</v>
      </c>
      <c r="D489" s="4">
        <v>45219.821527777778</v>
      </c>
    </row>
    <row r="490" spans="1:4" x14ac:dyDescent="0.3">
      <c r="A490" t="s">
        <v>496</v>
      </c>
      <c r="B490">
        <v>1</v>
      </c>
      <c r="C490">
        <v>67</v>
      </c>
      <c r="D490" s="4">
        <v>45221.647916666669</v>
      </c>
    </row>
    <row r="491" spans="1:4" x14ac:dyDescent="0.3">
      <c r="A491" t="s">
        <v>497</v>
      </c>
      <c r="B491">
        <v>1</v>
      </c>
      <c r="C491">
        <v>67</v>
      </c>
      <c r="D491" s="4">
        <v>45214.799305555556</v>
      </c>
    </row>
    <row r="492" spans="1:4" x14ac:dyDescent="0.3">
      <c r="A492" t="s">
        <v>498</v>
      </c>
      <c r="B492">
        <v>1</v>
      </c>
      <c r="C492">
        <v>15</v>
      </c>
      <c r="D492" s="4">
        <v>45225.415277777778</v>
      </c>
    </row>
    <row r="493" spans="1:4" x14ac:dyDescent="0.3">
      <c r="A493" t="s">
        <v>499</v>
      </c>
      <c r="B493">
        <v>1</v>
      </c>
      <c r="C493">
        <v>42</v>
      </c>
      <c r="D493" s="4">
        <v>45212.568055555559</v>
      </c>
    </row>
    <row r="494" spans="1:4" x14ac:dyDescent="0.3">
      <c r="A494" t="s">
        <v>500</v>
      </c>
      <c r="B494">
        <v>1</v>
      </c>
      <c r="C494">
        <v>9</v>
      </c>
      <c r="D494" s="4">
        <v>45204.76666666667</v>
      </c>
    </row>
    <row r="495" spans="1:4" x14ac:dyDescent="0.3">
      <c r="A495" t="s">
        <v>501</v>
      </c>
      <c r="B495">
        <v>1</v>
      </c>
      <c r="C495">
        <v>77</v>
      </c>
      <c r="D495" s="4">
        <v>45230.638888888891</v>
      </c>
    </row>
    <row r="496" spans="1:4" x14ac:dyDescent="0.3">
      <c r="A496" t="s">
        <v>502</v>
      </c>
      <c r="B496">
        <v>1</v>
      </c>
      <c r="C496">
        <v>26</v>
      </c>
      <c r="D496" s="4">
        <v>45221.931944444441</v>
      </c>
    </row>
    <row r="497" spans="1:4" x14ac:dyDescent="0.3">
      <c r="A497" t="s">
        <v>503</v>
      </c>
      <c r="B497">
        <v>1</v>
      </c>
      <c r="C497">
        <v>61</v>
      </c>
      <c r="D497" s="4">
        <v>45227.118055555555</v>
      </c>
    </row>
    <row r="498" spans="1:4" x14ac:dyDescent="0.3">
      <c r="A498" t="s">
        <v>504</v>
      </c>
      <c r="B498">
        <v>2</v>
      </c>
      <c r="C498">
        <v>166</v>
      </c>
      <c r="D498" s="4">
        <v>45230.577777777777</v>
      </c>
    </row>
    <row r="499" spans="1:4" x14ac:dyDescent="0.3">
      <c r="A499" t="s">
        <v>505</v>
      </c>
      <c r="B499">
        <v>2</v>
      </c>
      <c r="C499">
        <v>53</v>
      </c>
      <c r="D499" s="4">
        <v>45218.589583333334</v>
      </c>
    </row>
    <row r="500" spans="1:4" x14ac:dyDescent="0.3">
      <c r="A500" t="s">
        <v>506</v>
      </c>
      <c r="B500">
        <v>1</v>
      </c>
      <c r="C500">
        <v>100</v>
      </c>
      <c r="D500" s="4">
        <v>45217.755555555559</v>
      </c>
    </row>
    <row r="501" spans="1:4" x14ac:dyDescent="0.3">
      <c r="A501" t="s">
        <v>507</v>
      </c>
      <c r="B501">
        <v>1</v>
      </c>
      <c r="C501">
        <v>24</v>
      </c>
      <c r="D501" s="4">
        <v>45218.659722222219</v>
      </c>
    </row>
    <row r="502" spans="1:4" x14ac:dyDescent="0.3">
      <c r="A502" t="s">
        <v>508</v>
      </c>
      <c r="B502">
        <v>1</v>
      </c>
      <c r="C502">
        <v>92</v>
      </c>
      <c r="D502" s="4">
        <v>45220.584027777775</v>
      </c>
    </row>
    <row r="503" spans="1:4" x14ac:dyDescent="0.3">
      <c r="A503" t="s">
        <v>509</v>
      </c>
      <c r="B503">
        <v>2</v>
      </c>
      <c r="C503">
        <v>113</v>
      </c>
      <c r="D503" s="4">
        <v>45221.339583333334</v>
      </c>
    </row>
    <row r="504" spans="1:4" x14ac:dyDescent="0.3">
      <c r="A504" t="s">
        <v>510</v>
      </c>
      <c r="B504">
        <v>1</v>
      </c>
      <c r="C504">
        <v>119</v>
      </c>
      <c r="D504" s="4">
        <v>45205.336805555555</v>
      </c>
    </row>
    <row r="505" spans="1:4" x14ac:dyDescent="0.3">
      <c r="A505" t="s">
        <v>511</v>
      </c>
      <c r="B505">
        <v>1</v>
      </c>
      <c r="C505">
        <v>22</v>
      </c>
      <c r="D505" s="4">
        <v>45202.487500000003</v>
      </c>
    </row>
    <row r="506" spans="1:4" x14ac:dyDescent="0.3">
      <c r="A506" t="s">
        <v>512</v>
      </c>
      <c r="B506">
        <v>1</v>
      </c>
      <c r="C506">
        <v>20</v>
      </c>
      <c r="D506" s="4">
        <v>45201.527777777781</v>
      </c>
    </row>
    <row r="507" spans="1:4" x14ac:dyDescent="0.3">
      <c r="A507" t="s">
        <v>513</v>
      </c>
      <c r="B507">
        <v>1</v>
      </c>
      <c r="C507">
        <v>80</v>
      </c>
      <c r="D507" s="4">
        <v>45209.988888888889</v>
      </c>
    </row>
    <row r="508" spans="1:4" x14ac:dyDescent="0.3">
      <c r="A508" t="s">
        <v>514</v>
      </c>
      <c r="B508">
        <v>2</v>
      </c>
      <c r="C508">
        <v>51</v>
      </c>
      <c r="D508" s="4">
        <v>45218.314583333333</v>
      </c>
    </row>
    <row r="509" spans="1:4" x14ac:dyDescent="0.3">
      <c r="A509" t="s">
        <v>515</v>
      </c>
      <c r="B509">
        <v>1</v>
      </c>
      <c r="C509">
        <v>106</v>
      </c>
      <c r="D509" s="4">
        <v>45221.583333333336</v>
      </c>
    </row>
    <row r="510" spans="1:4" x14ac:dyDescent="0.3">
      <c r="A510" t="s">
        <v>516</v>
      </c>
      <c r="B510">
        <v>1</v>
      </c>
      <c r="C510">
        <v>36</v>
      </c>
      <c r="D510" s="4">
        <v>45226.163194444445</v>
      </c>
    </row>
    <row r="511" spans="1:4" x14ac:dyDescent="0.3">
      <c r="A511" t="s">
        <v>517</v>
      </c>
      <c r="B511">
        <v>1</v>
      </c>
      <c r="C511">
        <v>87</v>
      </c>
      <c r="D511" s="4">
        <v>45215.093055555553</v>
      </c>
    </row>
    <row r="512" spans="1:4" x14ac:dyDescent="0.3">
      <c r="A512" t="s">
        <v>518</v>
      </c>
      <c r="B512">
        <v>2</v>
      </c>
      <c r="C512">
        <v>100</v>
      </c>
      <c r="D512" s="4">
        <v>45223.548611111109</v>
      </c>
    </row>
    <row r="513" spans="1:4" x14ac:dyDescent="0.3">
      <c r="A513" t="s">
        <v>519</v>
      </c>
      <c r="B513">
        <v>1</v>
      </c>
      <c r="C513">
        <v>81</v>
      </c>
      <c r="D513" s="4">
        <v>45224.195138888892</v>
      </c>
    </row>
    <row r="514" spans="1:4" x14ac:dyDescent="0.3">
      <c r="A514" t="s">
        <v>520</v>
      </c>
      <c r="B514">
        <v>1</v>
      </c>
      <c r="C514">
        <v>77</v>
      </c>
      <c r="D514" s="4">
        <v>45207.124305555553</v>
      </c>
    </row>
    <row r="515" spans="1:4" x14ac:dyDescent="0.3">
      <c r="A515" t="s">
        <v>521</v>
      </c>
      <c r="B515">
        <v>1</v>
      </c>
      <c r="C515">
        <v>43</v>
      </c>
      <c r="D515" s="4">
        <v>45219.793749999997</v>
      </c>
    </row>
    <row r="516" spans="1:4" x14ac:dyDescent="0.3">
      <c r="A516" t="s">
        <v>522</v>
      </c>
      <c r="B516">
        <v>1</v>
      </c>
      <c r="C516">
        <v>99</v>
      </c>
      <c r="D516" s="4">
        <v>45209.907638888886</v>
      </c>
    </row>
    <row r="517" spans="1:4" x14ac:dyDescent="0.3">
      <c r="A517" t="s">
        <v>523</v>
      </c>
      <c r="B517">
        <v>1</v>
      </c>
      <c r="C517">
        <v>84</v>
      </c>
      <c r="D517" s="4">
        <v>45221.96597222222</v>
      </c>
    </row>
    <row r="518" spans="1:4" x14ac:dyDescent="0.3">
      <c r="A518" t="s">
        <v>524</v>
      </c>
      <c r="B518">
        <v>2</v>
      </c>
      <c r="C518">
        <v>89</v>
      </c>
      <c r="D518" s="4">
        <v>45227.421527777777</v>
      </c>
    </row>
    <row r="519" spans="1:4" x14ac:dyDescent="0.3">
      <c r="A519" t="s">
        <v>525</v>
      </c>
      <c r="B519">
        <v>1</v>
      </c>
      <c r="C519">
        <v>103</v>
      </c>
      <c r="D519" s="4">
        <v>45205.463888888888</v>
      </c>
    </row>
    <row r="520" spans="1:4" x14ac:dyDescent="0.3">
      <c r="A520" t="s">
        <v>526</v>
      </c>
      <c r="B520">
        <v>1</v>
      </c>
      <c r="C520">
        <v>104</v>
      </c>
      <c r="D520" s="4">
        <v>45223.365277777775</v>
      </c>
    </row>
    <row r="521" spans="1:4" x14ac:dyDescent="0.3">
      <c r="A521" t="s">
        <v>527</v>
      </c>
      <c r="B521">
        <v>2</v>
      </c>
      <c r="C521">
        <v>240</v>
      </c>
      <c r="D521" s="4">
        <v>45225.553472222222</v>
      </c>
    </row>
    <row r="522" spans="1:4" x14ac:dyDescent="0.3">
      <c r="A522" t="s">
        <v>528</v>
      </c>
      <c r="B522">
        <v>2</v>
      </c>
      <c r="C522">
        <v>162</v>
      </c>
      <c r="D522" s="4">
        <v>45216.094444444447</v>
      </c>
    </row>
    <row r="523" spans="1:4" x14ac:dyDescent="0.3">
      <c r="A523" t="s">
        <v>529</v>
      </c>
      <c r="B523">
        <v>2</v>
      </c>
      <c r="C523">
        <v>167</v>
      </c>
      <c r="D523" s="4">
        <v>45222.777777777781</v>
      </c>
    </row>
    <row r="524" spans="1:4" x14ac:dyDescent="0.3">
      <c r="A524" t="s">
        <v>530</v>
      </c>
      <c r="B524">
        <v>3</v>
      </c>
      <c r="C524">
        <v>295</v>
      </c>
      <c r="D524" s="4">
        <v>45230.039583333331</v>
      </c>
    </row>
    <row r="525" spans="1:4" x14ac:dyDescent="0.3">
      <c r="A525" t="s">
        <v>531</v>
      </c>
      <c r="B525">
        <v>1</v>
      </c>
      <c r="C525">
        <v>36</v>
      </c>
      <c r="D525" s="4">
        <v>45216.460416666669</v>
      </c>
    </row>
    <row r="526" spans="1:4" x14ac:dyDescent="0.3">
      <c r="A526" t="s">
        <v>532</v>
      </c>
      <c r="B526">
        <v>1</v>
      </c>
      <c r="C526">
        <v>24</v>
      </c>
      <c r="D526" s="4">
        <v>45215.756944444445</v>
      </c>
    </row>
    <row r="527" spans="1:4" x14ac:dyDescent="0.3">
      <c r="A527" t="s">
        <v>533</v>
      </c>
      <c r="B527">
        <v>1</v>
      </c>
      <c r="C527">
        <v>5</v>
      </c>
      <c r="D527" s="4">
        <v>45211.219444444447</v>
      </c>
    </row>
    <row r="528" spans="1:4" x14ac:dyDescent="0.3">
      <c r="A528" t="s">
        <v>534</v>
      </c>
      <c r="B528">
        <v>1</v>
      </c>
      <c r="C528">
        <v>57</v>
      </c>
      <c r="D528" s="4">
        <v>45224.164583333331</v>
      </c>
    </row>
    <row r="529" spans="1:4" x14ac:dyDescent="0.3">
      <c r="A529" t="s">
        <v>535</v>
      </c>
      <c r="B529">
        <v>1</v>
      </c>
      <c r="C529">
        <v>34</v>
      </c>
      <c r="D529" s="4">
        <v>45203.324305555558</v>
      </c>
    </row>
    <row r="530" spans="1:4" x14ac:dyDescent="0.3">
      <c r="A530" t="s">
        <v>536</v>
      </c>
      <c r="B530">
        <v>2</v>
      </c>
      <c r="C530">
        <v>131</v>
      </c>
      <c r="D530" s="4">
        <v>45216.001388888886</v>
      </c>
    </row>
    <row r="531" spans="1:4" x14ac:dyDescent="0.3">
      <c r="A531" t="s">
        <v>537</v>
      </c>
      <c r="B531">
        <v>1</v>
      </c>
      <c r="C531">
        <v>49</v>
      </c>
      <c r="D531" s="4">
        <v>45227.010416666664</v>
      </c>
    </row>
    <row r="532" spans="1:4" x14ac:dyDescent="0.3">
      <c r="A532" t="s">
        <v>538</v>
      </c>
      <c r="B532">
        <v>1</v>
      </c>
      <c r="C532">
        <v>112</v>
      </c>
      <c r="D532" s="4">
        <v>45212.174305555556</v>
      </c>
    </row>
    <row r="533" spans="1:4" x14ac:dyDescent="0.3">
      <c r="A533" t="s">
        <v>539</v>
      </c>
      <c r="B533">
        <v>1</v>
      </c>
      <c r="C533">
        <v>117</v>
      </c>
      <c r="D533" s="4">
        <v>45225.949305555558</v>
      </c>
    </row>
    <row r="534" spans="1:4" x14ac:dyDescent="0.3">
      <c r="A534" t="s">
        <v>540</v>
      </c>
      <c r="B534">
        <v>1</v>
      </c>
      <c r="C534">
        <v>6</v>
      </c>
      <c r="D534" s="4">
        <v>45220.551388888889</v>
      </c>
    </row>
    <row r="535" spans="1:4" x14ac:dyDescent="0.3">
      <c r="A535" t="s">
        <v>541</v>
      </c>
      <c r="B535">
        <v>2</v>
      </c>
      <c r="C535">
        <v>181</v>
      </c>
      <c r="D535" s="4">
        <v>45220.618750000001</v>
      </c>
    </row>
    <row r="536" spans="1:4" x14ac:dyDescent="0.3">
      <c r="A536" t="s">
        <v>542</v>
      </c>
      <c r="B536">
        <v>2</v>
      </c>
      <c r="C536">
        <v>94</v>
      </c>
      <c r="D536" s="4">
        <v>45211.147222222222</v>
      </c>
    </row>
    <row r="537" spans="1:4" x14ac:dyDescent="0.3">
      <c r="A537" t="s">
        <v>543</v>
      </c>
      <c r="B537">
        <v>3</v>
      </c>
      <c r="C537">
        <v>266</v>
      </c>
      <c r="D537" s="4">
        <v>45219.569444444445</v>
      </c>
    </row>
    <row r="538" spans="1:4" x14ac:dyDescent="0.3">
      <c r="A538" t="s">
        <v>544</v>
      </c>
      <c r="B538">
        <v>1</v>
      </c>
      <c r="C538">
        <v>44</v>
      </c>
      <c r="D538" s="4">
        <v>45209.388888888891</v>
      </c>
    </row>
    <row r="539" spans="1:4" x14ac:dyDescent="0.3">
      <c r="A539" t="s">
        <v>545</v>
      </c>
      <c r="B539">
        <v>2</v>
      </c>
      <c r="C539">
        <v>126</v>
      </c>
      <c r="D539" s="4">
        <v>45201.293055555558</v>
      </c>
    </row>
    <row r="540" spans="1:4" x14ac:dyDescent="0.3">
      <c r="A540" t="s">
        <v>546</v>
      </c>
      <c r="B540">
        <v>2</v>
      </c>
      <c r="C540">
        <v>75</v>
      </c>
      <c r="D540" s="4">
        <v>45230.537499999999</v>
      </c>
    </row>
    <row r="541" spans="1:4" x14ac:dyDescent="0.3">
      <c r="A541" t="s">
        <v>547</v>
      </c>
      <c r="B541">
        <v>1</v>
      </c>
      <c r="C541">
        <v>119</v>
      </c>
      <c r="D541" s="4">
        <v>45217.29583333333</v>
      </c>
    </row>
    <row r="542" spans="1:4" x14ac:dyDescent="0.3">
      <c r="A542" t="s">
        <v>548</v>
      </c>
      <c r="B542">
        <v>1</v>
      </c>
      <c r="C542">
        <v>104</v>
      </c>
      <c r="D542" s="4">
        <v>45225.171527777777</v>
      </c>
    </row>
    <row r="543" spans="1:4" x14ac:dyDescent="0.3">
      <c r="A543" t="s">
        <v>549</v>
      </c>
      <c r="B543">
        <v>1</v>
      </c>
      <c r="C543">
        <v>12</v>
      </c>
      <c r="D543" s="4">
        <v>45224.297222222223</v>
      </c>
    </row>
    <row r="544" spans="1:4" x14ac:dyDescent="0.3">
      <c r="A544" t="s">
        <v>550</v>
      </c>
      <c r="B544">
        <v>1</v>
      </c>
      <c r="C544">
        <v>108</v>
      </c>
      <c r="D544" s="4">
        <v>45206.515972222223</v>
      </c>
    </row>
    <row r="545" spans="1:4" x14ac:dyDescent="0.3">
      <c r="A545" t="s">
        <v>551</v>
      </c>
      <c r="B545">
        <v>1</v>
      </c>
      <c r="C545">
        <v>65</v>
      </c>
      <c r="D545" s="4">
        <v>45221.861805555556</v>
      </c>
    </row>
    <row r="546" spans="1:4" x14ac:dyDescent="0.3">
      <c r="A546" t="s">
        <v>552</v>
      </c>
      <c r="B546">
        <v>1</v>
      </c>
      <c r="C546">
        <v>50</v>
      </c>
      <c r="D546" s="4">
        <v>45208.084027777775</v>
      </c>
    </row>
    <row r="547" spans="1:4" x14ac:dyDescent="0.3">
      <c r="A547" t="s">
        <v>553</v>
      </c>
      <c r="B547">
        <v>1</v>
      </c>
      <c r="C547">
        <v>17</v>
      </c>
      <c r="D547" s="4">
        <v>45201.585416666669</v>
      </c>
    </row>
    <row r="548" spans="1:4" x14ac:dyDescent="0.3">
      <c r="A548" t="s">
        <v>554</v>
      </c>
      <c r="B548">
        <v>1</v>
      </c>
      <c r="C548">
        <v>36</v>
      </c>
      <c r="D548" s="4">
        <v>45205.768750000003</v>
      </c>
    </row>
    <row r="549" spans="1:4" x14ac:dyDescent="0.3">
      <c r="A549" t="s">
        <v>555</v>
      </c>
      <c r="B549">
        <v>1</v>
      </c>
      <c r="C549">
        <v>35</v>
      </c>
      <c r="D549" s="4">
        <v>45215.01666666667</v>
      </c>
    </row>
    <row r="550" spans="1:4" x14ac:dyDescent="0.3">
      <c r="A550" t="s">
        <v>556</v>
      </c>
      <c r="B550">
        <v>1</v>
      </c>
      <c r="C550">
        <v>39</v>
      </c>
      <c r="D550" s="4">
        <v>45221.549305555556</v>
      </c>
    </row>
    <row r="551" spans="1:4" x14ac:dyDescent="0.3">
      <c r="A551" t="s">
        <v>557</v>
      </c>
      <c r="B551">
        <v>2</v>
      </c>
      <c r="C551">
        <v>147</v>
      </c>
      <c r="D551" s="4">
        <v>45211.290277777778</v>
      </c>
    </row>
    <row r="552" spans="1:4" x14ac:dyDescent="0.3">
      <c r="A552" t="s">
        <v>558</v>
      </c>
      <c r="B552">
        <v>1</v>
      </c>
      <c r="C552">
        <v>106</v>
      </c>
      <c r="D552" s="4">
        <v>45214.168055555558</v>
      </c>
    </row>
    <row r="553" spans="1:4" x14ac:dyDescent="0.3">
      <c r="A553" t="s">
        <v>559</v>
      </c>
      <c r="B553">
        <v>1</v>
      </c>
      <c r="C553">
        <v>78</v>
      </c>
      <c r="D553" s="4">
        <v>45202.35</v>
      </c>
    </row>
    <row r="554" spans="1:4" x14ac:dyDescent="0.3">
      <c r="A554" t="s">
        <v>560</v>
      </c>
      <c r="B554">
        <v>1</v>
      </c>
      <c r="C554">
        <v>107</v>
      </c>
      <c r="D554" s="4">
        <v>45220.677083333336</v>
      </c>
    </row>
    <row r="555" spans="1:4" x14ac:dyDescent="0.3">
      <c r="A555" t="s">
        <v>561</v>
      </c>
      <c r="B555">
        <v>1</v>
      </c>
      <c r="C555">
        <v>50</v>
      </c>
      <c r="D555" s="4">
        <v>45200.534722222219</v>
      </c>
    </row>
    <row r="556" spans="1:4" x14ac:dyDescent="0.3">
      <c r="A556" t="s">
        <v>562</v>
      </c>
      <c r="B556">
        <v>1</v>
      </c>
      <c r="C556">
        <v>112</v>
      </c>
      <c r="D556" s="4">
        <v>45222.479166666664</v>
      </c>
    </row>
    <row r="557" spans="1:4" x14ac:dyDescent="0.3">
      <c r="A557" t="s">
        <v>563</v>
      </c>
      <c r="B557">
        <v>2</v>
      </c>
      <c r="C557">
        <v>161</v>
      </c>
      <c r="D557" s="4">
        <v>45220.093055555553</v>
      </c>
    </row>
    <row r="558" spans="1:4" x14ac:dyDescent="0.3">
      <c r="A558" t="s">
        <v>564</v>
      </c>
      <c r="B558">
        <v>1</v>
      </c>
      <c r="C558">
        <v>27</v>
      </c>
      <c r="D558" s="4">
        <v>45210.511805555558</v>
      </c>
    </row>
    <row r="559" spans="1:4" x14ac:dyDescent="0.3">
      <c r="A559" t="s">
        <v>565</v>
      </c>
      <c r="B559">
        <v>1</v>
      </c>
      <c r="C559">
        <v>11</v>
      </c>
      <c r="D559" s="4">
        <v>45226.224999999999</v>
      </c>
    </row>
    <row r="560" spans="1:4" x14ac:dyDescent="0.3">
      <c r="A560" t="s">
        <v>566</v>
      </c>
      <c r="B560">
        <v>1</v>
      </c>
      <c r="C560">
        <v>59</v>
      </c>
      <c r="D560" s="4">
        <v>45223.030555555553</v>
      </c>
    </row>
    <row r="561" spans="1:4" x14ac:dyDescent="0.3">
      <c r="A561" t="s">
        <v>567</v>
      </c>
      <c r="B561">
        <v>1</v>
      </c>
      <c r="C561">
        <v>16</v>
      </c>
      <c r="D561" s="4">
        <v>45230.767361111109</v>
      </c>
    </row>
    <row r="562" spans="1:4" x14ac:dyDescent="0.3">
      <c r="A562" t="s">
        <v>568</v>
      </c>
      <c r="B562">
        <v>1</v>
      </c>
      <c r="C562">
        <v>110</v>
      </c>
      <c r="D562" s="4">
        <v>45205.805555555555</v>
      </c>
    </row>
    <row r="563" spans="1:4" x14ac:dyDescent="0.3">
      <c r="A563" t="s">
        <v>569</v>
      </c>
      <c r="B563">
        <v>1</v>
      </c>
      <c r="C563">
        <v>81</v>
      </c>
      <c r="D563" s="4">
        <v>45229.631249999999</v>
      </c>
    </row>
    <row r="564" spans="1:4" x14ac:dyDescent="0.3">
      <c r="A564" t="s">
        <v>570</v>
      </c>
      <c r="B564">
        <v>1</v>
      </c>
      <c r="C564">
        <v>30</v>
      </c>
      <c r="D564" s="4">
        <v>45207.472222222219</v>
      </c>
    </row>
    <row r="565" spans="1:4" x14ac:dyDescent="0.3">
      <c r="A565" t="s">
        <v>571</v>
      </c>
      <c r="B565">
        <v>1</v>
      </c>
      <c r="C565">
        <v>17</v>
      </c>
      <c r="D565" s="4">
        <v>45205.87222222222</v>
      </c>
    </row>
    <row r="566" spans="1:4" x14ac:dyDescent="0.3">
      <c r="A566" t="s">
        <v>572</v>
      </c>
      <c r="B566">
        <v>1</v>
      </c>
      <c r="C566">
        <v>42</v>
      </c>
      <c r="D566" s="4">
        <v>45207.919444444444</v>
      </c>
    </row>
    <row r="567" spans="1:4" x14ac:dyDescent="0.3">
      <c r="A567" t="s">
        <v>573</v>
      </c>
      <c r="B567">
        <v>1</v>
      </c>
      <c r="C567">
        <v>65</v>
      </c>
      <c r="D567" s="4">
        <v>45203.958333333336</v>
      </c>
    </row>
    <row r="568" spans="1:4" x14ac:dyDescent="0.3">
      <c r="A568" t="s">
        <v>574</v>
      </c>
      <c r="B568">
        <v>1</v>
      </c>
      <c r="C568">
        <v>105</v>
      </c>
      <c r="D568" s="4">
        <v>45228.515277777777</v>
      </c>
    </row>
    <row r="569" spans="1:4" x14ac:dyDescent="0.3">
      <c r="A569" t="s">
        <v>575</v>
      </c>
      <c r="B569">
        <v>1</v>
      </c>
      <c r="C569">
        <v>119</v>
      </c>
      <c r="D569" s="4">
        <v>45224.884722222225</v>
      </c>
    </row>
    <row r="570" spans="1:4" x14ac:dyDescent="0.3">
      <c r="A570" t="s">
        <v>576</v>
      </c>
      <c r="B570">
        <v>1</v>
      </c>
      <c r="C570">
        <v>89</v>
      </c>
      <c r="D570" s="4">
        <v>45205.586111111108</v>
      </c>
    </row>
    <row r="571" spans="1:4" x14ac:dyDescent="0.3">
      <c r="A571" t="s">
        <v>577</v>
      </c>
      <c r="B571">
        <v>1</v>
      </c>
      <c r="C571">
        <v>38</v>
      </c>
      <c r="D571" s="4">
        <v>45225.054166666669</v>
      </c>
    </row>
    <row r="572" spans="1:4" x14ac:dyDescent="0.3">
      <c r="A572" t="s">
        <v>578</v>
      </c>
      <c r="B572">
        <v>1</v>
      </c>
      <c r="C572">
        <v>52</v>
      </c>
      <c r="D572" s="4">
        <v>45202.443055555559</v>
      </c>
    </row>
    <row r="573" spans="1:4" x14ac:dyDescent="0.3">
      <c r="A573" t="s">
        <v>579</v>
      </c>
      <c r="B573">
        <v>1</v>
      </c>
      <c r="C573">
        <v>53</v>
      </c>
      <c r="D573" s="4">
        <v>45200.570138888892</v>
      </c>
    </row>
    <row r="574" spans="1:4" x14ac:dyDescent="0.3">
      <c r="A574" t="s">
        <v>580</v>
      </c>
      <c r="B574">
        <v>1</v>
      </c>
      <c r="C574">
        <v>52</v>
      </c>
      <c r="D574" s="4">
        <v>45205.830555555556</v>
      </c>
    </row>
    <row r="575" spans="1:4" x14ac:dyDescent="0.3">
      <c r="A575" t="s">
        <v>581</v>
      </c>
      <c r="B575">
        <v>1</v>
      </c>
      <c r="C575">
        <v>28</v>
      </c>
      <c r="D575" s="4">
        <v>45213.210416666669</v>
      </c>
    </row>
    <row r="576" spans="1:4" x14ac:dyDescent="0.3">
      <c r="A576" t="s">
        <v>582</v>
      </c>
      <c r="B576">
        <v>1</v>
      </c>
      <c r="C576">
        <v>62</v>
      </c>
      <c r="D576" s="4">
        <v>45203.425694444442</v>
      </c>
    </row>
    <row r="577" spans="1:4" x14ac:dyDescent="0.3">
      <c r="A577" t="s">
        <v>583</v>
      </c>
      <c r="B577">
        <v>1</v>
      </c>
      <c r="C577">
        <v>64</v>
      </c>
      <c r="D577" s="4">
        <v>45221.388194444444</v>
      </c>
    </row>
    <row r="578" spans="1:4" x14ac:dyDescent="0.3">
      <c r="A578" t="s">
        <v>584</v>
      </c>
      <c r="B578">
        <v>1</v>
      </c>
      <c r="C578">
        <v>33</v>
      </c>
      <c r="D578" s="4">
        <v>45212.774305555555</v>
      </c>
    </row>
    <row r="579" spans="1:4" x14ac:dyDescent="0.3">
      <c r="A579" t="s">
        <v>585</v>
      </c>
      <c r="B579">
        <v>1</v>
      </c>
      <c r="C579">
        <v>112</v>
      </c>
      <c r="D579" s="4">
        <v>45226.631249999999</v>
      </c>
    </row>
    <row r="580" spans="1:4" x14ac:dyDescent="0.3">
      <c r="A580" t="s">
        <v>586</v>
      </c>
      <c r="B580">
        <v>1</v>
      </c>
      <c r="C580">
        <v>87</v>
      </c>
      <c r="D580" s="4">
        <v>45215.776388888888</v>
      </c>
    </row>
    <row r="581" spans="1:4" x14ac:dyDescent="0.3">
      <c r="A581" t="s">
        <v>587</v>
      </c>
      <c r="B581">
        <v>2</v>
      </c>
      <c r="C581">
        <v>183</v>
      </c>
      <c r="D581" s="4">
        <v>45228.518055555556</v>
      </c>
    </row>
    <row r="582" spans="1:4" x14ac:dyDescent="0.3">
      <c r="A582" t="s">
        <v>588</v>
      </c>
      <c r="B582">
        <v>1</v>
      </c>
      <c r="C582">
        <v>39</v>
      </c>
      <c r="D582" s="4">
        <v>45222.501388888886</v>
      </c>
    </row>
    <row r="583" spans="1:4" x14ac:dyDescent="0.3">
      <c r="A583" t="s">
        <v>589</v>
      </c>
      <c r="B583">
        <v>2</v>
      </c>
      <c r="C583">
        <v>94</v>
      </c>
      <c r="D583" s="4">
        <v>45230.90625</v>
      </c>
    </row>
    <row r="584" spans="1:4" x14ac:dyDescent="0.3">
      <c r="A584" t="s">
        <v>590</v>
      </c>
      <c r="B584">
        <v>1</v>
      </c>
      <c r="C584">
        <v>115</v>
      </c>
      <c r="D584" s="4">
        <v>45226.388194444444</v>
      </c>
    </row>
    <row r="585" spans="1:4" x14ac:dyDescent="0.3">
      <c r="A585" t="s">
        <v>591</v>
      </c>
      <c r="B585">
        <v>1</v>
      </c>
      <c r="C585">
        <v>104</v>
      </c>
      <c r="D585" s="4">
        <v>45208.662499999999</v>
      </c>
    </row>
    <row r="586" spans="1:4" x14ac:dyDescent="0.3">
      <c r="A586" t="s">
        <v>592</v>
      </c>
      <c r="B586">
        <v>1</v>
      </c>
      <c r="C586">
        <v>92</v>
      </c>
      <c r="D586" s="4">
        <v>45227.297222222223</v>
      </c>
    </row>
    <row r="587" spans="1:4" x14ac:dyDescent="0.3">
      <c r="A587" t="s">
        <v>593</v>
      </c>
      <c r="B587">
        <v>2</v>
      </c>
      <c r="C587">
        <v>39</v>
      </c>
      <c r="D587" s="4">
        <v>45223.693055555559</v>
      </c>
    </row>
    <row r="588" spans="1:4" x14ac:dyDescent="0.3">
      <c r="A588" t="s">
        <v>594</v>
      </c>
      <c r="B588">
        <v>1</v>
      </c>
      <c r="C588">
        <v>6</v>
      </c>
      <c r="D588" s="4">
        <v>45211.063888888886</v>
      </c>
    </row>
    <row r="589" spans="1:4" x14ac:dyDescent="0.3">
      <c r="A589" t="s">
        <v>595</v>
      </c>
      <c r="B589">
        <v>1</v>
      </c>
      <c r="C589">
        <v>33</v>
      </c>
      <c r="D589" s="4">
        <v>45225.211111111108</v>
      </c>
    </row>
    <row r="590" spans="1:4" x14ac:dyDescent="0.3">
      <c r="A590" t="s">
        <v>596</v>
      </c>
      <c r="B590">
        <v>2</v>
      </c>
      <c r="C590">
        <v>115</v>
      </c>
      <c r="D590" s="4">
        <v>45214.081944444442</v>
      </c>
    </row>
    <row r="591" spans="1:4" x14ac:dyDescent="0.3">
      <c r="A591" t="s">
        <v>597</v>
      </c>
      <c r="B591">
        <v>1</v>
      </c>
      <c r="C591">
        <v>63</v>
      </c>
      <c r="D591" s="4">
        <v>45205.650694444441</v>
      </c>
    </row>
    <row r="592" spans="1:4" x14ac:dyDescent="0.3">
      <c r="A592" t="s">
        <v>598</v>
      </c>
      <c r="B592">
        <v>1</v>
      </c>
      <c r="C592">
        <v>43</v>
      </c>
      <c r="D592" s="4">
        <v>45209.01666666667</v>
      </c>
    </row>
    <row r="593" spans="1:4" x14ac:dyDescent="0.3">
      <c r="A593" t="s">
        <v>599</v>
      </c>
      <c r="B593">
        <v>1</v>
      </c>
      <c r="C593">
        <v>71</v>
      </c>
      <c r="D593" s="4">
        <v>45218.287499999999</v>
      </c>
    </row>
    <row r="594" spans="1:4" x14ac:dyDescent="0.3">
      <c r="A594" t="s">
        <v>600</v>
      </c>
      <c r="B594">
        <v>1</v>
      </c>
      <c r="C594">
        <v>120</v>
      </c>
      <c r="D594" s="4">
        <v>45211.324305555558</v>
      </c>
    </row>
    <row r="595" spans="1:4" x14ac:dyDescent="0.3">
      <c r="A595" t="s">
        <v>601</v>
      </c>
      <c r="B595">
        <v>1</v>
      </c>
      <c r="C595">
        <v>101</v>
      </c>
      <c r="D595" s="4">
        <v>45208.762499999997</v>
      </c>
    </row>
    <row r="596" spans="1:4" x14ac:dyDescent="0.3">
      <c r="A596" t="s">
        <v>602</v>
      </c>
      <c r="B596">
        <v>1</v>
      </c>
      <c r="C596">
        <v>26</v>
      </c>
      <c r="D596" s="4">
        <v>45201.859027777777</v>
      </c>
    </row>
    <row r="597" spans="1:4" x14ac:dyDescent="0.3">
      <c r="A597" t="s">
        <v>603</v>
      </c>
      <c r="B597">
        <v>1</v>
      </c>
      <c r="C597">
        <v>108</v>
      </c>
      <c r="D597" s="4">
        <v>45218.794444444444</v>
      </c>
    </row>
    <row r="598" spans="1:4" x14ac:dyDescent="0.3">
      <c r="A598" t="s">
        <v>604</v>
      </c>
      <c r="B598">
        <v>1</v>
      </c>
      <c r="C598">
        <v>56</v>
      </c>
      <c r="D598" s="4">
        <v>45215.272222222222</v>
      </c>
    </row>
    <row r="599" spans="1:4" x14ac:dyDescent="0.3">
      <c r="A599" t="s">
        <v>605</v>
      </c>
      <c r="B599">
        <v>1</v>
      </c>
      <c r="C599">
        <v>34</v>
      </c>
      <c r="D599" s="4">
        <v>45216.393055555556</v>
      </c>
    </row>
    <row r="600" spans="1:4" x14ac:dyDescent="0.3">
      <c r="A600" t="s">
        <v>606</v>
      </c>
      <c r="B600">
        <v>1</v>
      </c>
      <c r="C600">
        <v>33</v>
      </c>
      <c r="D600" s="4">
        <v>45201.172222222223</v>
      </c>
    </row>
    <row r="601" spans="1:4" x14ac:dyDescent="0.3">
      <c r="A601" t="s">
        <v>607</v>
      </c>
      <c r="B601">
        <v>1</v>
      </c>
      <c r="C601">
        <v>32</v>
      </c>
      <c r="D601" s="4">
        <v>45210.924305555556</v>
      </c>
    </row>
    <row r="602" spans="1:4" x14ac:dyDescent="0.3">
      <c r="A602" t="s">
        <v>608</v>
      </c>
      <c r="B602">
        <v>1</v>
      </c>
      <c r="C602">
        <v>98</v>
      </c>
      <c r="D602" s="4">
        <v>45224.104861111111</v>
      </c>
    </row>
    <row r="603" spans="1:4" x14ac:dyDescent="0.3">
      <c r="A603" t="s">
        <v>609</v>
      </c>
      <c r="B603">
        <v>1</v>
      </c>
      <c r="C603">
        <v>26</v>
      </c>
      <c r="D603" s="4">
        <v>45206.23333333333</v>
      </c>
    </row>
    <row r="604" spans="1:4" x14ac:dyDescent="0.3">
      <c r="A604" t="s">
        <v>610</v>
      </c>
      <c r="B604">
        <v>2</v>
      </c>
      <c r="C604">
        <v>72</v>
      </c>
      <c r="D604" s="4">
        <v>45224.229861111111</v>
      </c>
    </row>
    <row r="605" spans="1:4" x14ac:dyDescent="0.3">
      <c r="A605" t="s">
        <v>611</v>
      </c>
      <c r="B605">
        <v>1</v>
      </c>
      <c r="C605">
        <v>51</v>
      </c>
      <c r="D605" s="4">
        <v>45225.088888888888</v>
      </c>
    </row>
    <row r="606" spans="1:4" x14ac:dyDescent="0.3">
      <c r="A606" t="s">
        <v>612</v>
      </c>
      <c r="B606">
        <v>1</v>
      </c>
      <c r="C606">
        <v>106</v>
      </c>
      <c r="D606" s="4">
        <v>45230.64166666667</v>
      </c>
    </row>
    <row r="607" spans="1:4" x14ac:dyDescent="0.3">
      <c r="A607" t="s">
        <v>613</v>
      </c>
      <c r="B607">
        <v>1</v>
      </c>
      <c r="C607">
        <v>53</v>
      </c>
      <c r="D607" s="4">
        <v>45206.974305555559</v>
      </c>
    </row>
    <row r="608" spans="1:4" x14ac:dyDescent="0.3">
      <c r="A608" t="s">
        <v>614</v>
      </c>
      <c r="B608">
        <v>1</v>
      </c>
      <c r="C608">
        <v>84</v>
      </c>
      <c r="D608" s="4">
        <v>45211.380555555559</v>
      </c>
    </row>
    <row r="609" spans="1:4" x14ac:dyDescent="0.3">
      <c r="A609" t="s">
        <v>615</v>
      </c>
      <c r="B609">
        <v>1</v>
      </c>
      <c r="C609">
        <v>89</v>
      </c>
      <c r="D609" s="4">
        <v>45230.395138888889</v>
      </c>
    </row>
    <row r="610" spans="1:4" x14ac:dyDescent="0.3">
      <c r="A610" t="s">
        <v>616</v>
      </c>
      <c r="B610">
        <v>1</v>
      </c>
      <c r="C610">
        <v>25</v>
      </c>
      <c r="D610" s="4">
        <v>45213.963194444441</v>
      </c>
    </row>
    <row r="611" spans="1:4" x14ac:dyDescent="0.3">
      <c r="A611" t="s">
        <v>617</v>
      </c>
      <c r="B611">
        <v>1</v>
      </c>
      <c r="C611">
        <v>68</v>
      </c>
      <c r="D611" s="4">
        <v>45208.961805555555</v>
      </c>
    </row>
    <row r="612" spans="1:4" x14ac:dyDescent="0.3">
      <c r="A612" t="s">
        <v>618</v>
      </c>
      <c r="B612">
        <v>2</v>
      </c>
      <c r="C612">
        <v>75</v>
      </c>
      <c r="D612" s="4">
        <v>45230.595138888886</v>
      </c>
    </row>
    <row r="613" spans="1:4" x14ac:dyDescent="0.3">
      <c r="A613" t="s">
        <v>619</v>
      </c>
      <c r="B613">
        <v>1</v>
      </c>
      <c r="C613">
        <v>101</v>
      </c>
      <c r="D613" s="4">
        <v>45226.530555555553</v>
      </c>
    </row>
    <row r="614" spans="1:4" x14ac:dyDescent="0.3">
      <c r="A614" t="s">
        <v>620</v>
      </c>
      <c r="B614">
        <v>1</v>
      </c>
      <c r="C614">
        <v>46</v>
      </c>
      <c r="D614" s="4">
        <v>45213.87222222222</v>
      </c>
    </row>
    <row r="615" spans="1:4" x14ac:dyDescent="0.3">
      <c r="A615" t="s">
        <v>621</v>
      </c>
      <c r="B615">
        <v>1</v>
      </c>
      <c r="C615">
        <v>35</v>
      </c>
      <c r="D615" s="4">
        <v>45225.213194444441</v>
      </c>
    </row>
    <row r="616" spans="1:4" x14ac:dyDescent="0.3">
      <c r="A616" t="s">
        <v>622</v>
      </c>
      <c r="B616">
        <v>1</v>
      </c>
      <c r="C616">
        <v>47</v>
      </c>
      <c r="D616" s="4">
        <v>45204.948611111111</v>
      </c>
    </row>
    <row r="617" spans="1:4" x14ac:dyDescent="0.3">
      <c r="A617" t="s">
        <v>623</v>
      </c>
      <c r="B617">
        <v>1</v>
      </c>
      <c r="C617">
        <v>11</v>
      </c>
      <c r="D617" s="4">
        <v>45213.770833333336</v>
      </c>
    </row>
    <row r="618" spans="1:4" x14ac:dyDescent="0.3">
      <c r="A618" t="s">
        <v>624</v>
      </c>
      <c r="B618">
        <v>2</v>
      </c>
      <c r="C618">
        <v>138</v>
      </c>
      <c r="D618" s="4">
        <v>45225.779861111114</v>
      </c>
    </row>
    <row r="619" spans="1:4" x14ac:dyDescent="0.3">
      <c r="A619" t="s">
        <v>625</v>
      </c>
      <c r="B619">
        <v>1</v>
      </c>
      <c r="C619">
        <v>33</v>
      </c>
      <c r="D619" s="4">
        <v>45214.23541666667</v>
      </c>
    </row>
    <row r="620" spans="1:4" x14ac:dyDescent="0.3">
      <c r="A620" t="s">
        <v>626</v>
      </c>
      <c r="B620">
        <v>1</v>
      </c>
      <c r="C620">
        <v>75</v>
      </c>
      <c r="D620" s="4">
        <v>45212.48541666667</v>
      </c>
    </row>
    <row r="621" spans="1:4" x14ac:dyDescent="0.3">
      <c r="A621" t="s">
        <v>627</v>
      </c>
      <c r="B621">
        <v>1</v>
      </c>
      <c r="C621">
        <v>87</v>
      </c>
      <c r="D621" s="4">
        <v>45200.913888888892</v>
      </c>
    </row>
    <row r="622" spans="1:4" x14ac:dyDescent="0.3">
      <c r="A622" t="s">
        <v>628</v>
      </c>
      <c r="B622">
        <v>1</v>
      </c>
      <c r="C622">
        <v>53</v>
      </c>
      <c r="D622" s="4">
        <v>45226.997916666667</v>
      </c>
    </row>
    <row r="623" spans="1:4" x14ac:dyDescent="0.3">
      <c r="A623" t="s">
        <v>629</v>
      </c>
      <c r="B623">
        <v>1</v>
      </c>
      <c r="C623">
        <v>109</v>
      </c>
      <c r="D623" s="4">
        <v>45215.163888888892</v>
      </c>
    </row>
    <row r="624" spans="1:4" x14ac:dyDescent="0.3">
      <c r="A624" t="s">
        <v>630</v>
      </c>
      <c r="B624">
        <v>1</v>
      </c>
      <c r="C624">
        <v>35</v>
      </c>
      <c r="D624" s="4">
        <v>45213.584722222222</v>
      </c>
    </row>
    <row r="625" spans="1:4" x14ac:dyDescent="0.3">
      <c r="A625" t="s">
        <v>631</v>
      </c>
      <c r="B625">
        <v>1</v>
      </c>
      <c r="C625">
        <v>15</v>
      </c>
      <c r="D625" s="4">
        <v>45202.361805555556</v>
      </c>
    </row>
    <row r="626" spans="1:4" x14ac:dyDescent="0.3">
      <c r="A626" t="s">
        <v>632</v>
      </c>
      <c r="B626">
        <v>1</v>
      </c>
      <c r="C626">
        <v>114</v>
      </c>
      <c r="D626" s="4">
        <v>45222.943749999999</v>
      </c>
    </row>
    <row r="627" spans="1:4" x14ac:dyDescent="0.3">
      <c r="A627" t="s">
        <v>633</v>
      </c>
      <c r="B627">
        <v>1</v>
      </c>
      <c r="C627">
        <v>68</v>
      </c>
      <c r="D627" s="4">
        <v>45203.570833333331</v>
      </c>
    </row>
    <row r="628" spans="1:4" x14ac:dyDescent="0.3">
      <c r="A628" t="s">
        <v>634</v>
      </c>
      <c r="B628">
        <v>1</v>
      </c>
      <c r="C628">
        <v>62</v>
      </c>
      <c r="D628" s="4">
        <v>45223.3125</v>
      </c>
    </row>
    <row r="629" spans="1:4" x14ac:dyDescent="0.3">
      <c r="A629" t="s">
        <v>635</v>
      </c>
      <c r="B629">
        <v>1</v>
      </c>
      <c r="C629">
        <v>68</v>
      </c>
      <c r="D629" s="4">
        <v>45226.747916666667</v>
      </c>
    </row>
    <row r="630" spans="1:4" x14ac:dyDescent="0.3">
      <c r="A630" t="s">
        <v>636</v>
      </c>
      <c r="B630">
        <v>1</v>
      </c>
      <c r="C630">
        <v>106</v>
      </c>
      <c r="D630" s="4">
        <v>45203.603472222225</v>
      </c>
    </row>
    <row r="631" spans="1:4" x14ac:dyDescent="0.3">
      <c r="A631" t="s">
        <v>637</v>
      </c>
      <c r="B631">
        <v>1</v>
      </c>
      <c r="C631">
        <v>94</v>
      </c>
      <c r="D631" s="4">
        <v>45204.625</v>
      </c>
    </row>
    <row r="632" spans="1:4" x14ac:dyDescent="0.3">
      <c r="A632" t="s">
        <v>638</v>
      </c>
      <c r="B632">
        <v>1</v>
      </c>
      <c r="C632">
        <v>41</v>
      </c>
      <c r="D632" s="4">
        <v>45216.960416666669</v>
      </c>
    </row>
    <row r="633" spans="1:4" x14ac:dyDescent="0.3">
      <c r="A633" t="s">
        <v>639</v>
      </c>
      <c r="B633">
        <v>1</v>
      </c>
      <c r="C633">
        <v>93</v>
      </c>
      <c r="D633" s="4">
        <v>45217.578472222223</v>
      </c>
    </row>
    <row r="634" spans="1:4" x14ac:dyDescent="0.3">
      <c r="A634" t="s">
        <v>640</v>
      </c>
      <c r="B634">
        <v>1</v>
      </c>
      <c r="C634">
        <v>90</v>
      </c>
      <c r="D634" s="4">
        <v>45218.665972222225</v>
      </c>
    </row>
    <row r="635" spans="1:4" x14ac:dyDescent="0.3">
      <c r="A635" t="s">
        <v>641</v>
      </c>
      <c r="B635">
        <v>1</v>
      </c>
      <c r="C635">
        <v>105</v>
      </c>
      <c r="D635" s="4">
        <v>45219.438888888886</v>
      </c>
    </row>
    <row r="636" spans="1:4" x14ac:dyDescent="0.3">
      <c r="A636" t="s">
        <v>642</v>
      </c>
      <c r="B636">
        <v>1</v>
      </c>
      <c r="C636">
        <v>75</v>
      </c>
      <c r="D636" s="4">
        <v>45207.350694444445</v>
      </c>
    </row>
    <row r="637" spans="1:4" x14ac:dyDescent="0.3">
      <c r="A637" t="s">
        <v>643</v>
      </c>
      <c r="B637">
        <v>1</v>
      </c>
      <c r="C637">
        <v>100</v>
      </c>
      <c r="D637" s="4">
        <v>45213.822222222225</v>
      </c>
    </row>
    <row r="638" spans="1:4" x14ac:dyDescent="0.3">
      <c r="A638" t="s">
        <v>644</v>
      </c>
      <c r="B638">
        <v>1</v>
      </c>
      <c r="C638">
        <v>104</v>
      </c>
      <c r="D638" s="4">
        <v>45206.259027777778</v>
      </c>
    </row>
    <row r="639" spans="1:4" x14ac:dyDescent="0.3">
      <c r="A639" t="s">
        <v>645</v>
      </c>
      <c r="B639">
        <v>2</v>
      </c>
      <c r="C639">
        <v>230</v>
      </c>
      <c r="D639" s="4">
        <v>45219.929166666669</v>
      </c>
    </row>
    <row r="640" spans="1:4" x14ac:dyDescent="0.3">
      <c r="A640" t="s">
        <v>646</v>
      </c>
      <c r="B640">
        <v>1</v>
      </c>
      <c r="C640">
        <v>116</v>
      </c>
      <c r="D640" s="4">
        <v>45221.498611111114</v>
      </c>
    </row>
    <row r="641" spans="1:4" x14ac:dyDescent="0.3">
      <c r="A641" t="s">
        <v>647</v>
      </c>
      <c r="B641">
        <v>1</v>
      </c>
      <c r="C641">
        <v>33</v>
      </c>
      <c r="D641" s="4">
        <v>45217.944444444445</v>
      </c>
    </row>
    <row r="642" spans="1:4" x14ac:dyDescent="0.3">
      <c r="A642" t="s">
        <v>648</v>
      </c>
      <c r="B642">
        <v>1</v>
      </c>
      <c r="C642">
        <v>101</v>
      </c>
      <c r="D642" s="4">
        <v>45228.720833333333</v>
      </c>
    </row>
    <row r="643" spans="1:4" x14ac:dyDescent="0.3">
      <c r="A643" t="s">
        <v>649</v>
      </c>
      <c r="B643">
        <v>1</v>
      </c>
      <c r="C643">
        <v>74</v>
      </c>
      <c r="D643" s="4">
        <v>45200.67083333333</v>
      </c>
    </row>
    <row r="644" spans="1:4" x14ac:dyDescent="0.3">
      <c r="A644" t="s">
        <v>650</v>
      </c>
      <c r="B644">
        <v>1</v>
      </c>
      <c r="C644">
        <v>30</v>
      </c>
      <c r="D644" s="4">
        <v>45206.366666666669</v>
      </c>
    </row>
    <row r="645" spans="1:4" x14ac:dyDescent="0.3">
      <c r="A645" t="s">
        <v>651</v>
      </c>
      <c r="B645">
        <v>2</v>
      </c>
      <c r="C645">
        <v>148</v>
      </c>
      <c r="D645" s="4">
        <v>45225.220833333333</v>
      </c>
    </row>
    <row r="646" spans="1:4" x14ac:dyDescent="0.3">
      <c r="A646" t="s">
        <v>652</v>
      </c>
      <c r="B646">
        <v>1</v>
      </c>
      <c r="C646">
        <v>29</v>
      </c>
      <c r="D646" s="4">
        <v>45226.072222222225</v>
      </c>
    </row>
    <row r="647" spans="1:4" x14ac:dyDescent="0.3">
      <c r="A647" t="s">
        <v>653</v>
      </c>
      <c r="B647">
        <v>1</v>
      </c>
      <c r="C647">
        <v>62</v>
      </c>
      <c r="D647" s="4">
        <v>45224.709722222222</v>
      </c>
    </row>
    <row r="648" spans="1:4" x14ac:dyDescent="0.3">
      <c r="A648" t="s">
        <v>654</v>
      </c>
      <c r="B648">
        <v>1</v>
      </c>
      <c r="C648">
        <v>27</v>
      </c>
      <c r="D648" s="4">
        <v>45211.587500000001</v>
      </c>
    </row>
    <row r="649" spans="1:4" x14ac:dyDescent="0.3">
      <c r="A649" t="s">
        <v>655</v>
      </c>
      <c r="B649">
        <v>1</v>
      </c>
      <c r="C649">
        <v>92</v>
      </c>
      <c r="D649" s="4">
        <v>45219.907638888886</v>
      </c>
    </row>
    <row r="650" spans="1:4" x14ac:dyDescent="0.3">
      <c r="A650" t="s">
        <v>656</v>
      </c>
      <c r="B650">
        <v>1</v>
      </c>
      <c r="C650">
        <v>14</v>
      </c>
      <c r="D650" s="4">
        <v>45217.324305555558</v>
      </c>
    </row>
    <row r="651" spans="1:4" x14ac:dyDescent="0.3">
      <c r="A651" t="s">
        <v>657</v>
      </c>
      <c r="B651">
        <v>1</v>
      </c>
      <c r="C651">
        <v>27</v>
      </c>
      <c r="D651" s="4">
        <v>45207.701388888891</v>
      </c>
    </row>
    <row r="652" spans="1:4" x14ac:dyDescent="0.3">
      <c r="A652" t="s">
        <v>658</v>
      </c>
      <c r="B652">
        <v>1</v>
      </c>
      <c r="C652">
        <v>75</v>
      </c>
      <c r="D652" s="4">
        <v>45206.902777777781</v>
      </c>
    </row>
    <row r="653" spans="1:4" x14ac:dyDescent="0.3">
      <c r="A653" t="s">
        <v>659</v>
      </c>
      <c r="B653">
        <v>1</v>
      </c>
      <c r="C653">
        <v>20</v>
      </c>
      <c r="D653" s="4">
        <v>45226.955555555556</v>
      </c>
    </row>
    <row r="654" spans="1:4" x14ac:dyDescent="0.3">
      <c r="A654" t="s">
        <v>660</v>
      </c>
      <c r="B654">
        <v>1</v>
      </c>
      <c r="C654">
        <v>97</v>
      </c>
      <c r="D654" s="4">
        <v>45223.794444444444</v>
      </c>
    </row>
    <row r="655" spans="1:4" x14ac:dyDescent="0.3">
      <c r="A655" t="s">
        <v>661</v>
      </c>
      <c r="B655">
        <v>1</v>
      </c>
      <c r="C655">
        <v>49</v>
      </c>
      <c r="D655" s="4">
        <v>45224.984027777777</v>
      </c>
    </row>
    <row r="656" spans="1:4" x14ac:dyDescent="0.3">
      <c r="A656" t="s">
        <v>662</v>
      </c>
      <c r="B656">
        <v>1</v>
      </c>
      <c r="C656">
        <v>32</v>
      </c>
      <c r="D656" s="4">
        <v>45201.95416666667</v>
      </c>
    </row>
    <row r="657" spans="1:4" x14ac:dyDescent="0.3">
      <c r="A657" t="s">
        <v>663</v>
      </c>
      <c r="B657">
        <v>1</v>
      </c>
      <c r="C657">
        <v>120</v>
      </c>
      <c r="D657" s="4">
        <v>45216.137499999997</v>
      </c>
    </row>
    <row r="658" spans="1:4" x14ac:dyDescent="0.3">
      <c r="A658" t="s">
        <v>664</v>
      </c>
      <c r="B658">
        <v>1</v>
      </c>
      <c r="C658">
        <v>87</v>
      </c>
      <c r="D658" s="4">
        <v>45225.888194444444</v>
      </c>
    </row>
    <row r="659" spans="1:4" x14ac:dyDescent="0.3">
      <c r="A659" t="s">
        <v>665</v>
      </c>
      <c r="B659">
        <v>1</v>
      </c>
      <c r="C659">
        <v>70</v>
      </c>
      <c r="D659" s="4">
        <v>45224.6</v>
      </c>
    </row>
    <row r="660" spans="1:4" x14ac:dyDescent="0.3">
      <c r="A660" t="s">
        <v>666</v>
      </c>
      <c r="B660">
        <v>1</v>
      </c>
      <c r="C660">
        <v>23</v>
      </c>
      <c r="D660" s="4">
        <v>45212.875694444447</v>
      </c>
    </row>
    <row r="661" spans="1:4" x14ac:dyDescent="0.3">
      <c r="A661" t="s">
        <v>667</v>
      </c>
      <c r="B661">
        <v>1</v>
      </c>
      <c r="C661">
        <v>33</v>
      </c>
      <c r="D661" s="4">
        <v>45212.720833333333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A235-FEB9-4903-83B0-A022E8AB722B}">
  <dimension ref="A1:F499"/>
  <sheetViews>
    <sheetView workbookViewId="0">
      <selection activeCell="F5" sqref="F5"/>
    </sheetView>
  </sheetViews>
  <sheetFormatPr baseColWidth="10" defaultRowHeight="14.4" x14ac:dyDescent="0.3"/>
  <cols>
    <col min="1" max="1" width="30.44140625" bestFit="1" customWidth="1"/>
    <col min="2" max="2" width="13.21875" bestFit="1" customWidth="1"/>
    <col min="3" max="3" width="15" bestFit="1" customWidth="1"/>
    <col min="4" max="4" width="11.6640625" bestFit="1" customWidth="1"/>
    <col min="5" max="5" width="13.44140625" bestFit="1" customWidth="1"/>
    <col min="6" max="7" width="15.5546875" bestFit="1" customWidth="1"/>
  </cols>
  <sheetData>
    <row r="1" spans="1:6" x14ac:dyDescent="0.3">
      <c r="A1" t="s">
        <v>668</v>
      </c>
      <c r="B1" t="s">
        <v>669</v>
      </c>
      <c r="C1" t="s">
        <v>670</v>
      </c>
      <c r="D1" t="s">
        <v>671</v>
      </c>
      <c r="E1" t="s">
        <v>672</v>
      </c>
      <c r="F1" t="s">
        <v>673</v>
      </c>
    </row>
    <row r="2" spans="1:6" x14ac:dyDescent="0.3">
      <c r="A2" s="9" t="s">
        <v>506</v>
      </c>
      <c r="B2" s="9" t="s">
        <v>674</v>
      </c>
      <c r="C2" s="9">
        <v>-3.003879</v>
      </c>
      <c r="D2" s="9">
        <v>23.633893</v>
      </c>
      <c r="E2" s="9" t="s">
        <v>675</v>
      </c>
      <c r="F2" s="9" t="s">
        <v>676</v>
      </c>
    </row>
    <row r="3" spans="1:6" x14ac:dyDescent="0.3">
      <c r="A3" s="9" t="s">
        <v>677</v>
      </c>
      <c r="B3" s="9" t="s">
        <v>678</v>
      </c>
      <c r="C3" s="9">
        <v>2.413557</v>
      </c>
      <c r="D3" s="9">
        <v>19.690681999999999</v>
      </c>
      <c r="E3" s="9" t="s">
        <v>679</v>
      </c>
      <c r="F3" s="9" t="s">
        <v>680</v>
      </c>
    </row>
    <row r="4" spans="1:6" x14ac:dyDescent="0.3">
      <c r="A4" s="9" t="s">
        <v>24</v>
      </c>
      <c r="B4" s="9" t="s">
        <v>681</v>
      </c>
      <c r="C4" s="9">
        <v>-9.4708620000000003</v>
      </c>
      <c r="D4" s="9">
        <v>29.234387999999999</v>
      </c>
      <c r="E4" s="9" t="s">
        <v>682</v>
      </c>
      <c r="F4" s="9" t="s">
        <v>683</v>
      </c>
    </row>
    <row r="5" spans="1:6" x14ac:dyDescent="0.3">
      <c r="A5" s="9" t="s">
        <v>457</v>
      </c>
      <c r="B5" s="9" t="s">
        <v>684</v>
      </c>
      <c r="C5" s="9">
        <v>1.400674</v>
      </c>
      <c r="D5" s="9">
        <v>13.503126999999999</v>
      </c>
      <c r="E5" s="9" t="s">
        <v>675</v>
      </c>
      <c r="F5" s="9" t="s">
        <v>683</v>
      </c>
    </row>
    <row r="6" spans="1:6" x14ac:dyDescent="0.3">
      <c r="A6" s="9" t="s">
        <v>685</v>
      </c>
      <c r="B6" s="9" t="s">
        <v>674</v>
      </c>
      <c r="C6" s="9">
        <v>0.29375600000000002</v>
      </c>
      <c r="D6" s="9">
        <v>18.528884000000001</v>
      </c>
      <c r="E6" s="9" t="s">
        <v>675</v>
      </c>
      <c r="F6" s="9" t="s">
        <v>683</v>
      </c>
    </row>
    <row r="7" spans="1:6" x14ac:dyDescent="0.3">
      <c r="A7" s="9" t="s">
        <v>686</v>
      </c>
      <c r="B7" s="9" t="s">
        <v>687</v>
      </c>
      <c r="C7" s="9">
        <v>-4.4862339999999996</v>
      </c>
      <c r="D7" s="9">
        <v>17.956159</v>
      </c>
      <c r="E7" s="9" t="s">
        <v>682</v>
      </c>
      <c r="F7" s="9" t="s">
        <v>680</v>
      </c>
    </row>
    <row r="8" spans="1:6" x14ac:dyDescent="0.3">
      <c r="A8" s="9" t="s">
        <v>688</v>
      </c>
      <c r="B8" s="9" t="s">
        <v>681</v>
      </c>
      <c r="C8" s="9">
        <v>-12.824638999999999</v>
      </c>
      <c r="D8" s="9">
        <v>24.407249</v>
      </c>
      <c r="E8" s="9" t="s">
        <v>675</v>
      </c>
      <c r="F8" s="9" t="s">
        <v>680</v>
      </c>
    </row>
    <row r="9" spans="1:6" x14ac:dyDescent="0.3">
      <c r="A9" s="9" t="s">
        <v>100</v>
      </c>
      <c r="B9" s="9" t="s">
        <v>689</v>
      </c>
      <c r="C9" s="9">
        <v>-5.4126279999999998</v>
      </c>
      <c r="D9" s="9">
        <v>25.498235999999999</v>
      </c>
      <c r="E9" s="9" t="s">
        <v>675</v>
      </c>
      <c r="F9" s="9" t="s">
        <v>683</v>
      </c>
    </row>
    <row r="10" spans="1:6" x14ac:dyDescent="0.3">
      <c r="A10" s="9" t="s">
        <v>690</v>
      </c>
      <c r="B10" s="9" t="s">
        <v>689</v>
      </c>
      <c r="C10" s="9">
        <v>-10.579510000000001</v>
      </c>
      <c r="D10" s="9">
        <v>23.502313999999998</v>
      </c>
      <c r="E10" s="9" t="s">
        <v>679</v>
      </c>
      <c r="F10" s="9" t="s">
        <v>683</v>
      </c>
    </row>
    <row r="11" spans="1:6" x14ac:dyDescent="0.3">
      <c r="A11" s="9" t="s">
        <v>691</v>
      </c>
      <c r="B11" s="9" t="s">
        <v>692</v>
      </c>
      <c r="C11" s="9">
        <v>3.0788669999999998</v>
      </c>
      <c r="D11" s="9">
        <v>19.513650999999999</v>
      </c>
      <c r="E11" s="9" t="s">
        <v>675</v>
      </c>
      <c r="F11" s="9" t="s">
        <v>680</v>
      </c>
    </row>
    <row r="12" spans="1:6" x14ac:dyDescent="0.3">
      <c r="A12" s="9" t="s">
        <v>13</v>
      </c>
      <c r="B12" s="9" t="s">
        <v>693</v>
      </c>
      <c r="C12" s="9">
        <v>-1.648264</v>
      </c>
      <c r="D12" s="9">
        <v>28.866143999999998</v>
      </c>
      <c r="E12" s="9" t="s">
        <v>675</v>
      </c>
      <c r="F12" s="9" t="s">
        <v>676</v>
      </c>
    </row>
    <row r="13" spans="1:6" x14ac:dyDescent="0.3">
      <c r="A13" s="9" t="s">
        <v>694</v>
      </c>
      <c r="B13" s="9" t="s">
        <v>695</v>
      </c>
      <c r="C13" s="9">
        <v>-3.3883130000000001</v>
      </c>
      <c r="D13" s="9">
        <v>26.838507</v>
      </c>
      <c r="E13" s="9" t="s">
        <v>675</v>
      </c>
      <c r="F13" s="9" t="s">
        <v>696</v>
      </c>
    </row>
    <row r="14" spans="1:6" x14ac:dyDescent="0.3">
      <c r="A14" s="9" t="s">
        <v>697</v>
      </c>
      <c r="B14" s="9" t="s">
        <v>698</v>
      </c>
      <c r="C14" s="9">
        <v>-7.31691</v>
      </c>
      <c r="D14" s="9">
        <v>29.836627</v>
      </c>
      <c r="E14" s="9" t="s">
        <v>675</v>
      </c>
      <c r="F14" s="9" t="s">
        <v>683</v>
      </c>
    </row>
    <row r="15" spans="1:6" x14ac:dyDescent="0.3">
      <c r="A15" s="9" t="s">
        <v>125</v>
      </c>
      <c r="B15" s="9" t="s">
        <v>678</v>
      </c>
      <c r="C15" s="9">
        <v>-4.2408359999999998</v>
      </c>
      <c r="D15" s="9">
        <v>26.210014000000001</v>
      </c>
      <c r="E15" s="9" t="s">
        <v>679</v>
      </c>
      <c r="F15" s="9" t="s">
        <v>680</v>
      </c>
    </row>
    <row r="16" spans="1:6" x14ac:dyDescent="0.3">
      <c r="A16" s="9" t="s">
        <v>288</v>
      </c>
      <c r="B16" s="9" t="s">
        <v>687</v>
      </c>
      <c r="C16" s="9">
        <v>-8.4824669999999998</v>
      </c>
      <c r="D16" s="9">
        <v>21.897777999999999</v>
      </c>
      <c r="E16" s="9" t="s">
        <v>675</v>
      </c>
      <c r="F16" s="9" t="s">
        <v>676</v>
      </c>
    </row>
    <row r="17" spans="1:6" x14ac:dyDescent="0.3">
      <c r="A17" s="9" t="s">
        <v>467</v>
      </c>
      <c r="B17" s="9" t="s">
        <v>699</v>
      </c>
      <c r="C17" s="9">
        <v>2.453036</v>
      </c>
      <c r="D17" s="9">
        <v>20.555484</v>
      </c>
      <c r="E17" s="9" t="s">
        <v>675</v>
      </c>
      <c r="F17" s="9" t="s">
        <v>676</v>
      </c>
    </row>
    <row r="18" spans="1:6" x14ac:dyDescent="0.3">
      <c r="A18" s="9" t="s">
        <v>78</v>
      </c>
      <c r="B18" s="9" t="s">
        <v>700</v>
      </c>
      <c r="C18" s="9">
        <v>-12.141233</v>
      </c>
      <c r="D18" s="9">
        <v>15.179043999999999</v>
      </c>
      <c r="E18" s="9" t="s">
        <v>675</v>
      </c>
      <c r="F18" s="9" t="s">
        <v>676</v>
      </c>
    </row>
    <row r="19" spans="1:6" x14ac:dyDescent="0.3">
      <c r="A19" s="9" t="s">
        <v>104</v>
      </c>
      <c r="B19" s="9" t="s">
        <v>701</v>
      </c>
      <c r="C19" s="9">
        <v>-11.218453999999999</v>
      </c>
      <c r="D19" s="9">
        <v>28.230025000000001</v>
      </c>
      <c r="E19" s="9" t="s">
        <v>675</v>
      </c>
      <c r="F19" s="9" t="s">
        <v>683</v>
      </c>
    </row>
    <row r="20" spans="1:6" x14ac:dyDescent="0.3">
      <c r="A20" s="9" t="s">
        <v>40</v>
      </c>
      <c r="B20" s="9" t="s">
        <v>702</v>
      </c>
      <c r="C20" s="9">
        <v>-10.059846</v>
      </c>
      <c r="D20" s="9">
        <v>14.375757999999999</v>
      </c>
      <c r="E20" s="9" t="s">
        <v>679</v>
      </c>
      <c r="F20" s="9" t="s">
        <v>680</v>
      </c>
    </row>
    <row r="21" spans="1:6" x14ac:dyDescent="0.3">
      <c r="A21" s="9" t="s">
        <v>345</v>
      </c>
      <c r="B21" s="9" t="s">
        <v>703</v>
      </c>
      <c r="C21" s="9">
        <v>-9.1215879999999991</v>
      </c>
      <c r="D21" s="9">
        <v>16.457916999999998</v>
      </c>
      <c r="E21" s="9" t="s">
        <v>679</v>
      </c>
      <c r="F21" s="9" t="s">
        <v>696</v>
      </c>
    </row>
    <row r="22" spans="1:6" x14ac:dyDescent="0.3">
      <c r="A22" s="9" t="s">
        <v>18</v>
      </c>
      <c r="B22" s="9" t="s">
        <v>701</v>
      </c>
      <c r="C22" s="9">
        <v>-8.4227860000000003</v>
      </c>
      <c r="D22" s="9">
        <v>16.781293000000002</v>
      </c>
      <c r="E22" s="9" t="s">
        <v>679</v>
      </c>
      <c r="F22" s="9" t="s">
        <v>680</v>
      </c>
    </row>
    <row r="23" spans="1:6" x14ac:dyDescent="0.3">
      <c r="A23" s="9" t="s">
        <v>704</v>
      </c>
      <c r="B23" s="9" t="s">
        <v>705</v>
      </c>
      <c r="C23" s="9">
        <v>2.1014910000000002</v>
      </c>
      <c r="D23" s="9">
        <v>26.133631999999999</v>
      </c>
      <c r="E23" s="9" t="s">
        <v>675</v>
      </c>
      <c r="F23" s="9" t="s">
        <v>680</v>
      </c>
    </row>
    <row r="24" spans="1:6" x14ac:dyDescent="0.3">
      <c r="A24" s="9" t="s">
        <v>343</v>
      </c>
      <c r="B24" s="9" t="s">
        <v>701</v>
      </c>
      <c r="C24" s="9">
        <v>-11.266565999999999</v>
      </c>
      <c r="D24" s="9">
        <v>26.245055000000001</v>
      </c>
      <c r="E24" s="9" t="s">
        <v>682</v>
      </c>
      <c r="F24" s="9" t="s">
        <v>676</v>
      </c>
    </row>
    <row r="25" spans="1:6" x14ac:dyDescent="0.3">
      <c r="A25" s="9" t="s">
        <v>434</v>
      </c>
      <c r="B25" s="9" t="s">
        <v>706</v>
      </c>
      <c r="C25" s="9">
        <v>0.40267799999999998</v>
      </c>
      <c r="D25" s="9">
        <v>16.000858000000001</v>
      </c>
      <c r="E25" s="9" t="s">
        <v>682</v>
      </c>
      <c r="F25" s="9" t="s">
        <v>696</v>
      </c>
    </row>
    <row r="26" spans="1:6" x14ac:dyDescent="0.3">
      <c r="A26" s="9" t="s">
        <v>163</v>
      </c>
      <c r="B26" s="9" t="s">
        <v>700</v>
      </c>
      <c r="C26" s="9">
        <v>-8.3241560000000003</v>
      </c>
      <c r="D26" s="9">
        <v>19.543866000000001</v>
      </c>
      <c r="E26" s="9" t="s">
        <v>679</v>
      </c>
      <c r="F26" s="9" t="s">
        <v>683</v>
      </c>
    </row>
    <row r="27" spans="1:6" x14ac:dyDescent="0.3">
      <c r="A27" s="9" t="s">
        <v>707</v>
      </c>
      <c r="B27" s="9" t="s">
        <v>687</v>
      </c>
      <c r="C27" s="9">
        <v>-6.5144820000000001</v>
      </c>
      <c r="D27" s="9">
        <v>13.815521</v>
      </c>
      <c r="E27" s="9" t="s">
        <v>679</v>
      </c>
      <c r="F27" s="9" t="s">
        <v>683</v>
      </c>
    </row>
    <row r="28" spans="1:6" x14ac:dyDescent="0.3">
      <c r="A28" s="9" t="s">
        <v>158</v>
      </c>
      <c r="B28" s="9" t="s">
        <v>699</v>
      </c>
      <c r="C28" s="9">
        <v>-2.9651529999999999</v>
      </c>
      <c r="D28" s="9">
        <v>29.79908</v>
      </c>
      <c r="E28" s="9" t="s">
        <v>679</v>
      </c>
      <c r="F28" s="9" t="s">
        <v>676</v>
      </c>
    </row>
    <row r="29" spans="1:6" x14ac:dyDescent="0.3">
      <c r="A29" s="9" t="s">
        <v>300</v>
      </c>
      <c r="B29" s="9" t="s">
        <v>702</v>
      </c>
      <c r="C29" s="9">
        <v>1.5802860000000001</v>
      </c>
      <c r="D29" s="9">
        <v>20.99053</v>
      </c>
      <c r="E29" s="9" t="s">
        <v>679</v>
      </c>
      <c r="F29" s="9" t="s">
        <v>683</v>
      </c>
    </row>
    <row r="30" spans="1:6" x14ac:dyDescent="0.3">
      <c r="A30" s="9" t="s">
        <v>708</v>
      </c>
      <c r="B30" s="9" t="s">
        <v>706</v>
      </c>
      <c r="C30" s="9">
        <v>-6.8054750000000004</v>
      </c>
      <c r="D30" s="9">
        <v>13.022683000000001</v>
      </c>
      <c r="E30" s="9" t="s">
        <v>679</v>
      </c>
      <c r="F30" s="9" t="s">
        <v>680</v>
      </c>
    </row>
    <row r="31" spans="1:6" x14ac:dyDescent="0.3">
      <c r="A31" s="9" t="s">
        <v>709</v>
      </c>
      <c r="B31" s="9" t="s">
        <v>710</v>
      </c>
      <c r="C31" s="9">
        <v>-5.5883039999999999</v>
      </c>
      <c r="D31" s="9">
        <v>26.647739999999999</v>
      </c>
      <c r="E31" s="9" t="s">
        <v>682</v>
      </c>
      <c r="F31" s="9" t="s">
        <v>676</v>
      </c>
    </row>
    <row r="32" spans="1:6" x14ac:dyDescent="0.3">
      <c r="A32" s="9" t="s">
        <v>108</v>
      </c>
      <c r="B32" s="9" t="s">
        <v>693</v>
      </c>
      <c r="C32" s="9">
        <v>-6.6803710000000001</v>
      </c>
      <c r="D32" s="9">
        <v>21.955673000000001</v>
      </c>
      <c r="E32" s="9" t="s">
        <v>679</v>
      </c>
      <c r="F32" s="9" t="s">
        <v>696</v>
      </c>
    </row>
    <row r="33" spans="1:6" x14ac:dyDescent="0.3">
      <c r="A33" s="9" t="s">
        <v>711</v>
      </c>
      <c r="B33" s="9" t="s">
        <v>710</v>
      </c>
      <c r="C33" s="9">
        <v>-0.767455</v>
      </c>
      <c r="D33" s="9">
        <v>30.924261000000001</v>
      </c>
      <c r="E33" s="9" t="s">
        <v>682</v>
      </c>
      <c r="F33" s="9" t="s">
        <v>680</v>
      </c>
    </row>
    <row r="34" spans="1:6" x14ac:dyDescent="0.3">
      <c r="A34" s="9" t="s">
        <v>73</v>
      </c>
      <c r="B34" s="9" t="s">
        <v>681</v>
      </c>
      <c r="C34" s="9">
        <v>-2.099631</v>
      </c>
      <c r="D34" s="9">
        <v>13.974640000000001</v>
      </c>
      <c r="E34" s="9" t="s">
        <v>682</v>
      </c>
      <c r="F34" s="9" t="s">
        <v>696</v>
      </c>
    </row>
    <row r="35" spans="1:6" x14ac:dyDescent="0.3">
      <c r="A35" s="9" t="s">
        <v>712</v>
      </c>
      <c r="B35" s="9" t="s">
        <v>713</v>
      </c>
      <c r="C35" s="9">
        <v>-2.6166320000000001</v>
      </c>
      <c r="D35" s="9">
        <v>23.743941</v>
      </c>
      <c r="E35" s="9" t="s">
        <v>675</v>
      </c>
      <c r="F35" s="9" t="s">
        <v>696</v>
      </c>
    </row>
    <row r="36" spans="1:6" x14ac:dyDescent="0.3">
      <c r="A36" s="9" t="s">
        <v>490</v>
      </c>
      <c r="B36" s="9" t="s">
        <v>699</v>
      </c>
      <c r="C36" s="9">
        <v>-1.3024210000000001</v>
      </c>
      <c r="D36" s="9">
        <v>13.601914000000001</v>
      </c>
      <c r="E36" s="9" t="s">
        <v>682</v>
      </c>
      <c r="F36" s="9" t="s">
        <v>680</v>
      </c>
    </row>
    <row r="37" spans="1:6" x14ac:dyDescent="0.3">
      <c r="A37" s="9" t="s">
        <v>714</v>
      </c>
      <c r="B37" s="9" t="s">
        <v>699</v>
      </c>
      <c r="C37" s="9">
        <v>-3.3081109999999998</v>
      </c>
      <c r="D37" s="9">
        <v>29.700202000000001</v>
      </c>
      <c r="E37" s="9" t="s">
        <v>679</v>
      </c>
      <c r="F37" s="9" t="s">
        <v>696</v>
      </c>
    </row>
    <row r="38" spans="1:6" x14ac:dyDescent="0.3">
      <c r="A38" s="9" t="s">
        <v>31</v>
      </c>
      <c r="B38" s="9" t="s">
        <v>695</v>
      </c>
      <c r="C38" s="9">
        <v>4.6287159999999998</v>
      </c>
      <c r="D38" s="9">
        <v>19.407077999999998</v>
      </c>
      <c r="E38" s="9" t="s">
        <v>679</v>
      </c>
      <c r="F38" s="9" t="s">
        <v>676</v>
      </c>
    </row>
    <row r="39" spans="1:6" x14ac:dyDescent="0.3">
      <c r="A39" s="9" t="s">
        <v>386</v>
      </c>
      <c r="B39" s="9" t="s">
        <v>701</v>
      </c>
      <c r="C39" s="9">
        <v>-7.8770429999999996</v>
      </c>
      <c r="D39" s="9">
        <v>16.357762999999998</v>
      </c>
      <c r="E39" s="9" t="s">
        <v>679</v>
      </c>
      <c r="F39" s="9" t="s">
        <v>676</v>
      </c>
    </row>
    <row r="40" spans="1:6" x14ac:dyDescent="0.3">
      <c r="A40" s="9" t="s">
        <v>402</v>
      </c>
      <c r="B40" s="9" t="s">
        <v>674</v>
      </c>
      <c r="C40" s="9">
        <v>-7.1483749999999997</v>
      </c>
      <c r="D40" s="9">
        <v>26.014271000000001</v>
      </c>
      <c r="E40" s="9" t="s">
        <v>675</v>
      </c>
      <c r="F40" s="9" t="s">
        <v>680</v>
      </c>
    </row>
    <row r="41" spans="1:6" x14ac:dyDescent="0.3">
      <c r="A41" s="9" t="s">
        <v>489</v>
      </c>
      <c r="B41" s="9" t="s">
        <v>702</v>
      </c>
      <c r="C41" s="9">
        <v>-3.8119990000000001</v>
      </c>
      <c r="D41" s="9">
        <v>20.420048000000001</v>
      </c>
      <c r="E41" s="9" t="s">
        <v>682</v>
      </c>
      <c r="F41" s="9" t="s">
        <v>683</v>
      </c>
    </row>
    <row r="42" spans="1:6" x14ac:dyDescent="0.3">
      <c r="A42" s="9" t="s">
        <v>83</v>
      </c>
      <c r="B42" s="9" t="s">
        <v>698</v>
      </c>
      <c r="C42" s="9">
        <v>0.94539899999999999</v>
      </c>
      <c r="D42" s="9">
        <v>14.401821999999999</v>
      </c>
      <c r="E42" s="9" t="s">
        <v>675</v>
      </c>
      <c r="F42" s="9" t="s">
        <v>696</v>
      </c>
    </row>
    <row r="43" spans="1:6" x14ac:dyDescent="0.3">
      <c r="A43" s="9" t="s">
        <v>236</v>
      </c>
      <c r="B43" s="9" t="s">
        <v>715</v>
      </c>
      <c r="C43" s="9">
        <v>-4.9552579999999997</v>
      </c>
      <c r="D43" s="9">
        <v>22.008103999999999</v>
      </c>
      <c r="E43" s="9" t="s">
        <v>679</v>
      </c>
      <c r="F43" s="9" t="s">
        <v>680</v>
      </c>
    </row>
    <row r="44" spans="1:6" x14ac:dyDescent="0.3">
      <c r="A44" s="9" t="s">
        <v>508</v>
      </c>
      <c r="B44" s="9" t="s">
        <v>698</v>
      </c>
      <c r="C44" s="9">
        <v>-11.588665000000001</v>
      </c>
      <c r="D44" s="9">
        <v>15.241552</v>
      </c>
      <c r="E44" s="9" t="s">
        <v>679</v>
      </c>
      <c r="F44" s="9" t="s">
        <v>696</v>
      </c>
    </row>
    <row r="45" spans="1:6" x14ac:dyDescent="0.3">
      <c r="A45" s="9" t="s">
        <v>409</v>
      </c>
      <c r="B45" s="9" t="s">
        <v>692</v>
      </c>
      <c r="C45" s="9">
        <v>-1.9540519999999999</v>
      </c>
      <c r="D45" s="9">
        <v>12.667945</v>
      </c>
      <c r="E45" s="9" t="s">
        <v>679</v>
      </c>
      <c r="F45" s="9" t="s">
        <v>680</v>
      </c>
    </row>
    <row r="46" spans="1:6" x14ac:dyDescent="0.3">
      <c r="A46" s="9" t="s">
        <v>716</v>
      </c>
      <c r="B46" s="9" t="s">
        <v>705</v>
      </c>
      <c r="C46" s="9">
        <v>-4.652463</v>
      </c>
      <c r="D46" s="9">
        <v>18.779983999999999</v>
      </c>
      <c r="E46" s="9" t="s">
        <v>682</v>
      </c>
      <c r="F46" s="9" t="s">
        <v>696</v>
      </c>
    </row>
    <row r="47" spans="1:6" x14ac:dyDescent="0.3">
      <c r="A47" s="9" t="s">
        <v>717</v>
      </c>
      <c r="B47" s="9" t="s">
        <v>678</v>
      </c>
      <c r="C47" s="9">
        <v>4.2187000000000001</v>
      </c>
      <c r="D47" s="9">
        <v>29.390174999999999</v>
      </c>
      <c r="E47" s="9" t="s">
        <v>679</v>
      </c>
      <c r="F47" s="9" t="s">
        <v>683</v>
      </c>
    </row>
    <row r="48" spans="1:6" x14ac:dyDescent="0.3">
      <c r="A48" s="9" t="s">
        <v>280</v>
      </c>
      <c r="B48" s="9" t="s">
        <v>718</v>
      </c>
      <c r="C48" s="9">
        <v>2.628638</v>
      </c>
      <c r="D48" s="9">
        <v>28.420582</v>
      </c>
      <c r="E48" s="9" t="s">
        <v>679</v>
      </c>
      <c r="F48" s="9" t="s">
        <v>680</v>
      </c>
    </row>
    <row r="49" spans="1:6" x14ac:dyDescent="0.3">
      <c r="A49" s="9" t="s">
        <v>719</v>
      </c>
      <c r="B49" s="9" t="s">
        <v>701</v>
      </c>
      <c r="C49" s="9">
        <v>-1.4695480000000001</v>
      </c>
      <c r="D49" s="9">
        <v>20.876676</v>
      </c>
      <c r="E49" s="9" t="s">
        <v>675</v>
      </c>
      <c r="F49" s="9" t="s">
        <v>676</v>
      </c>
    </row>
    <row r="50" spans="1:6" x14ac:dyDescent="0.3">
      <c r="A50" s="9" t="s">
        <v>720</v>
      </c>
      <c r="B50" s="9" t="s">
        <v>721</v>
      </c>
      <c r="C50" s="9">
        <v>3.7141999999999999</v>
      </c>
      <c r="D50" s="9">
        <v>28.547066999999998</v>
      </c>
      <c r="E50" s="9" t="s">
        <v>682</v>
      </c>
      <c r="F50" s="9" t="s">
        <v>683</v>
      </c>
    </row>
    <row r="51" spans="1:6" x14ac:dyDescent="0.3">
      <c r="A51" s="9" t="s">
        <v>354</v>
      </c>
      <c r="B51" s="9" t="s">
        <v>705</v>
      </c>
      <c r="C51" s="9">
        <v>-5.4073029999999997</v>
      </c>
      <c r="D51" s="9">
        <v>29.762294000000001</v>
      </c>
      <c r="E51" s="9" t="s">
        <v>682</v>
      </c>
      <c r="F51" s="9" t="s">
        <v>676</v>
      </c>
    </row>
    <row r="52" spans="1:6" x14ac:dyDescent="0.3">
      <c r="A52" s="9" t="s">
        <v>722</v>
      </c>
      <c r="B52" s="9" t="s">
        <v>699</v>
      </c>
      <c r="C52" s="9">
        <v>-3.6233270000000002</v>
      </c>
      <c r="D52" s="9">
        <v>25.915645999999999</v>
      </c>
      <c r="E52" s="9" t="s">
        <v>682</v>
      </c>
      <c r="F52" s="9" t="s">
        <v>680</v>
      </c>
    </row>
    <row r="53" spans="1:6" x14ac:dyDescent="0.3">
      <c r="A53" s="9" t="s">
        <v>723</v>
      </c>
      <c r="B53" s="9" t="s">
        <v>674</v>
      </c>
      <c r="C53" s="9">
        <v>-8.4403710000000007</v>
      </c>
      <c r="D53" s="9">
        <v>17.231165000000001</v>
      </c>
      <c r="E53" s="9" t="s">
        <v>679</v>
      </c>
      <c r="F53" s="9" t="s">
        <v>680</v>
      </c>
    </row>
    <row r="54" spans="1:6" x14ac:dyDescent="0.3">
      <c r="A54" s="9" t="s">
        <v>237</v>
      </c>
      <c r="B54" s="9" t="s">
        <v>681</v>
      </c>
      <c r="C54" s="9">
        <v>-1.50664</v>
      </c>
      <c r="D54" s="9">
        <v>27.795642000000001</v>
      </c>
      <c r="E54" s="9" t="s">
        <v>675</v>
      </c>
      <c r="F54" s="9" t="s">
        <v>683</v>
      </c>
    </row>
    <row r="55" spans="1:6" x14ac:dyDescent="0.3">
      <c r="A55" s="9" t="s">
        <v>289</v>
      </c>
      <c r="B55" s="9" t="s">
        <v>721</v>
      </c>
      <c r="C55" s="9">
        <v>-9.4229749999999992</v>
      </c>
      <c r="D55" s="9">
        <v>29.375005999999999</v>
      </c>
      <c r="E55" s="9" t="s">
        <v>682</v>
      </c>
      <c r="F55" s="9" t="s">
        <v>676</v>
      </c>
    </row>
    <row r="56" spans="1:6" x14ac:dyDescent="0.3">
      <c r="A56" s="9" t="s">
        <v>224</v>
      </c>
      <c r="B56" s="9" t="s">
        <v>724</v>
      </c>
      <c r="C56" s="9">
        <v>2.975352</v>
      </c>
      <c r="D56" s="9">
        <v>22.535886000000001</v>
      </c>
      <c r="E56" s="9" t="s">
        <v>679</v>
      </c>
      <c r="F56" s="9" t="s">
        <v>680</v>
      </c>
    </row>
    <row r="57" spans="1:6" x14ac:dyDescent="0.3">
      <c r="A57" s="9" t="s">
        <v>446</v>
      </c>
      <c r="B57" s="9" t="s">
        <v>687</v>
      </c>
      <c r="C57" s="9">
        <v>2.5458379999999998</v>
      </c>
      <c r="D57" s="9">
        <v>13.308655</v>
      </c>
      <c r="E57" s="9" t="s">
        <v>675</v>
      </c>
      <c r="F57" s="9" t="s">
        <v>683</v>
      </c>
    </row>
    <row r="58" spans="1:6" x14ac:dyDescent="0.3">
      <c r="A58" s="9" t="s">
        <v>337</v>
      </c>
      <c r="B58" s="9" t="s">
        <v>725</v>
      </c>
      <c r="C58" s="9">
        <v>-9.0798120000000004</v>
      </c>
      <c r="D58" s="9">
        <v>14.945484</v>
      </c>
      <c r="E58" s="9" t="s">
        <v>675</v>
      </c>
      <c r="F58" s="9" t="s">
        <v>676</v>
      </c>
    </row>
    <row r="59" spans="1:6" x14ac:dyDescent="0.3">
      <c r="A59" s="9" t="s">
        <v>303</v>
      </c>
      <c r="B59" s="9" t="s">
        <v>713</v>
      </c>
      <c r="C59" s="9">
        <v>-10.967288</v>
      </c>
      <c r="D59" s="9">
        <v>17.617781000000001</v>
      </c>
      <c r="E59" s="9" t="s">
        <v>679</v>
      </c>
      <c r="F59" s="9" t="s">
        <v>676</v>
      </c>
    </row>
    <row r="60" spans="1:6" x14ac:dyDescent="0.3">
      <c r="A60" s="9" t="s">
        <v>138</v>
      </c>
      <c r="B60" s="9" t="s">
        <v>715</v>
      </c>
      <c r="C60" s="9">
        <v>-1.607639</v>
      </c>
      <c r="D60" s="9">
        <v>17.003636</v>
      </c>
      <c r="E60" s="9" t="s">
        <v>679</v>
      </c>
      <c r="F60" s="9" t="s">
        <v>676</v>
      </c>
    </row>
    <row r="61" spans="1:6" x14ac:dyDescent="0.3">
      <c r="A61" s="9" t="s">
        <v>543</v>
      </c>
      <c r="B61" s="9" t="s">
        <v>724</v>
      </c>
      <c r="C61" s="9">
        <v>-7.1587569999999996</v>
      </c>
      <c r="D61" s="9">
        <v>18.975141000000001</v>
      </c>
      <c r="E61" s="9" t="s">
        <v>675</v>
      </c>
      <c r="F61" s="9" t="s">
        <v>676</v>
      </c>
    </row>
    <row r="62" spans="1:6" x14ac:dyDescent="0.3">
      <c r="A62" s="9" t="s">
        <v>126</v>
      </c>
      <c r="B62" s="9" t="s">
        <v>701</v>
      </c>
      <c r="C62" s="9">
        <v>-9.9875139999999991</v>
      </c>
      <c r="D62" s="9">
        <v>12.013676999999999</v>
      </c>
      <c r="E62" s="9" t="s">
        <v>682</v>
      </c>
      <c r="F62" s="9" t="s">
        <v>683</v>
      </c>
    </row>
    <row r="63" spans="1:6" x14ac:dyDescent="0.3">
      <c r="A63" s="9" t="s">
        <v>454</v>
      </c>
      <c r="B63" s="9" t="s">
        <v>713</v>
      </c>
      <c r="C63" s="9">
        <v>-8.0301989999999996</v>
      </c>
      <c r="D63" s="9">
        <v>24.122495000000001</v>
      </c>
      <c r="E63" s="9" t="s">
        <v>675</v>
      </c>
      <c r="F63" s="9" t="s">
        <v>683</v>
      </c>
    </row>
    <row r="64" spans="1:6" x14ac:dyDescent="0.3">
      <c r="A64" s="9" t="s">
        <v>245</v>
      </c>
      <c r="B64" s="9" t="s">
        <v>695</v>
      </c>
      <c r="C64" s="9">
        <v>-10.846306999999999</v>
      </c>
      <c r="D64" s="9">
        <v>19.201827999999999</v>
      </c>
      <c r="E64" s="9" t="s">
        <v>679</v>
      </c>
      <c r="F64" s="9" t="s">
        <v>676</v>
      </c>
    </row>
    <row r="65" spans="1:6" x14ac:dyDescent="0.3">
      <c r="A65" s="9" t="s">
        <v>726</v>
      </c>
      <c r="B65" s="9" t="s">
        <v>725</v>
      </c>
      <c r="C65" s="9">
        <v>1.204588</v>
      </c>
      <c r="D65" s="9">
        <v>15.525152</v>
      </c>
      <c r="E65" s="9" t="s">
        <v>675</v>
      </c>
      <c r="F65" s="9" t="s">
        <v>680</v>
      </c>
    </row>
    <row r="66" spans="1:6" x14ac:dyDescent="0.3">
      <c r="A66" s="9" t="s">
        <v>452</v>
      </c>
      <c r="B66" s="9" t="s">
        <v>703</v>
      </c>
      <c r="C66" s="9">
        <v>-12.839263000000001</v>
      </c>
      <c r="D66" s="9">
        <v>12.355677</v>
      </c>
      <c r="E66" s="9" t="s">
        <v>682</v>
      </c>
      <c r="F66" s="9" t="s">
        <v>680</v>
      </c>
    </row>
    <row r="67" spans="1:6" x14ac:dyDescent="0.3">
      <c r="A67" s="9" t="s">
        <v>727</v>
      </c>
      <c r="B67" s="9" t="s">
        <v>706</v>
      </c>
      <c r="C67" s="9">
        <v>-12.244119</v>
      </c>
      <c r="D67" s="9">
        <v>28.279755999999999</v>
      </c>
      <c r="E67" s="9" t="s">
        <v>675</v>
      </c>
      <c r="F67" s="9" t="s">
        <v>683</v>
      </c>
    </row>
    <row r="68" spans="1:6" x14ac:dyDescent="0.3">
      <c r="A68" s="9" t="s">
        <v>728</v>
      </c>
      <c r="B68" s="9" t="s">
        <v>702</v>
      </c>
      <c r="C68" s="9">
        <v>1.102554</v>
      </c>
      <c r="D68" s="9">
        <v>26.744315</v>
      </c>
      <c r="E68" s="9" t="s">
        <v>682</v>
      </c>
      <c r="F68" s="9" t="s">
        <v>676</v>
      </c>
    </row>
    <row r="69" spans="1:6" x14ac:dyDescent="0.3">
      <c r="A69" s="9" t="s">
        <v>178</v>
      </c>
      <c r="B69" s="9" t="s">
        <v>693</v>
      </c>
      <c r="C69" s="9">
        <v>-4.4451280000000004</v>
      </c>
      <c r="D69" s="9">
        <v>16.536944999999999</v>
      </c>
      <c r="E69" s="9" t="s">
        <v>679</v>
      </c>
      <c r="F69" s="9" t="s">
        <v>676</v>
      </c>
    </row>
    <row r="70" spans="1:6" x14ac:dyDescent="0.3">
      <c r="A70" s="9" t="s">
        <v>174</v>
      </c>
      <c r="B70" s="9" t="s">
        <v>701</v>
      </c>
      <c r="C70" s="9">
        <v>-2.2681789999999999</v>
      </c>
      <c r="D70" s="9">
        <v>25.699068</v>
      </c>
      <c r="E70" s="9" t="s">
        <v>682</v>
      </c>
      <c r="F70" s="9" t="s">
        <v>683</v>
      </c>
    </row>
    <row r="71" spans="1:6" x14ac:dyDescent="0.3">
      <c r="A71" s="9" t="s">
        <v>110</v>
      </c>
      <c r="B71" s="9" t="s">
        <v>695</v>
      </c>
      <c r="C71" s="9">
        <v>-6.3148239999999998</v>
      </c>
      <c r="D71" s="9">
        <v>24.507498999999999</v>
      </c>
      <c r="E71" s="9" t="s">
        <v>682</v>
      </c>
      <c r="F71" s="9" t="s">
        <v>683</v>
      </c>
    </row>
    <row r="72" spans="1:6" x14ac:dyDescent="0.3">
      <c r="A72" s="9" t="s">
        <v>341</v>
      </c>
      <c r="B72" s="9" t="s">
        <v>689</v>
      </c>
      <c r="C72" s="9">
        <v>-11.389362</v>
      </c>
      <c r="D72" s="9">
        <v>22.240174</v>
      </c>
      <c r="E72" s="9" t="s">
        <v>675</v>
      </c>
      <c r="F72" s="9" t="s">
        <v>683</v>
      </c>
    </row>
    <row r="73" spans="1:6" x14ac:dyDescent="0.3">
      <c r="A73" s="9" t="s">
        <v>438</v>
      </c>
      <c r="B73" s="9" t="s">
        <v>678</v>
      </c>
      <c r="C73" s="9">
        <v>-10.161428000000001</v>
      </c>
      <c r="D73" s="9">
        <v>19.362325999999999</v>
      </c>
      <c r="E73" s="9" t="s">
        <v>682</v>
      </c>
      <c r="F73" s="9" t="s">
        <v>696</v>
      </c>
    </row>
    <row r="74" spans="1:6" x14ac:dyDescent="0.3">
      <c r="A74" s="9" t="s">
        <v>483</v>
      </c>
      <c r="B74" s="9" t="s">
        <v>713</v>
      </c>
      <c r="C74" s="9">
        <v>-11.354772000000001</v>
      </c>
      <c r="D74" s="9">
        <v>21.957325999999998</v>
      </c>
      <c r="E74" s="9" t="s">
        <v>682</v>
      </c>
      <c r="F74" s="9" t="s">
        <v>696</v>
      </c>
    </row>
    <row r="75" spans="1:6" x14ac:dyDescent="0.3">
      <c r="A75" s="9" t="s">
        <v>57</v>
      </c>
      <c r="B75" s="9" t="s">
        <v>681</v>
      </c>
      <c r="C75" s="9">
        <v>-1.864393</v>
      </c>
      <c r="D75" s="9">
        <v>21.453434000000001</v>
      </c>
      <c r="E75" s="9" t="s">
        <v>675</v>
      </c>
      <c r="F75" s="9" t="s">
        <v>676</v>
      </c>
    </row>
    <row r="76" spans="1:6" x14ac:dyDescent="0.3">
      <c r="A76" s="9" t="s">
        <v>729</v>
      </c>
      <c r="B76" s="9" t="s">
        <v>705</v>
      </c>
      <c r="C76" s="9">
        <v>3.7552780000000001</v>
      </c>
      <c r="D76" s="9">
        <v>22.477888</v>
      </c>
      <c r="E76" s="9" t="s">
        <v>682</v>
      </c>
      <c r="F76" s="9" t="s">
        <v>696</v>
      </c>
    </row>
    <row r="77" spans="1:6" x14ac:dyDescent="0.3">
      <c r="A77" s="9" t="s">
        <v>309</v>
      </c>
      <c r="B77" s="9" t="s">
        <v>695</v>
      </c>
      <c r="C77" s="9">
        <v>4.9455159999999996</v>
      </c>
      <c r="D77" s="9">
        <v>23.647746000000001</v>
      </c>
      <c r="E77" s="9" t="s">
        <v>675</v>
      </c>
      <c r="F77" s="9" t="s">
        <v>680</v>
      </c>
    </row>
    <row r="78" spans="1:6" x14ac:dyDescent="0.3">
      <c r="A78" s="9" t="s">
        <v>730</v>
      </c>
      <c r="B78" s="9" t="s">
        <v>713</v>
      </c>
      <c r="C78" s="9">
        <v>-1.7476179999999999</v>
      </c>
      <c r="D78" s="9">
        <v>18.129401000000001</v>
      </c>
      <c r="E78" s="9" t="s">
        <v>679</v>
      </c>
      <c r="F78" s="9" t="s">
        <v>676</v>
      </c>
    </row>
    <row r="79" spans="1:6" x14ac:dyDescent="0.3">
      <c r="A79" s="9" t="s">
        <v>496</v>
      </c>
      <c r="B79" s="9" t="s">
        <v>674</v>
      </c>
      <c r="C79" s="9">
        <v>-11.924048000000001</v>
      </c>
      <c r="D79" s="9">
        <v>24.177174999999998</v>
      </c>
      <c r="E79" s="9" t="s">
        <v>682</v>
      </c>
      <c r="F79" s="9" t="s">
        <v>696</v>
      </c>
    </row>
    <row r="80" spans="1:6" x14ac:dyDescent="0.3">
      <c r="A80" s="9" t="s">
        <v>223</v>
      </c>
      <c r="B80" s="9" t="s">
        <v>705</v>
      </c>
      <c r="C80" s="9">
        <v>-1.3976519999999999</v>
      </c>
      <c r="D80" s="9">
        <v>14.098819000000001</v>
      </c>
      <c r="E80" s="9" t="s">
        <v>682</v>
      </c>
      <c r="F80" s="9" t="s">
        <v>676</v>
      </c>
    </row>
    <row r="81" spans="1:6" x14ac:dyDescent="0.3">
      <c r="A81" s="9" t="s">
        <v>731</v>
      </c>
      <c r="B81" s="9" t="s">
        <v>718</v>
      </c>
      <c r="C81" s="9">
        <v>-0.37609300000000001</v>
      </c>
      <c r="D81" s="9">
        <v>21.940809999999999</v>
      </c>
      <c r="E81" s="9" t="s">
        <v>675</v>
      </c>
      <c r="F81" s="9" t="s">
        <v>680</v>
      </c>
    </row>
    <row r="82" spans="1:6" x14ac:dyDescent="0.3">
      <c r="A82" s="9" t="s">
        <v>548</v>
      </c>
      <c r="B82" s="9" t="s">
        <v>724</v>
      </c>
      <c r="C82" s="9">
        <v>1.2463919999999999</v>
      </c>
      <c r="D82" s="9">
        <v>13.266916999999999</v>
      </c>
      <c r="E82" s="9" t="s">
        <v>675</v>
      </c>
      <c r="F82" s="9" t="s">
        <v>680</v>
      </c>
    </row>
    <row r="83" spans="1:6" x14ac:dyDescent="0.3">
      <c r="A83" s="9" t="s">
        <v>639</v>
      </c>
      <c r="B83" s="9" t="s">
        <v>693</v>
      </c>
      <c r="C83" s="9">
        <v>-10.735106</v>
      </c>
      <c r="D83" s="9">
        <v>27.868673999999999</v>
      </c>
      <c r="E83" s="9" t="s">
        <v>682</v>
      </c>
      <c r="F83" s="9" t="s">
        <v>676</v>
      </c>
    </row>
    <row r="84" spans="1:6" x14ac:dyDescent="0.3">
      <c r="A84" s="9" t="s">
        <v>562</v>
      </c>
      <c r="B84" s="9" t="s">
        <v>674</v>
      </c>
      <c r="C84" s="9">
        <v>-8.8118569999999998</v>
      </c>
      <c r="D84" s="9">
        <v>14.465711000000001</v>
      </c>
      <c r="E84" s="9" t="s">
        <v>675</v>
      </c>
      <c r="F84" s="9" t="s">
        <v>696</v>
      </c>
    </row>
    <row r="85" spans="1:6" x14ac:dyDescent="0.3">
      <c r="A85" s="9" t="s">
        <v>732</v>
      </c>
      <c r="B85" s="9" t="s">
        <v>718</v>
      </c>
      <c r="C85" s="9">
        <v>4.6701629999999996</v>
      </c>
      <c r="D85" s="9">
        <v>28.596363</v>
      </c>
      <c r="E85" s="9" t="s">
        <v>675</v>
      </c>
      <c r="F85" s="9" t="s">
        <v>676</v>
      </c>
    </row>
    <row r="86" spans="1:6" x14ac:dyDescent="0.3">
      <c r="A86" s="9" t="s">
        <v>733</v>
      </c>
      <c r="B86" s="9" t="s">
        <v>713</v>
      </c>
      <c r="C86" s="9">
        <v>1.194113</v>
      </c>
      <c r="D86" s="9">
        <v>15.839502</v>
      </c>
      <c r="E86" s="9" t="s">
        <v>682</v>
      </c>
      <c r="F86" s="9" t="s">
        <v>680</v>
      </c>
    </row>
    <row r="87" spans="1:6" x14ac:dyDescent="0.3">
      <c r="A87" s="9" t="s">
        <v>399</v>
      </c>
      <c r="B87" s="9" t="s">
        <v>678</v>
      </c>
      <c r="C87" s="9">
        <v>0.62055499999999997</v>
      </c>
      <c r="D87" s="9">
        <v>21.222035000000002</v>
      </c>
      <c r="E87" s="9" t="s">
        <v>675</v>
      </c>
      <c r="F87" s="9" t="s">
        <v>696</v>
      </c>
    </row>
    <row r="88" spans="1:6" x14ac:dyDescent="0.3">
      <c r="A88" s="9" t="s">
        <v>734</v>
      </c>
      <c r="B88" s="9" t="s">
        <v>684</v>
      </c>
      <c r="C88" s="9">
        <v>1.499457</v>
      </c>
      <c r="D88" s="9">
        <v>13.876317999999999</v>
      </c>
      <c r="E88" s="9" t="s">
        <v>675</v>
      </c>
      <c r="F88" s="9" t="s">
        <v>696</v>
      </c>
    </row>
    <row r="89" spans="1:6" x14ac:dyDescent="0.3">
      <c r="A89" s="9" t="s">
        <v>54</v>
      </c>
      <c r="B89" s="9" t="s">
        <v>692</v>
      </c>
      <c r="C89" s="9">
        <v>-5.1030600000000002</v>
      </c>
      <c r="D89" s="9">
        <v>22.849231</v>
      </c>
      <c r="E89" s="9" t="s">
        <v>675</v>
      </c>
      <c r="F89" s="9" t="s">
        <v>683</v>
      </c>
    </row>
    <row r="90" spans="1:6" x14ac:dyDescent="0.3">
      <c r="A90" s="9" t="s">
        <v>87</v>
      </c>
      <c r="B90" s="9" t="s">
        <v>693</v>
      </c>
      <c r="C90" s="9">
        <v>-9.5266249999999992</v>
      </c>
      <c r="D90" s="9">
        <v>27.889690999999999</v>
      </c>
      <c r="E90" s="9" t="s">
        <v>679</v>
      </c>
      <c r="F90" s="9" t="s">
        <v>676</v>
      </c>
    </row>
    <row r="91" spans="1:6" x14ac:dyDescent="0.3">
      <c r="A91" s="9" t="s">
        <v>735</v>
      </c>
      <c r="B91" s="9" t="s">
        <v>706</v>
      </c>
      <c r="C91" s="9">
        <v>-0.59350000000000003</v>
      </c>
      <c r="D91" s="9">
        <v>24.500503999999999</v>
      </c>
      <c r="E91" s="9" t="s">
        <v>675</v>
      </c>
      <c r="F91" s="9" t="s">
        <v>680</v>
      </c>
    </row>
    <row r="92" spans="1:6" x14ac:dyDescent="0.3">
      <c r="A92" s="9" t="s">
        <v>326</v>
      </c>
      <c r="B92" s="9" t="s">
        <v>695</v>
      </c>
      <c r="C92" s="9">
        <v>-6.5529849999999996</v>
      </c>
      <c r="D92" s="9">
        <v>21.990606</v>
      </c>
      <c r="E92" s="9" t="s">
        <v>682</v>
      </c>
      <c r="F92" s="9" t="s">
        <v>680</v>
      </c>
    </row>
    <row r="93" spans="1:6" x14ac:dyDescent="0.3">
      <c r="A93" s="9" t="s">
        <v>569</v>
      </c>
      <c r="B93" s="9" t="s">
        <v>692</v>
      </c>
      <c r="C93" s="9">
        <v>-10.574821</v>
      </c>
      <c r="D93" s="9">
        <v>25.324966</v>
      </c>
      <c r="E93" s="9" t="s">
        <v>675</v>
      </c>
      <c r="F93" s="9" t="s">
        <v>676</v>
      </c>
    </row>
    <row r="94" spans="1:6" x14ac:dyDescent="0.3">
      <c r="A94" s="9" t="s">
        <v>627</v>
      </c>
      <c r="B94" s="9" t="s">
        <v>736</v>
      </c>
      <c r="C94" s="9">
        <v>3.175935</v>
      </c>
      <c r="D94" s="9">
        <v>16.862832000000001</v>
      </c>
      <c r="E94" s="9" t="s">
        <v>675</v>
      </c>
      <c r="F94" s="9" t="s">
        <v>676</v>
      </c>
    </row>
    <row r="95" spans="1:6" x14ac:dyDescent="0.3">
      <c r="A95" s="9" t="s">
        <v>188</v>
      </c>
      <c r="B95" s="9" t="s">
        <v>687</v>
      </c>
      <c r="C95" s="9">
        <v>-4.2645619999999997</v>
      </c>
      <c r="D95" s="9">
        <v>18.960726000000001</v>
      </c>
      <c r="E95" s="9" t="s">
        <v>679</v>
      </c>
      <c r="F95" s="9" t="s">
        <v>680</v>
      </c>
    </row>
    <row r="96" spans="1:6" x14ac:dyDescent="0.3">
      <c r="A96" s="9" t="s">
        <v>332</v>
      </c>
      <c r="B96" s="9" t="s">
        <v>702</v>
      </c>
      <c r="C96" s="9">
        <v>-5.125</v>
      </c>
      <c r="D96" s="9">
        <v>23.513119</v>
      </c>
      <c r="E96" s="9" t="s">
        <v>675</v>
      </c>
      <c r="F96" s="9" t="s">
        <v>680</v>
      </c>
    </row>
    <row r="97" spans="1:6" x14ac:dyDescent="0.3">
      <c r="A97" s="9" t="s">
        <v>517</v>
      </c>
      <c r="B97" s="9" t="s">
        <v>737</v>
      </c>
      <c r="C97" s="9">
        <v>-7.6951369999999999</v>
      </c>
      <c r="D97" s="9">
        <v>13.346605</v>
      </c>
      <c r="E97" s="9" t="s">
        <v>679</v>
      </c>
      <c r="F97" s="9" t="s">
        <v>676</v>
      </c>
    </row>
    <row r="98" spans="1:6" x14ac:dyDescent="0.3">
      <c r="A98" s="9" t="s">
        <v>738</v>
      </c>
      <c r="B98" s="9" t="s">
        <v>718</v>
      </c>
      <c r="C98" s="9">
        <v>-0.45332</v>
      </c>
      <c r="D98" s="9">
        <v>29.674009999999999</v>
      </c>
      <c r="E98" s="9" t="s">
        <v>675</v>
      </c>
      <c r="F98" s="9" t="s">
        <v>676</v>
      </c>
    </row>
    <row r="99" spans="1:6" x14ac:dyDescent="0.3">
      <c r="A99" s="9" t="s">
        <v>293</v>
      </c>
      <c r="B99" s="9" t="s">
        <v>724</v>
      </c>
      <c r="C99" s="9">
        <v>-9.5840350000000001</v>
      </c>
      <c r="D99" s="9">
        <v>15.966024000000001</v>
      </c>
      <c r="E99" s="9" t="s">
        <v>675</v>
      </c>
      <c r="F99" s="9" t="s">
        <v>696</v>
      </c>
    </row>
    <row r="100" spans="1:6" x14ac:dyDescent="0.3">
      <c r="A100" s="9" t="s">
        <v>632</v>
      </c>
      <c r="B100" s="9" t="s">
        <v>718</v>
      </c>
      <c r="C100" s="9">
        <v>-9.6407190000000007</v>
      </c>
      <c r="D100" s="9">
        <v>21.336704999999998</v>
      </c>
      <c r="E100" s="9" t="s">
        <v>679</v>
      </c>
      <c r="F100" s="9" t="s">
        <v>683</v>
      </c>
    </row>
    <row r="101" spans="1:6" x14ac:dyDescent="0.3">
      <c r="A101" s="9" t="s">
        <v>739</v>
      </c>
      <c r="B101" s="9" t="s">
        <v>703</v>
      </c>
      <c r="C101" s="9">
        <v>-6.7420359999999997</v>
      </c>
      <c r="D101" s="9">
        <v>28.905578999999999</v>
      </c>
      <c r="E101" s="9" t="s">
        <v>682</v>
      </c>
      <c r="F101" s="9" t="s">
        <v>680</v>
      </c>
    </row>
    <row r="102" spans="1:6" x14ac:dyDescent="0.3">
      <c r="A102" s="9" t="s">
        <v>216</v>
      </c>
      <c r="B102" s="9" t="s">
        <v>721</v>
      </c>
      <c r="C102" s="9">
        <v>0.16841400000000001</v>
      </c>
      <c r="D102" s="9">
        <v>30.029876999999999</v>
      </c>
      <c r="E102" s="9" t="s">
        <v>675</v>
      </c>
      <c r="F102" s="9" t="s">
        <v>680</v>
      </c>
    </row>
    <row r="103" spans="1:6" x14ac:dyDescent="0.3">
      <c r="A103" s="9" t="s">
        <v>740</v>
      </c>
      <c r="B103" s="9" t="s">
        <v>706</v>
      </c>
      <c r="C103" s="9">
        <v>-5.9281110000000004</v>
      </c>
      <c r="D103" s="9">
        <v>29.607863999999999</v>
      </c>
      <c r="E103" s="9" t="s">
        <v>679</v>
      </c>
      <c r="F103" s="9" t="s">
        <v>680</v>
      </c>
    </row>
    <row r="104" spans="1:6" x14ac:dyDescent="0.3">
      <c r="A104" s="9" t="s">
        <v>38</v>
      </c>
      <c r="B104" s="9" t="s">
        <v>702</v>
      </c>
      <c r="C104" s="9">
        <v>-4.9789079999999997</v>
      </c>
      <c r="D104" s="9">
        <v>28.506295000000001</v>
      </c>
      <c r="E104" s="9" t="s">
        <v>679</v>
      </c>
      <c r="F104" s="9" t="s">
        <v>680</v>
      </c>
    </row>
    <row r="105" spans="1:6" x14ac:dyDescent="0.3">
      <c r="A105" s="9" t="s">
        <v>318</v>
      </c>
      <c r="B105" s="9" t="s">
        <v>706</v>
      </c>
      <c r="C105" s="9">
        <v>-2.2876210000000001</v>
      </c>
      <c r="D105" s="9">
        <v>27.582545</v>
      </c>
      <c r="E105" s="9" t="s">
        <v>679</v>
      </c>
      <c r="F105" s="9" t="s">
        <v>680</v>
      </c>
    </row>
    <row r="106" spans="1:6" x14ac:dyDescent="0.3">
      <c r="A106" s="9" t="s">
        <v>551</v>
      </c>
      <c r="B106" s="9" t="s">
        <v>681</v>
      </c>
      <c r="C106" s="9">
        <v>-3.9148719999999999</v>
      </c>
      <c r="D106" s="9">
        <v>12.260933</v>
      </c>
      <c r="E106" s="9" t="s">
        <v>679</v>
      </c>
      <c r="F106" s="9" t="s">
        <v>676</v>
      </c>
    </row>
    <row r="107" spans="1:6" x14ac:dyDescent="0.3">
      <c r="A107" s="9" t="s">
        <v>123</v>
      </c>
      <c r="B107" s="9" t="s">
        <v>681</v>
      </c>
      <c r="C107" s="9">
        <v>-9.002459</v>
      </c>
      <c r="D107" s="9">
        <v>25.182109000000001</v>
      </c>
      <c r="E107" s="9" t="s">
        <v>675</v>
      </c>
      <c r="F107" s="9" t="s">
        <v>680</v>
      </c>
    </row>
    <row r="108" spans="1:6" x14ac:dyDescent="0.3">
      <c r="A108" s="9" t="s">
        <v>257</v>
      </c>
      <c r="B108" s="9" t="s">
        <v>698</v>
      </c>
      <c r="C108" s="9">
        <v>-7.7839049999999999</v>
      </c>
      <c r="D108" s="9">
        <v>14.114281999999999</v>
      </c>
      <c r="E108" s="9" t="s">
        <v>682</v>
      </c>
      <c r="F108" s="9" t="s">
        <v>683</v>
      </c>
    </row>
    <row r="109" spans="1:6" x14ac:dyDescent="0.3">
      <c r="A109" s="9" t="s">
        <v>63</v>
      </c>
      <c r="B109" s="9" t="s">
        <v>678</v>
      </c>
      <c r="C109" s="9">
        <v>-5.9021970000000001</v>
      </c>
      <c r="D109" s="9">
        <v>20.551169999999999</v>
      </c>
      <c r="E109" s="9" t="s">
        <v>682</v>
      </c>
      <c r="F109" s="9" t="s">
        <v>680</v>
      </c>
    </row>
    <row r="110" spans="1:6" x14ac:dyDescent="0.3">
      <c r="A110" s="9" t="s">
        <v>741</v>
      </c>
      <c r="B110" s="9" t="s">
        <v>700</v>
      </c>
      <c r="C110" s="9">
        <v>-10.620597</v>
      </c>
      <c r="D110" s="9">
        <v>12.432214</v>
      </c>
      <c r="E110" s="9" t="s">
        <v>679</v>
      </c>
      <c r="F110" s="9" t="s">
        <v>680</v>
      </c>
    </row>
    <row r="111" spans="1:6" x14ac:dyDescent="0.3">
      <c r="A111" s="9" t="s">
        <v>86</v>
      </c>
      <c r="B111" s="9" t="s">
        <v>737</v>
      </c>
      <c r="C111" s="9">
        <v>-11.514188000000001</v>
      </c>
      <c r="D111" s="9">
        <v>15.971181</v>
      </c>
      <c r="E111" s="9" t="s">
        <v>675</v>
      </c>
      <c r="F111" s="9" t="s">
        <v>676</v>
      </c>
    </row>
    <row r="112" spans="1:6" x14ac:dyDescent="0.3">
      <c r="A112" s="9" t="s">
        <v>71</v>
      </c>
      <c r="B112" s="9" t="s">
        <v>736</v>
      </c>
      <c r="C112" s="9">
        <v>-2.7140689999999998</v>
      </c>
      <c r="D112" s="9">
        <v>22.222104000000002</v>
      </c>
      <c r="E112" s="9" t="s">
        <v>679</v>
      </c>
      <c r="F112" s="9" t="s">
        <v>696</v>
      </c>
    </row>
    <row r="113" spans="1:6" x14ac:dyDescent="0.3">
      <c r="A113" s="9" t="s">
        <v>269</v>
      </c>
      <c r="B113" s="9" t="s">
        <v>724</v>
      </c>
      <c r="C113" s="9">
        <v>-12.112399999999999</v>
      </c>
      <c r="D113" s="9">
        <v>15.872226</v>
      </c>
      <c r="E113" s="9" t="s">
        <v>679</v>
      </c>
      <c r="F113" s="9" t="s">
        <v>696</v>
      </c>
    </row>
    <row r="114" spans="1:6" x14ac:dyDescent="0.3">
      <c r="A114" s="9" t="s">
        <v>664</v>
      </c>
      <c r="B114" s="9" t="s">
        <v>718</v>
      </c>
      <c r="C114" s="9">
        <v>-5.8145569999999998</v>
      </c>
      <c r="D114" s="9">
        <v>21.942052</v>
      </c>
      <c r="E114" s="9" t="s">
        <v>675</v>
      </c>
      <c r="F114" s="9" t="s">
        <v>680</v>
      </c>
    </row>
    <row r="115" spans="1:6" x14ac:dyDescent="0.3">
      <c r="A115" s="9" t="s">
        <v>412</v>
      </c>
      <c r="B115" s="9" t="s">
        <v>721</v>
      </c>
      <c r="C115" s="9">
        <v>-11.468578000000001</v>
      </c>
      <c r="D115" s="9">
        <v>16.914501999999999</v>
      </c>
      <c r="E115" s="9" t="s">
        <v>679</v>
      </c>
      <c r="F115" s="9" t="s">
        <v>676</v>
      </c>
    </row>
    <row r="116" spans="1:6" x14ac:dyDescent="0.3">
      <c r="A116" s="9" t="s">
        <v>742</v>
      </c>
      <c r="B116" s="9" t="s">
        <v>698</v>
      </c>
      <c r="C116" s="9">
        <v>-3.967184</v>
      </c>
      <c r="D116" s="9">
        <v>21.177499999999998</v>
      </c>
      <c r="E116" s="9" t="s">
        <v>682</v>
      </c>
      <c r="F116" s="9" t="s">
        <v>680</v>
      </c>
    </row>
    <row r="117" spans="1:6" x14ac:dyDescent="0.3">
      <c r="A117" s="9" t="s">
        <v>743</v>
      </c>
      <c r="B117" s="9" t="s">
        <v>695</v>
      </c>
      <c r="C117" s="9">
        <v>0.92885200000000001</v>
      </c>
      <c r="D117" s="9">
        <v>25.868548000000001</v>
      </c>
      <c r="E117" s="9" t="s">
        <v>675</v>
      </c>
      <c r="F117" s="9" t="s">
        <v>696</v>
      </c>
    </row>
    <row r="118" spans="1:6" x14ac:dyDescent="0.3">
      <c r="A118" s="9" t="s">
        <v>456</v>
      </c>
      <c r="B118" s="9" t="s">
        <v>725</v>
      </c>
      <c r="C118" s="9">
        <v>-10.653247</v>
      </c>
      <c r="D118" s="9">
        <v>14.685601</v>
      </c>
      <c r="E118" s="9" t="s">
        <v>679</v>
      </c>
      <c r="F118" s="9" t="s">
        <v>676</v>
      </c>
    </row>
    <row r="119" spans="1:6" x14ac:dyDescent="0.3">
      <c r="A119" s="9" t="s">
        <v>744</v>
      </c>
      <c r="B119" s="9" t="s">
        <v>713</v>
      </c>
      <c r="C119" s="9">
        <v>-10.572326</v>
      </c>
      <c r="D119" s="9">
        <v>25.276349</v>
      </c>
      <c r="E119" s="9" t="s">
        <v>682</v>
      </c>
      <c r="F119" s="9" t="s">
        <v>683</v>
      </c>
    </row>
    <row r="120" spans="1:6" x14ac:dyDescent="0.3">
      <c r="A120" s="9" t="s">
        <v>745</v>
      </c>
      <c r="B120" s="9" t="s">
        <v>724</v>
      </c>
      <c r="C120" s="9">
        <v>-2.9326690000000002</v>
      </c>
      <c r="D120" s="9">
        <v>12.349382</v>
      </c>
      <c r="E120" s="9" t="s">
        <v>675</v>
      </c>
      <c r="F120" s="9" t="s">
        <v>683</v>
      </c>
    </row>
    <row r="121" spans="1:6" x14ac:dyDescent="0.3">
      <c r="A121" s="9" t="s">
        <v>577</v>
      </c>
      <c r="B121" s="9" t="s">
        <v>713</v>
      </c>
      <c r="C121" s="9">
        <v>-4.2184999999999997</v>
      </c>
      <c r="D121" s="9">
        <v>23.077093999999999</v>
      </c>
      <c r="E121" s="9" t="s">
        <v>679</v>
      </c>
      <c r="F121" s="9" t="s">
        <v>676</v>
      </c>
    </row>
    <row r="122" spans="1:6" x14ac:dyDescent="0.3">
      <c r="A122" s="9" t="s">
        <v>746</v>
      </c>
      <c r="B122" s="9" t="s">
        <v>687</v>
      </c>
      <c r="C122" s="9">
        <v>-1.259528</v>
      </c>
      <c r="D122" s="9">
        <v>24.607037999999999</v>
      </c>
      <c r="E122" s="9" t="s">
        <v>679</v>
      </c>
      <c r="F122" s="9" t="s">
        <v>683</v>
      </c>
    </row>
    <row r="123" spans="1:6" x14ac:dyDescent="0.3">
      <c r="A123" s="9" t="s">
        <v>114</v>
      </c>
      <c r="B123" s="9" t="s">
        <v>699</v>
      </c>
      <c r="C123" s="9">
        <v>-9.4702129999999993</v>
      </c>
      <c r="D123" s="9">
        <v>12.826158</v>
      </c>
      <c r="E123" s="9" t="s">
        <v>682</v>
      </c>
      <c r="F123" s="9" t="s">
        <v>676</v>
      </c>
    </row>
    <row r="124" spans="1:6" x14ac:dyDescent="0.3">
      <c r="A124" s="9" t="s">
        <v>294</v>
      </c>
      <c r="B124" s="9" t="s">
        <v>710</v>
      </c>
      <c r="C124" s="9">
        <v>-1.9120569999999999</v>
      </c>
      <c r="D124" s="9">
        <v>15.236072999999999</v>
      </c>
      <c r="E124" s="9" t="s">
        <v>675</v>
      </c>
      <c r="F124" s="9" t="s">
        <v>680</v>
      </c>
    </row>
    <row r="125" spans="1:6" x14ac:dyDescent="0.3">
      <c r="A125" s="9" t="s">
        <v>129</v>
      </c>
      <c r="B125" s="9" t="s">
        <v>710</v>
      </c>
      <c r="C125" s="9">
        <v>0.24202000000000001</v>
      </c>
      <c r="D125" s="9">
        <v>17.396256999999999</v>
      </c>
      <c r="E125" s="9" t="s">
        <v>679</v>
      </c>
      <c r="F125" s="9" t="s">
        <v>680</v>
      </c>
    </row>
    <row r="126" spans="1:6" x14ac:dyDescent="0.3">
      <c r="A126" s="9" t="s">
        <v>139</v>
      </c>
      <c r="B126" s="9" t="s">
        <v>678</v>
      </c>
      <c r="C126" s="9">
        <v>-8.5675749999999997</v>
      </c>
      <c r="D126" s="9">
        <v>26.994581</v>
      </c>
      <c r="E126" s="9" t="s">
        <v>682</v>
      </c>
      <c r="F126" s="9" t="s">
        <v>696</v>
      </c>
    </row>
    <row r="127" spans="1:6" x14ac:dyDescent="0.3">
      <c r="A127" s="9" t="s">
        <v>56</v>
      </c>
      <c r="B127" s="9" t="s">
        <v>713</v>
      </c>
      <c r="C127" s="9">
        <v>-11.710407999999999</v>
      </c>
      <c r="D127" s="9">
        <v>23.741330999999999</v>
      </c>
      <c r="E127" s="9" t="s">
        <v>682</v>
      </c>
      <c r="F127" s="9" t="s">
        <v>680</v>
      </c>
    </row>
    <row r="128" spans="1:6" x14ac:dyDescent="0.3">
      <c r="A128" s="9" t="s">
        <v>747</v>
      </c>
      <c r="B128" s="9" t="s">
        <v>705</v>
      </c>
      <c r="C128" s="9">
        <v>0.98189400000000004</v>
      </c>
      <c r="D128" s="9">
        <v>13.008620000000001</v>
      </c>
      <c r="E128" s="9" t="s">
        <v>679</v>
      </c>
      <c r="F128" s="9" t="s">
        <v>680</v>
      </c>
    </row>
    <row r="129" spans="1:6" x14ac:dyDescent="0.3">
      <c r="A129" s="9" t="s">
        <v>317</v>
      </c>
      <c r="B129" s="9" t="s">
        <v>718</v>
      </c>
      <c r="C129" s="9">
        <v>-7.1785899999999998</v>
      </c>
      <c r="D129" s="9">
        <v>24.4404</v>
      </c>
      <c r="E129" s="9" t="s">
        <v>679</v>
      </c>
      <c r="F129" s="9" t="s">
        <v>696</v>
      </c>
    </row>
    <row r="130" spans="1:6" x14ac:dyDescent="0.3">
      <c r="A130" s="9" t="s">
        <v>319</v>
      </c>
      <c r="B130" s="9" t="s">
        <v>737</v>
      </c>
      <c r="C130" s="9">
        <v>3.6344850000000002</v>
      </c>
      <c r="D130" s="9">
        <v>12.158348999999999</v>
      </c>
      <c r="E130" s="9" t="s">
        <v>675</v>
      </c>
      <c r="F130" s="9" t="s">
        <v>676</v>
      </c>
    </row>
    <row r="131" spans="1:6" x14ac:dyDescent="0.3">
      <c r="A131" s="9" t="s">
        <v>336</v>
      </c>
      <c r="B131" s="9" t="s">
        <v>700</v>
      </c>
      <c r="C131" s="9">
        <v>-11.387295999999999</v>
      </c>
      <c r="D131" s="9">
        <v>19.384257999999999</v>
      </c>
      <c r="E131" s="9" t="s">
        <v>682</v>
      </c>
      <c r="F131" s="9" t="s">
        <v>680</v>
      </c>
    </row>
    <row r="132" spans="1:6" x14ac:dyDescent="0.3">
      <c r="A132" s="9" t="s">
        <v>329</v>
      </c>
      <c r="B132" s="9" t="s">
        <v>689</v>
      </c>
      <c r="C132" s="9">
        <v>-0.90854400000000002</v>
      </c>
      <c r="D132" s="9">
        <v>17.154896999999998</v>
      </c>
      <c r="E132" s="9" t="s">
        <v>682</v>
      </c>
      <c r="F132" s="9" t="s">
        <v>680</v>
      </c>
    </row>
    <row r="133" spans="1:6" x14ac:dyDescent="0.3">
      <c r="A133" s="9" t="s">
        <v>306</v>
      </c>
      <c r="B133" s="9" t="s">
        <v>737</v>
      </c>
      <c r="C133" s="9">
        <v>-5.3762689999999997</v>
      </c>
      <c r="D133" s="9">
        <v>28.189575999999999</v>
      </c>
      <c r="E133" s="9" t="s">
        <v>675</v>
      </c>
      <c r="F133" s="9" t="s">
        <v>680</v>
      </c>
    </row>
    <row r="134" spans="1:6" x14ac:dyDescent="0.3">
      <c r="A134" s="9" t="s">
        <v>748</v>
      </c>
      <c r="B134" s="9" t="s">
        <v>713</v>
      </c>
      <c r="C134" s="9">
        <v>-6.7304589999999997</v>
      </c>
      <c r="D134" s="9">
        <v>24.541906999999998</v>
      </c>
      <c r="E134" s="9" t="s">
        <v>679</v>
      </c>
      <c r="F134" s="9" t="s">
        <v>696</v>
      </c>
    </row>
    <row r="135" spans="1:6" x14ac:dyDescent="0.3">
      <c r="A135" s="9" t="s">
        <v>663</v>
      </c>
      <c r="B135" s="9" t="s">
        <v>737</v>
      </c>
      <c r="C135" s="9">
        <v>-7.2267089999999996</v>
      </c>
      <c r="D135" s="9">
        <v>28.421362999999999</v>
      </c>
      <c r="E135" s="9" t="s">
        <v>675</v>
      </c>
      <c r="F135" s="9" t="s">
        <v>676</v>
      </c>
    </row>
    <row r="136" spans="1:6" x14ac:dyDescent="0.3">
      <c r="A136" s="9" t="s">
        <v>153</v>
      </c>
      <c r="B136" s="9" t="s">
        <v>695</v>
      </c>
      <c r="C136" s="9">
        <v>-2.3102109999999998</v>
      </c>
      <c r="D136" s="9">
        <v>12.362488000000001</v>
      </c>
      <c r="E136" s="9" t="s">
        <v>675</v>
      </c>
      <c r="F136" s="9" t="s">
        <v>696</v>
      </c>
    </row>
    <row r="137" spans="1:6" x14ac:dyDescent="0.3">
      <c r="A137" s="9" t="s">
        <v>243</v>
      </c>
      <c r="B137" s="9" t="s">
        <v>724</v>
      </c>
      <c r="C137" s="9">
        <v>-12.564277000000001</v>
      </c>
      <c r="D137" s="9">
        <v>28.480798</v>
      </c>
      <c r="E137" s="9" t="s">
        <v>675</v>
      </c>
      <c r="F137" s="9" t="s">
        <v>683</v>
      </c>
    </row>
    <row r="138" spans="1:6" x14ac:dyDescent="0.3">
      <c r="A138" s="9" t="s">
        <v>620</v>
      </c>
      <c r="B138" s="9" t="s">
        <v>736</v>
      </c>
      <c r="C138" s="9">
        <v>-7.513261</v>
      </c>
      <c r="D138" s="9">
        <v>24.338812000000001</v>
      </c>
      <c r="E138" s="9" t="s">
        <v>675</v>
      </c>
      <c r="F138" s="9" t="s">
        <v>680</v>
      </c>
    </row>
    <row r="139" spans="1:6" x14ac:dyDescent="0.3">
      <c r="A139" s="9" t="s">
        <v>428</v>
      </c>
      <c r="B139" s="9" t="s">
        <v>684</v>
      </c>
      <c r="C139" s="9">
        <v>4.7777349999999998</v>
      </c>
      <c r="D139" s="9">
        <v>16.392204</v>
      </c>
      <c r="E139" s="9" t="s">
        <v>675</v>
      </c>
      <c r="F139" s="9" t="s">
        <v>683</v>
      </c>
    </row>
    <row r="140" spans="1:6" x14ac:dyDescent="0.3">
      <c r="A140" s="9" t="s">
        <v>749</v>
      </c>
      <c r="B140" s="9" t="s">
        <v>724</v>
      </c>
      <c r="C140" s="9">
        <v>-1.9080220000000001</v>
      </c>
      <c r="D140" s="9">
        <v>19.233322999999999</v>
      </c>
      <c r="E140" s="9" t="s">
        <v>682</v>
      </c>
      <c r="F140" s="9" t="s">
        <v>676</v>
      </c>
    </row>
    <row r="141" spans="1:6" x14ac:dyDescent="0.3">
      <c r="A141" s="9" t="s">
        <v>478</v>
      </c>
      <c r="B141" s="9" t="s">
        <v>687</v>
      </c>
      <c r="C141" s="9">
        <v>4.8228650000000002</v>
      </c>
      <c r="D141" s="9">
        <v>30.555627000000001</v>
      </c>
      <c r="E141" s="9" t="s">
        <v>679</v>
      </c>
      <c r="F141" s="9" t="s">
        <v>680</v>
      </c>
    </row>
    <row r="142" spans="1:6" x14ac:dyDescent="0.3">
      <c r="A142" s="9" t="s">
        <v>128</v>
      </c>
      <c r="B142" s="9" t="s">
        <v>703</v>
      </c>
      <c r="C142" s="9">
        <v>-5.0402180000000003</v>
      </c>
      <c r="D142" s="9">
        <v>13.892471</v>
      </c>
      <c r="E142" s="9" t="s">
        <v>682</v>
      </c>
      <c r="F142" s="9" t="s">
        <v>683</v>
      </c>
    </row>
    <row r="143" spans="1:6" x14ac:dyDescent="0.3">
      <c r="A143" s="9" t="s">
        <v>19</v>
      </c>
      <c r="B143" s="9" t="s">
        <v>698</v>
      </c>
      <c r="C143" s="9">
        <v>-10.375266999999999</v>
      </c>
      <c r="D143" s="9">
        <v>17.993663000000002</v>
      </c>
      <c r="E143" s="9" t="s">
        <v>675</v>
      </c>
      <c r="F143" s="9" t="s">
        <v>683</v>
      </c>
    </row>
    <row r="144" spans="1:6" x14ac:dyDescent="0.3">
      <c r="A144" s="9" t="s">
        <v>417</v>
      </c>
      <c r="B144" s="9" t="s">
        <v>715</v>
      </c>
      <c r="C144" s="9">
        <v>-12.192204</v>
      </c>
      <c r="D144" s="9">
        <v>28.468682000000001</v>
      </c>
      <c r="E144" s="9" t="s">
        <v>682</v>
      </c>
      <c r="F144" s="9" t="s">
        <v>683</v>
      </c>
    </row>
    <row r="145" spans="1:6" x14ac:dyDescent="0.3">
      <c r="A145" s="9" t="s">
        <v>360</v>
      </c>
      <c r="B145" s="9" t="s">
        <v>687</v>
      </c>
      <c r="C145" s="9">
        <v>1.727095</v>
      </c>
      <c r="D145" s="9">
        <v>22.099651999999999</v>
      </c>
      <c r="E145" s="9" t="s">
        <v>679</v>
      </c>
      <c r="F145" s="9" t="s">
        <v>680</v>
      </c>
    </row>
    <row r="146" spans="1:6" x14ac:dyDescent="0.3">
      <c r="A146" s="9" t="s">
        <v>750</v>
      </c>
      <c r="B146" s="9" t="s">
        <v>684</v>
      </c>
      <c r="C146" s="9">
        <v>-9.4056660000000001</v>
      </c>
      <c r="D146" s="9">
        <v>15.541930000000001</v>
      </c>
      <c r="E146" s="9" t="s">
        <v>679</v>
      </c>
      <c r="F146" s="9" t="s">
        <v>680</v>
      </c>
    </row>
    <row r="147" spans="1:6" x14ac:dyDescent="0.3">
      <c r="A147" s="9" t="s">
        <v>751</v>
      </c>
      <c r="B147" s="9" t="s">
        <v>681</v>
      </c>
      <c r="C147" s="9">
        <v>-6.2712260000000004</v>
      </c>
      <c r="D147" s="9">
        <v>21.512366</v>
      </c>
      <c r="E147" s="9" t="s">
        <v>675</v>
      </c>
      <c r="F147" s="9" t="s">
        <v>680</v>
      </c>
    </row>
    <row r="148" spans="1:6" x14ac:dyDescent="0.3">
      <c r="A148" s="9" t="s">
        <v>204</v>
      </c>
      <c r="B148" s="9" t="s">
        <v>705</v>
      </c>
      <c r="C148" s="9">
        <v>0.639208</v>
      </c>
      <c r="D148" s="9">
        <v>20.701739</v>
      </c>
      <c r="E148" s="9" t="s">
        <v>679</v>
      </c>
      <c r="F148" s="9" t="s">
        <v>680</v>
      </c>
    </row>
    <row r="149" spans="1:6" x14ac:dyDescent="0.3">
      <c r="A149" s="9" t="s">
        <v>752</v>
      </c>
      <c r="B149" s="9" t="s">
        <v>715</v>
      </c>
      <c r="C149" s="9">
        <v>2.349755</v>
      </c>
      <c r="D149" s="9">
        <v>29.600649000000001</v>
      </c>
      <c r="E149" s="9" t="s">
        <v>679</v>
      </c>
      <c r="F149" s="9" t="s">
        <v>696</v>
      </c>
    </row>
    <row r="150" spans="1:6" x14ac:dyDescent="0.3">
      <c r="A150" s="9" t="s">
        <v>597</v>
      </c>
      <c r="B150" s="9" t="s">
        <v>724</v>
      </c>
      <c r="C150" s="9">
        <v>-10.977309</v>
      </c>
      <c r="D150" s="9">
        <v>12.408281000000001</v>
      </c>
      <c r="E150" s="9" t="s">
        <v>675</v>
      </c>
      <c r="F150" s="9" t="s">
        <v>683</v>
      </c>
    </row>
    <row r="151" spans="1:6" x14ac:dyDescent="0.3">
      <c r="A151" s="9" t="s">
        <v>753</v>
      </c>
      <c r="B151" s="9" t="s">
        <v>692</v>
      </c>
      <c r="C151" s="9">
        <v>-12.018316</v>
      </c>
      <c r="D151" s="9">
        <v>16.700451000000001</v>
      </c>
      <c r="E151" s="9" t="s">
        <v>682</v>
      </c>
      <c r="F151" s="9" t="s">
        <v>696</v>
      </c>
    </row>
    <row r="152" spans="1:6" x14ac:dyDescent="0.3">
      <c r="A152" s="9" t="s">
        <v>389</v>
      </c>
      <c r="B152" s="9" t="s">
        <v>705</v>
      </c>
      <c r="C152" s="9">
        <v>-1.648326</v>
      </c>
      <c r="D152" s="9">
        <v>25.528901999999999</v>
      </c>
      <c r="E152" s="9" t="s">
        <v>679</v>
      </c>
      <c r="F152" s="9" t="s">
        <v>680</v>
      </c>
    </row>
    <row r="153" spans="1:6" x14ac:dyDescent="0.3">
      <c r="A153" s="9" t="s">
        <v>189</v>
      </c>
      <c r="B153" s="9" t="s">
        <v>718</v>
      </c>
      <c r="C153" s="9">
        <v>-12.112682</v>
      </c>
      <c r="D153" s="9">
        <v>19.972052000000001</v>
      </c>
      <c r="E153" s="9" t="s">
        <v>679</v>
      </c>
      <c r="F153" s="9" t="s">
        <v>680</v>
      </c>
    </row>
    <row r="154" spans="1:6" x14ac:dyDescent="0.3">
      <c r="A154" s="9" t="s">
        <v>561</v>
      </c>
      <c r="B154" s="9" t="s">
        <v>692</v>
      </c>
      <c r="C154" s="9">
        <v>-7.7587710000000003</v>
      </c>
      <c r="D154" s="9">
        <v>17.880848</v>
      </c>
      <c r="E154" s="9" t="s">
        <v>682</v>
      </c>
      <c r="F154" s="9" t="s">
        <v>676</v>
      </c>
    </row>
    <row r="155" spans="1:6" x14ac:dyDescent="0.3">
      <c r="A155" s="9" t="s">
        <v>385</v>
      </c>
      <c r="B155" s="9" t="s">
        <v>693</v>
      </c>
      <c r="C155" s="9">
        <v>-5.8352820000000003</v>
      </c>
      <c r="D155" s="9">
        <v>26.603978000000001</v>
      </c>
      <c r="E155" s="9" t="s">
        <v>679</v>
      </c>
      <c r="F155" s="9" t="s">
        <v>680</v>
      </c>
    </row>
    <row r="156" spans="1:6" x14ac:dyDescent="0.3">
      <c r="A156" s="9" t="s">
        <v>754</v>
      </c>
      <c r="B156" s="9" t="s">
        <v>713</v>
      </c>
      <c r="C156" s="9">
        <v>-7.5180249999999997</v>
      </c>
      <c r="D156" s="9">
        <v>20.478905999999998</v>
      </c>
      <c r="E156" s="9" t="s">
        <v>675</v>
      </c>
      <c r="F156" s="9" t="s">
        <v>696</v>
      </c>
    </row>
    <row r="157" spans="1:6" x14ac:dyDescent="0.3">
      <c r="A157" s="9" t="s">
        <v>405</v>
      </c>
      <c r="B157" s="9" t="s">
        <v>693</v>
      </c>
      <c r="C157" s="9">
        <v>1.897178</v>
      </c>
      <c r="D157" s="9">
        <v>23.902604</v>
      </c>
      <c r="E157" s="9" t="s">
        <v>682</v>
      </c>
      <c r="F157" s="9" t="s">
        <v>696</v>
      </c>
    </row>
    <row r="158" spans="1:6" x14ac:dyDescent="0.3">
      <c r="A158" s="9" t="s">
        <v>426</v>
      </c>
      <c r="B158" s="9" t="s">
        <v>725</v>
      </c>
      <c r="C158" s="9">
        <v>-4.6957509999999996</v>
      </c>
      <c r="D158" s="9">
        <v>14.233525999999999</v>
      </c>
      <c r="E158" s="9" t="s">
        <v>679</v>
      </c>
      <c r="F158" s="9" t="s">
        <v>696</v>
      </c>
    </row>
    <row r="159" spans="1:6" x14ac:dyDescent="0.3">
      <c r="A159" s="9" t="s">
        <v>755</v>
      </c>
      <c r="B159" s="9" t="s">
        <v>702</v>
      </c>
      <c r="C159" s="9">
        <v>-5.3956809999999997</v>
      </c>
      <c r="D159" s="9">
        <v>14.49985</v>
      </c>
      <c r="E159" s="9" t="s">
        <v>679</v>
      </c>
      <c r="F159" s="9" t="s">
        <v>683</v>
      </c>
    </row>
    <row r="160" spans="1:6" x14ac:dyDescent="0.3">
      <c r="A160" s="9" t="s">
        <v>756</v>
      </c>
      <c r="B160" s="9" t="s">
        <v>674</v>
      </c>
      <c r="C160" s="9">
        <v>-1.9635830000000001</v>
      </c>
      <c r="D160" s="9">
        <v>15.854182</v>
      </c>
      <c r="E160" s="9" t="s">
        <v>682</v>
      </c>
      <c r="F160" s="9" t="s">
        <v>696</v>
      </c>
    </row>
    <row r="161" spans="1:6" x14ac:dyDescent="0.3">
      <c r="A161" s="9" t="s">
        <v>757</v>
      </c>
      <c r="B161" s="9" t="s">
        <v>700</v>
      </c>
      <c r="C161" s="9">
        <v>-12.01816</v>
      </c>
      <c r="D161" s="9">
        <v>23.828645999999999</v>
      </c>
      <c r="E161" s="9" t="s">
        <v>682</v>
      </c>
      <c r="F161" s="9" t="s">
        <v>680</v>
      </c>
    </row>
    <row r="162" spans="1:6" x14ac:dyDescent="0.3">
      <c r="A162" s="9" t="s">
        <v>171</v>
      </c>
      <c r="B162" s="9" t="s">
        <v>706</v>
      </c>
      <c r="C162" s="9">
        <v>-3.6945459999999999</v>
      </c>
      <c r="D162" s="9">
        <v>16.809108999999999</v>
      </c>
      <c r="E162" s="9" t="s">
        <v>675</v>
      </c>
      <c r="F162" s="9" t="s">
        <v>683</v>
      </c>
    </row>
    <row r="163" spans="1:6" x14ac:dyDescent="0.3">
      <c r="A163" s="9" t="s">
        <v>144</v>
      </c>
      <c r="B163" s="9" t="s">
        <v>681</v>
      </c>
      <c r="C163" s="9">
        <v>-10.439686999999999</v>
      </c>
      <c r="D163" s="9">
        <v>20.714210000000001</v>
      </c>
      <c r="E163" s="9" t="s">
        <v>679</v>
      </c>
      <c r="F163" s="9" t="s">
        <v>683</v>
      </c>
    </row>
    <row r="164" spans="1:6" x14ac:dyDescent="0.3">
      <c r="A164" s="9" t="s">
        <v>459</v>
      </c>
      <c r="B164" s="9" t="s">
        <v>687</v>
      </c>
      <c r="C164" s="9">
        <v>1.938083</v>
      </c>
      <c r="D164" s="9">
        <v>28.25281</v>
      </c>
      <c r="E164" s="9" t="s">
        <v>679</v>
      </c>
      <c r="F164" s="9" t="s">
        <v>696</v>
      </c>
    </row>
    <row r="165" spans="1:6" x14ac:dyDescent="0.3">
      <c r="A165" s="9" t="s">
        <v>278</v>
      </c>
      <c r="B165" s="9" t="s">
        <v>674</v>
      </c>
      <c r="C165" s="9">
        <v>-4.869434</v>
      </c>
      <c r="D165" s="9">
        <v>22.326522000000001</v>
      </c>
      <c r="E165" s="9" t="s">
        <v>675</v>
      </c>
      <c r="F165" s="9" t="s">
        <v>676</v>
      </c>
    </row>
    <row r="166" spans="1:6" x14ac:dyDescent="0.3">
      <c r="A166" s="9" t="s">
        <v>758</v>
      </c>
      <c r="B166" s="9" t="s">
        <v>705</v>
      </c>
      <c r="C166" s="9">
        <v>7.6420000000000004E-3</v>
      </c>
      <c r="D166" s="9">
        <v>12.109260000000001</v>
      </c>
      <c r="E166" s="9" t="s">
        <v>679</v>
      </c>
      <c r="F166" s="9" t="s">
        <v>676</v>
      </c>
    </row>
    <row r="167" spans="1:6" x14ac:dyDescent="0.3">
      <c r="A167" s="9" t="s">
        <v>759</v>
      </c>
      <c r="B167" s="9" t="s">
        <v>710</v>
      </c>
      <c r="C167" s="9">
        <v>-10.962911</v>
      </c>
      <c r="D167" s="9">
        <v>28.771355</v>
      </c>
      <c r="E167" s="9" t="s">
        <v>675</v>
      </c>
      <c r="F167" s="9" t="s">
        <v>680</v>
      </c>
    </row>
    <row r="168" spans="1:6" x14ac:dyDescent="0.3">
      <c r="A168" s="9" t="s">
        <v>103</v>
      </c>
      <c r="B168" s="9" t="s">
        <v>695</v>
      </c>
      <c r="C168" s="9">
        <v>1.017161</v>
      </c>
      <c r="D168" s="9">
        <v>16.519689</v>
      </c>
      <c r="E168" s="9" t="s">
        <v>682</v>
      </c>
      <c r="F168" s="9" t="s">
        <v>696</v>
      </c>
    </row>
    <row r="169" spans="1:6" x14ac:dyDescent="0.3">
      <c r="A169" s="9" t="s">
        <v>760</v>
      </c>
      <c r="B169" s="9" t="s">
        <v>713</v>
      </c>
      <c r="C169" s="9">
        <v>3.8811640000000001</v>
      </c>
      <c r="D169" s="9">
        <v>23.188383999999999</v>
      </c>
      <c r="E169" s="9" t="s">
        <v>675</v>
      </c>
      <c r="F169" s="9" t="s">
        <v>680</v>
      </c>
    </row>
    <row r="170" spans="1:6" x14ac:dyDescent="0.3">
      <c r="A170" s="9" t="s">
        <v>554</v>
      </c>
      <c r="B170" s="9" t="s">
        <v>724</v>
      </c>
      <c r="C170" s="9">
        <v>-0.469945</v>
      </c>
      <c r="D170" s="9">
        <v>21.038527999999999</v>
      </c>
      <c r="E170" s="9" t="s">
        <v>682</v>
      </c>
      <c r="F170" s="9" t="s">
        <v>676</v>
      </c>
    </row>
    <row r="171" spans="1:6" x14ac:dyDescent="0.3">
      <c r="A171" s="9" t="s">
        <v>30</v>
      </c>
      <c r="B171" s="9" t="s">
        <v>700</v>
      </c>
      <c r="C171" s="9">
        <v>-10.56448</v>
      </c>
      <c r="D171" s="9">
        <v>19.792876</v>
      </c>
      <c r="E171" s="9" t="s">
        <v>675</v>
      </c>
      <c r="F171" s="9" t="s">
        <v>676</v>
      </c>
    </row>
    <row r="172" spans="1:6" x14ac:dyDescent="0.3">
      <c r="A172" s="9" t="s">
        <v>592</v>
      </c>
      <c r="B172" s="9" t="s">
        <v>718</v>
      </c>
      <c r="C172" s="9">
        <v>-5.5559329999999996</v>
      </c>
      <c r="D172" s="9">
        <v>13.508692999999999</v>
      </c>
      <c r="E172" s="9" t="s">
        <v>682</v>
      </c>
      <c r="F172" s="9" t="s">
        <v>696</v>
      </c>
    </row>
    <row r="173" spans="1:6" x14ac:dyDescent="0.3">
      <c r="A173" s="9" t="s">
        <v>761</v>
      </c>
      <c r="B173" s="9" t="s">
        <v>695</v>
      </c>
      <c r="C173" s="9">
        <v>-4.884055</v>
      </c>
      <c r="D173" s="9">
        <v>23.40194</v>
      </c>
      <c r="E173" s="9" t="s">
        <v>682</v>
      </c>
      <c r="F173" s="9" t="s">
        <v>676</v>
      </c>
    </row>
    <row r="174" spans="1:6" x14ac:dyDescent="0.3">
      <c r="A174" s="9" t="s">
        <v>762</v>
      </c>
      <c r="B174" s="9" t="s">
        <v>718</v>
      </c>
      <c r="C174" s="9">
        <v>-9.7801860000000005</v>
      </c>
      <c r="D174" s="9">
        <v>16.649550000000001</v>
      </c>
      <c r="E174" s="9" t="s">
        <v>675</v>
      </c>
      <c r="F174" s="9" t="s">
        <v>676</v>
      </c>
    </row>
    <row r="175" spans="1:6" x14ac:dyDescent="0.3">
      <c r="A175" s="9" t="s">
        <v>160</v>
      </c>
      <c r="B175" s="9" t="s">
        <v>687</v>
      </c>
      <c r="C175" s="9">
        <v>-2.3743210000000001</v>
      </c>
      <c r="D175" s="9">
        <v>22.399491000000001</v>
      </c>
      <c r="E175" s="9" t="s">
        <v>675</v>
      </c>
      <c r="F175" s="9" t="s">
        <v>676</v>
      </c>
    </row>
    <row r="176" spans="1:6" x14ac:dyDescent="0.3">
      <c r="A176" s="9" t="s">
        <v>525</v>
      </c>
      <c r="B176" s="9" t="s">
        <v>695</v>
      </c>
      <c r="C176" s="9">
        <v>-0.17258100000000001</v>
      </c>
      <c r="D176" s="9">
        <v>23.775555000000001</v>
      </c>
      <c r="E176" s="9" t="s">
        <v>675</v>
      </c>
      <c r="F176" s="9" t="s">
        <v>696</v>
      </c>
    </row>
    <row r="177" spans="1:6" x14ac:dyDescent="0.3">
      <c r="A177" s="9" t="s">
        <v>92</v>
      </c>
      <c r="B177" s="9" t="s">
        <v>700</v>
      </c>
      <c r="C177" s="9">
        <v>-9.3652239999999995</v>
      </c>
      <c r="D177" s="9">
        <v>22.593423999999999</v>
      </c>
      <c r="E177" s="9" t="s">
        <v>675</v>
      </c>
      <c r="F177" s="9" t="s">
        <v>696</v>
      </c>
    </row>
    <row r="178" spans="1:6" x14ac:dyDescent="0.3">
      <c r="A178" s="9" t="s">
        <v>398</v>
      </c>
      <c r="B178" s="9" t="s">
        <v>718</v>
      </c>
      <c r="C178" s="9">
        <v>-4.8157019999999999</v>
      </c>
      <c r="D178" s="9">
        <v>27.679798000000002</v>
      </c>
      <c r="E178" s="9" t="s">
        <v>682</v>
      </c>
      <c r="F178" s="9" t="s">
        <v>676</v>
      </c>
    </row>
    <row r="179" spans="1:6" x14ac:dyDescent="0.3">
      <c r="A179" s="9" t="s">
        <v>462</v>
      </c>
      <c r="B179" s="9" t="s">
        <v>698</v>
      </c>
      <c r="C179" s="9">
        <v>-8.4985189999999999</v>
      </c>
      <c r="D179" s="9">
        <v>12.929456999999999</v>
      </c>
      <c r="E179" s="9" t="s">
        <v>679</v>
      </c>
      <c r="F179" s="9" t="s">
        <v>676</v>
      </c>
    </row>
    <row r="180" spans="1:6" x14ac:dyDescent="0.3">
      <c r="A180" s="9" t="s">
        <v>641</v>
      </c>
      <c r="B180" s="9" t="s">
        <v>700</v>
      </c>
      <c r="C180" s="9">
        <v>-0.54908599999999996</v>
      </c>
      <c r="D180" s="9">
        <v>14.816867</v>
      </c>
      <c r="E180" s="9" t="s">
        <v>675</v>
      </c>
      <c r="F180" s="9" t="s">
        <v>683</v>
      </c>
    </row>
    <row r="181" spans="1:6" x14ac:dyDescent="0.3">
      <c r="A181" s="9" t="s">
        <v>198</v>
      </c>
      <c r="B181" s="9" t="s">
        <v>703</v>
      </c>
      <c r="C181" s="9">
        <v>3.3289240000000002</v>
      </c>
      <c r="D181" s="9">
        <v>24.412261000000001</v>
      </c>
      <c r="E181" s="9" t="s">
        <v>675</v>
      </c>
      <c r="F181" s="9" t="s">
        <v>696</v>
      </c>
    </row>
    <row r="182" spans="1:6" x14ac:dyDescent="0.3">
      <c r="A182" s="9" t="s">
        <v>763</v>
      </c>
      <c r="B182" s="9" t="s">
        <v>684</v>
      </c>
      <c r="C182" s="9">
        <v>1.3367519999999999</v>
      </c>
      <c r="D182" s="9">
        <v>12.697699999999999</v>
      </c>
      <c r="E182" s="9" t="s">
        <v>675</v>
      </c>
      <c r="F182" s="9" t="s">
        <v>680</v>
      </c>
    </row>
    <row r="183" spans="1:6" x14ac:dyDescent="0.3">
      <c r="A183" s="9" t="s">
        <v>764</v>
      </c>
      <c r="B183" s="9" t="s">
        <v>737</v>
      </c>
      <c r="C183" s="9">
        <v>-6.9254999999999997E-2</v>
      </c>
      <c r="D183" s="9">
        <v>28.222756</v>
      </c>
      <c r="E183" s="9" t="s">
        <v>675</v>
      </c>
      <c r="F183" s="9" t="s">
        <v>680</v>
      </c>
    </row>
    <row r="184" spans="1:6" x14ac:dyDescent="0.3">
      <c r="A184" s="9" t="s">
        <v>44</v>
      </c>
      <c r="B184" s="9" t="s">
        <v>681</v>
      </c>
      <c r="C184" s="9">
        <v>-10.776204</v>
      </c>
      <c r="D184" s="9">
        <v>24.672934000000001</v>
      </c>
      <c r="E184" s="9" t="s">
        <v>679</v>
      </c>
      <c r="F184" s="9" t="s">
        <v>676</v>
      </c>
    </row>
    <row r="185" spans="1:6" x14ac:dyDescent="0.3">
      <c r="A185" s="9" t="s">
        <v>487</v>
      </c>
      <c r="B185" s="9" t="s">
        <v>721</v>
      </c>
      <c r="C185" s="9">
        <v>-10.945031</v>
      </c>
      <c r="D185" s="9">
        <v>27.922274000000002</v>
      </c>
      <c r="E185" s="9" t="s">
        <v>679</v>
      </c>
      <c r="F185" s="9" t="s">
        <v>676</v>
      </c>
    </row>
    <row r="186" spans="1:6" x14ac:dyDescent="0.3">
      <c r="A186" s="9" t="s">
        <v>765</v>
      </c>
      <c r="B186" s="9" t="s">
        <v>724</v>
      </c>
      <c r="C186" s="9">
        <v>-4.9108280000000004</v>
      </c>
      <c r="D186" s="9">
        <v>17.670389</v>
      </c>
      <c r="E186" s="9" t="s">
        <v>675</v>
      </c>
      <c r="F186" s="9" t="s">
        <v>683</v>
      </c>
    </row>
    <row r="187" spans="1:6" x14ac:dyDescent="0.3">
      <c r="A187" s="9" t="s">
        <v>560</v>
      </c>
      <c r="B187" s="9" t="s">
        <v>684</v>
      </c>
      <c r="C187" s="9">
        <v>-6.4670189999999996</v>
      </c>
      <c r="D187" s="9">
        <v>29.487309</v>
      </c>
      <c r="E187" s="9" t="s">
        <v>679</v>
      </c>
      <c r="F187" s="9" t="s">
        <v>683</v>
      </c>
    </row>
    <row r="188" spans="1:6" x14ac:dyDescent="0.3">
      <c r="A188" s="9" t="s">
        <v>766</v>
      </c>
      <c r="B188" s="9" t="s">
        <v>678</v>
      </c>
      <c r="C188" s="9">
        <v>-3.571288</v>
      </c>
      <c r="D188" s="9">
        <v>12.931596000000001</v>
      </c>
      <c r="E188" s="9" t="s">
        <v>679</v>
      </c>
      <c r="F188" s="9" t="s">
        <v>696</v>
      </c>
    </row>
    <row r="189" spans="1:6" x14ac:dyDescent="0.3">
      <c r="A189" s="9" t="s">
        <v>767</v>
      </c>
      <c r="B189" s="9" t="s">
        <v>674</v>
      </c>
      <c r="C189" s="9">
        <v>-6.0864269999999996</v>
      </c>
      <c r="D189" s="9">
        <v>19.922181999999999</v>
      </c>
      <c r="E189" s="9" t="s">
        <v>675</v>
      </c>
      <c r="F189" s="9" t="s">
        <v>680</v>
      </c>
    </row>
    <row r="190" spans="1:6" x14ac:dyDescent="0.3">
      <c r="A190" s="9" t="s">
        <v>463</v>
      </c>
      <c r="B190" s="9" t="s">
        <v>674</v>
      </c>
      <c r="C190" s="9">
        <v>1.2391989999999999</v>
      </c>
      <c r="D190" s="9">
        <v>15.386718999999999</v>
      </c>
      <c r="E190" s="9" t="s">
        <v>675</v>
      </c>
      <c r="F190" s="9" t="s">
        <v>683</v>
      </c>
    </row>
    <row r="191" spans="1:6" x14ac:dyDescent="0.3">
      <c r="A191" s="9" t="s">
        <v>768</v>
      </c>
      <c r="B191" s="9" t="s">
        <v>724</v>
      </c>
      <c r="C191" s="9">
        <v>-3.7900040000000002</v>
      </c>
      <c r="D191" s="9">
        <v>24.769718999999998</v>
      </c>
      <c r="E191" s="9" t="s">
        <v>675</v>
      </c>
      <c r="F191" s="9" t="s">
        <v>680</v>
      </c>
    </row>
    <row r="192" spans="1:6" x14ac:dyDescent="0.3">
      <c r="A192" s="9" t="s">
        <v>769</v>
      </c>
      <c r="B192" s="9" t="s">
        <v>705</v>
      </c>
      <c r="C192" s="9">
        <v>4.0955700000000004</v>
      </c>
      <c r="D192" s="9">
        <v>23.610704999999999</v>
      </c>
      <c r="E192" s="9" t="s">
        <v>679</v>
      </c>
      <c r="F192" s="9" t="s">
        <v>683</v>
      </c>
    </row>
    <row r="193" spans="1:6" x14ac:dyDescent="0.3">
      <c r="A193" s="9" t="s">
        <v>37</v>
      </c>
      <c r="B193" s="9" t="s">
        <v>684</v>
      </c>
      <c r="C193" s="9">
        <v>-6.1837850000000003</v>
      </c>
      <c r="D193" s="9">
        <v>25.138759</v>
      </c>
      <c r="E193" s="9" t="s">
        <v>682</v>
      </c>
      <c r="F193" s="9" t="s">
        <v>676</v>
      </c>
    </row>
    <row r="194" spans="1:6" x14ac:dyDescent="0.3">
      <c r="A194" s="9" t="s">
        <v>461</v>
      </c>
      <c r="B194" s="9" t="s">
        <v>703</v>
      </c>
      <c r="C194" s="9">
        <v>-6.1490739999999997</v>
      </c>
      <c r="D194" s="9">
        <v>23.304411000000002</v>
      </c>
      <c r="E194" s="9" t="s">
        <v>675</v>
      </c>
      <c r="F194" s="9" t="s">
        <v>683</v>
      </c>
    </row>
    <row r="195" spans="1:6" x14ac:dyDescent="0.3">
      <c r="A195" s="9" t="s">
        <v>69</v>
      </c>
      <c r="B195" s="9" t="s">
        <v>695</v>
      </c>
      <c r="C195" s="9">
        <v>0.82868600000000003</v>
      </c>
      <c r="D195" s="9">
        <v>26.958843999999999</v>
      </c>
      <c r="E195" s="9" t="s">
        <v>675</v>
      </c>
      <c r="F195" s="9" t="s">
        <v>683</v>
      </c>
    </row>
    <row r="196" spans="1:6" x14ac:dyDescent="0.3">
      <c r="A196" s="9" t="s">
        <v>770</v>
      </c>
      <c r="B196" s="9" t="s">
        <v>718</v>
      </c>
      <c r="C196" s="9">
        <v>3.42055</v>
      </c>
      <c r="D196" s="9">
        <v>15.370965999999999</v>
      </c>
      <c r="E196" s="9" t="s">
        <v>679</v>
      </c>
      <c r="F196" s="9" t="s">
        <v>696</v>
      </c>
    </row>
    <row r="197" spans="1:6" x14ac:dyDescent="0.3">
      <c r="A197" s="9" t="s">
        <v>12</v>
      </c>
      <c r="B197" s="9" t="s">
        <v>724</v>
      </c>
      <c r="C197" s="9">
        <v>-2.8211520000000001</v>
      </c>
      <c r="D197" s="9">
        <v>20.651419000000001</v>
      </c>
      <c r="E197" s="9" t="s">
        <v>675</v>
      </c>
      <c r="F197" s="9" t="s">
        <v>676</v>
      </c>
    </row>
    <row r="198" spans="1:6" x14ac:dyDescent="0.3">
      <c r="A198" s="9" t="s">
        <v>408</v>
      </c>
      <c r="B198" s="9" t="s">
        <v>703</v>
      </c>
      <c r="C198" s="9">
        <v>-1.1284540000000001</v>
      </c>
      <c r="D198" s="9">
        <v>23.000360000000001</v>
      </c>
      <c r="E198" s="9" t="s">
        <v>675</v>
      </c>
      <c r="F198" s="9" t="s">
        <v>676</v>
      </c>
    </row>
    <row r="199" spans="1:6" x14ac:dyDescent="0.3">
      <c r="A199" s="9" t="s">
        <v>610</v>
      </c>
      <c r="B199" s="9" t="s">
        <v>695</v>
      </c>
      <c r="C199" s="9">
        <v>-10.298385</v>
      </c>
      <c r="D199" s="9">
        <v>29.698117</v>
      </c>
      <c r="E199" s="9" t="s">
        <v>675</v>
      </c>
      <c r="F199" s="9" t="s">
        <v>696</v>
      </c>
    </row>
    <row r="200" spans="1:6" x14ac:dyDescent="0.3">
      <c r="A200" s="9" t="s">
        <v>771</v>
      </c>
      <c r="B200" s="9" t="s">
        <v>684</v>
      </c>
      <c r="C200" s="9">
        <v>2.6387339999999999</v>
      </c>
      <c r="D200" s="9">
        <v>13.769399</v>
      </c>
      <c r="E200" s="9" t="s">
        <v>679</v>
      </c>
      <c r="F200" s="9" t="s">
        <v>680</v>
      </c>
    </row>
    <row r="201" spans="1:6" x14ac:dyDescent="0.3">
      <c r="A201" s="9" t="s">
        <v>142</v>
      </c>
      <c r="B201" s="9" t="s">
        <v>713</v>
      </c>
      <c r="C201" s="9">
        <v>-9.7803979999999999</v>
      </c>
      <c r="D201" s="9">
        <v>17.686595000000001</v>
      </c>
      <c r="E201" s="9" t="s">
        <v>679</v>
      </c>
      <c r="F201" s="9" t="s">
        <v>676</v>
      </c>
    </row>
    <row r="202" spans="1:6" x14ac:dyDescent="0.3">
      <c r="A202" s="9" t="s">
        <v>772</v>
      </c>
      <c r="B202" s="9" t="s">
        <v>699</v>
      </c>
      <c r="C202" s="9">
        <v>-6.8779139999999996</v>
      </c>
      <c r="D202" s="9">
        <v>12.550860999999999</v>
      </c>
      <c r="E202" s="9" t="s">
        <v>675</v>
      </c>
      <c r="F202" s="9" t="s">
        <v>683</v>
      </c>
    </row>
    <row r="203" spans="1:6" x14ac:dyDescent="0.3">
      <c r="A203" s="9" t="s">
        <v>773</v>
      </c>
      <c r="B203" s="9" t="s">
        <v>725</v>
      </c>
      <c r="C203" s="9">
        <v>-4.2975050000000001</v>
      </c>
      <c r="D203" s="9">
        <v>29.162555999999999</v>
      </c>
      <c r="E203" s="9" t="s">
        <v>675</v>
      </c>
      <c r="F203" s="9" t="s">
        <v>676</v>
      </c>
    </row>
    <row r="204" spans="1:6" x14ac:dyDescent="0.3">
      <c r="A204" s="9" t="s">
        <v>774</v>
      </c>
      <c r="B204" s="9" t="s">
        <v>715</v>
      </c>
      <c r="C204" s="9">
        <v>2.7298239999999998</v>
      </c>
      <c r="D204" s="9">
        <v>12.958664000000001</v>
      </c>
      <c r="E204" s="9" t="s">
        <v>682</v>
      </c>
      <c r="F204" s="9" t="s">
        <v>683</v>
      </c>
    </row>
    <row r="205" spans="1:6" x14ac:dyDescent="0.3">
      <c r="A205" s="9" t="s">
        <v>775</v>
      </c>
      <c r="B205" s="9" t="s">
        <v>701</v>
      </c>
      <c r="C205" s="9">
        <v>-7.4135429999999998</v>
      </c>
      <c r="D205" s="9">
        <v>19.288392999999999</v>
      </c>
      <c r="E205" s="9" t="s">
        <v>679</v>
      </c>
      <c r="F205" s="9" t="s">
        <v>696</v>
      </c>
    </row>
    <row r="206" spans="1:6" x14ac:dyDescent="0.3">
      <c r="A206" s="9" t="s">
        <v>618</v>
      </c>
      <c r="B206" s="9" t="s">
        <v>689</v>
      </c>
      <c r="C206" s="9">
        <v>-7.1079169999999996</v>
      </c>
      <c r="D206" s="9">
        <v>13.636272</v>
      </c>
      <c r="E206" s="9" t="s">
        <v>675</v>
      </c>
      <c r="F206" s="9" t="s">
        <v>696</v>
      </c>
    </row>
    <row r="207" spans="1:6" x14ac:dyDescent="0.3">
      <c r="A207" s="9" t="s">
        <v>776</v>
      </c>
      <c r="B207" s="9" t="s">
        <v>687</v>
      </c>
      <c r="C207" s="9">
        <v>0.850665</v>
      </c>
      <c r="D207" s="9">
        <v>19.446418000000001</v>
      </c>
      <c r="E207" s="9" t="s">
        <v>679</v>
      </c>
      <c r="F207" s="9" t="s">
        <v>680</v>
      </c>
    </row>
    <row r="208" spans="1:6" x14ac:dyDescent="0.3">
      <c r="A208" s="9" t="s">
        <v>531</v>
      </c>
      <c r="B208" s="9" t="s">
        <v>695</v>
      </c>
      <c r="C208" s="9">
        <v>-11.231472</v>
      </c>
      <c r="D208" s="9">
        <v>25.388874000000001</v>
      </c>
      <c r="E208" s="9" t="s">
        <v>679</v>
      </c>
      <c r="F208" s="9" t="s">
        <v>680</v>
      </c>
    </row>
    <row r="209" spans="1:6" x14ac:dyDescent="0.3">
      <c r="A209" s="9" t="s">
        <v>291</v>
      </c>
      <c r="B209" s="9" t="s">
        <v>737</v>
      </c>
      <c r="C209" s="9">
        <v>4.6809229999999999</v>
      </c>
      <c r="D209" s="9">
        <v>28.934242000000001</v>
      </c>
      <c r="E209" s="9" t="s">
        <v>675</v>
      </c>
      <c r="F209" s="9" t="s">
        <v>696</v>
      </c>
    </row>
    <row r="210" spans="1:6" x14ac:dyDescent="0.3">
      <c r="A210" s="9" t="s">
        <v>777</v>
      </c>
      <c r="B210" s="9" t="s">
        <v>703</v>
      </c>
      <c r="C210" s="9">
        <v>-3.7093609999999999</v>
      </c>
      <c r="D210" s="9">
        <v>23.959942999999999</v>
      </c>
      <c r="E210" s="9" t="s">
        <v>679</v>
      </c>
      <c r="F210" s="9" t="s">
        <v>680</v>
      </c>
    </row>
    <row r="211" spans="1:6" x14ac:dyDescent="0.3">
      <c r="A211" s="9" t="s">
        <v>344</v>
      </c>
      <c r="B211" s="9" t="s">
        <v>702</v>
      </c>
      <c r="C211" s="9">
        <v>4.8689660000000003</v>
      </c>
      <c r="D211" s="9">
        <v>25.112373000000002</v>
      </c>
      <c r="E211" s="9" t="s">
        <v>682</v>
      </c>
      <c r="F211" s="9" t="s">
        <v>680</v>
      </c>
    </row>
    <row r="212" spans="1:6" x14ac:dyDescent="0.3">
      <c r="A212" s="9" t="s">
        <v>88</v>
      </c>
      <c r="B212" s="9" t="s">
        <v>698</v>
      </c>
      <c r="C212" s="9">
        <v>-9.3066320000000005</v>
      </c>
      <c r="D212" s="9">
        <v>20.470889</v>
      </c>
      <c r="E212" s="9" t="s">
        <v>675</v>
      </c>
      <c r="F212" s="9" t="s">
        <v>683</v>
      </c>
    </row>
    <row r="213" spans="1:6" x14ac:dyDescent="0.3">
      <c r="A213" s="9" t="s">
        <v>209</v>
      </c>
      <c r="B213" s="9" t="s">
        <v>700</v>
      </c>
      <c r="C213" s="9">
        <v>-12.342053999999999</v>
      </c>
      <c r="D213" s="9">
        <v>18.756862000000002</v>
      </c>
      <c r="E213" s="9" t="s">
        <v>682</v>
      </c>
      <c r="F213" s="9" t="s">
        <v>676</v>
      </c>
    </row>
    <row r="214" spans="1:6" x14ac:dyDescent="0.3">
      <c r="A214" s="9" t="s">
        <v>778</v>
      </c>
      <c r="B214" s="9" t="s">
        <v>695</v>
      </c>
      <c r="C214" s="9">
        <v>-6.0234120000000004</v>
      </c>
      <c r="D214" s="9">
        <v>18.314309999999999</v>
      </c>
      <c r="E214" s="9" t="s">
        <v>675</v>
      </c>
      <c r="F214" s="9" t="s">
        <v>683</v>
      </c>
    </row>
    <row r="215" spans="1:6" x14ac:dyDescent="0.3">
      <c r="A215" s="9" t="s">
        <v>586</v>
      </c>
      <c r="B215" s="9" t="s">
        <v>702</v>
      </c>
      <c r="C215" s="9">
        <v>2.5665840000000002</v>
      </c>
      <c r="D215" s="9">
        <v>15.764796</v>
      </c>
      <c r="E215" s="9" t="s">
        <v>682</v>
      </c>
      <c r="F215" s="9" t="s">
        <v>683</v>
      </c>
    </row>
    <row r="216" spans="1:6" x14ac:dyDescent="0.3">
      <c r="A216" s="9" t="s">
        <v>82</v>
      </c>
      <c r="B216" s="9" t="s">
        <v>700</v>
      </c>
      <c r="C216" s="9">
        <v>-10.914952</v>
      </c>
      <c r="D216" s="9">
        <v>26.409648000000001</v>
      </c>
      <c r="E216" s="9" t="s">
        <v>679</v>
      </c>
      <c r="F216" s="9" t="s">
        <v>680</v>
      </c>
    </row>
    <row r="217" spans="1:6" x14ac:dyDescent="0.3">
      <c r="A217" s="9" t="s">
        <v>486</v>
      </c>
      <c r="B217" s="9" t="s">
        <v>678</v>
      </c>
      <c r="C217" s="9">
        <v>-7.402336</v>
      </c>
      <c r="D217" s="9">
        <v>27.376697</v>
      </c>
      <c r="E217" s="9" t="s">
        <v>679</v>
      </c>
      <c r="F217" s="9" t="s">
        <v>680</v>
      </c>
    </row>
    <row r="218" spans="1:6" x14ac:dyDescent="0.3">
      <c r="A218" s="9" t="s">
        <v>779</v>
      </c>
      <c r="B218" s="9" t="s">
        <v>721</v>
      </c>
      <c r="C218" s="9">
        <v>-12.207461</v>
      </c>
      <c r="D218" s="9">
        <v>13.492367</v>
      </c>
      <c r="E218" s="9" t="s">
        <v>682</v>
      </c>
      <c r="F218" s="9" t="s">
        <v>676</v>
      </c>
    </row>
    <row r="219" spans="1:6" x14ac:dyDescent="0.3">
      <c r="A219" s="9" t="s">
        <v>780</v>
      </c>
      <c r="B219" s="9" t="s">
        <v>713</v>
      </c>
      <c r="C219" s="9">
        <v>2.266232</v>
      </c>
      <c r="D219" s="9">
        <v>29.532896000000001</v>
      </c>
      <c r="E219" s="9" t="s">
        <v>679</v>
      </c>
      <c r="F219" s="9" t="s">
        <v>676</v>
      </c>
    </row>
    <row r="220" spans="1:6" x14ac:dyDescent="0.3">
      <c r="A220" s="9" t="s">
        <v>781</v>
      </c>
      <c r="B220" s="9" t="s">
        <v>736</v>
      </c>
      <c r="C220" s="9">
        <v>2.6937519999999999</v>
      </c>
      <c r="D220" s="9">
        <v>26.524137</v>
      </c>
      <c r="E220" s="9" t="s">
        <v>682</v>
      </c>
      <c r="F220" s="9" t="s">
        <v>676</v>
      </c>
    </row>
    <row r="221" spans="1:6" x14ac:dyDescent="0.3">
      <c r="A221" s="9" t="s">
        <v>608</v>
      </c>
      <c r="B221" s="9" t="s">
        <v>681</v>
      </c>
      <c r="C221" s="9">
        <v>-7.0007840000000003</v>
      </c>
      <c r="D221" s="9">
        <v>22.787997000000001</v>
      </c>
      <c r="E221" s="9" t="s">
        <v>675</v>
      </c>
      <c r="F221" s="9" t="s">
        <v>683</v>
      </c>
    </row>
    <row r="222" spans="1:6" x14ac:dyDescent="0.3">
      <c r="A222" s="9" t="s">
        <v>782</v>
      </c>
      <c r="B222" s="9" t="s">
        <v>687</v>
      </c>
      <c r="C222" s="9">
        <v>3.0053459999999999</v>
      </c>
      <c r="D222" s="9">
        <v>13.765407</v>
      </c>
      <c r="E222" s="9" t="s">
        <v>675</v>
      </c>
      <c r="F222" s="9" t="s">
        <v>676</v>
      </c>
    </row>
    <row r="223" spans="1:6" x14ac:dyDescent="0.3">
      <c r="A223" s="9" t="s">
        <v>4</v>
      </c>
      <c r="B223" s="9" t="s">
        <v>681</v>
      </c>
      <c r="C223" s="9">
        <v>-11.144149000000001</v>
      </c>
      <c r="D223" s="9">
        <v>27.244658999999999</v>
      </c>
      <c r="E223" s="9" t="s">
        <v>679</v>
      </c>
      <c r="F223" s="9" t="s">
        <v>696</v>
      </c>
    </row>
    <row r="224" spans="1:6" x14ac:dyDescent="0.3">
      <c r="A224" s="9" t="s">
        <v>134</v>
      </c>
      <c r="B224" s="9" t="s">
        <v>724</v>
      </c>
      <c r="C224" s="9">
        <v>0.79124300000000003</v>
      </c>
      <c r="D224" s="9">
        <v>25.273389000000002</v>
      </c>
      <c r="E224" s="9" t="s">
        <v>679</v>
      </c>
      <c r="F224" s="9" t="s">
        <v>696</v>
      </c>
    </row>
    <row r="225" spans="1:6" x14ac:dyDescent="0.3">
      <c r="A225" s="9" t="s">
        <v>783</v>
      </c>
      <c r="B225" s="9" t="s">
        <v>701</v>
      </c>
      <c r="C225" s="9">
        <v>0.419985</v>
      </c>
      <c r="D225" s="9">
        <v>13.847996999999999</v>
      </c>
      <c r="E225" s="9" t="s">
        <v>675</v>
      </c>
      <c r="F225" s="9" t="s">
        <v>683</v>
      </c>
    </row>
    <row r="226" spans="1:6" x14ac:dyDescent="0.3">
      <c r="A226" s="9" t="s">
        <v>474</v>
      </c>
      <c r="B226" s="9" t="s">
        <v>710</v>
      </c>
      <c r="C226" s="9">
        <v>-12.595355</v>
      </c>
      <c r="D226" s="9">
        <v>17.897442000000002</v>
      </c>
      <c r="E226" s="9" t="s">
        <v>679</v>
      </c>
      <c r="F226" s="9" t="s">
        <v>680</v>
      </c>
    </row>
    <row r="227" spans="1:6" x14ac:dyDescent="0.3">
      <c r="A227" s="9" t="s">
        <v>492</v>
      </c>
      <c r="B227" s="9" t="s">
        <v>725</v>
      </c>
      <c r="C227" s="9">
        <v>0.65288900000000005</v>
      </c>
      <c r="D227" s="9">
        <v>24.243953999999999</v>
      </c>
      <c r="E227" s="9" t="s">
        <v>675</v>
      </c>
      <c r="F227" s="9" t="s">
        <v>676</v>
      </c>
    </row>
    <row r="228" spans="1:6" x14ac:dyDescent="0.3">
      <c r="A228" s="9" t="s">
        <v>519</v>
      </c>
      <c r="B228" s="9" t="s">
        <v>706</v>
      </c>
      <c r="C228" s="9">
        <v>-1.500685</v>
      </c>
      <c r="D228" s="9">
        <v>26.563376000000002</v>
      </c>
      <c r="E228" s="9" t="s">
        <v>675</v>
      </c>
      <c r="F228" s="9" t="s">
        <v>696</v>
      </c>
    </row>
    <row r="229" spans="1:6" x14ac:dyDescent="0.3">
      <c r="A229" s="9" t="s">
        <v>784</v>
      </c>
      <c r="B229" s="9" t="s">
        <v>705</v>
      </c>
      <c r="C229" s="9">
        <v>-9.2227779999999999</v>
      </c>
      <c r="D229" s="9">
        <v>20.940372</v>
      </c>
      <c r="E229" s="9" t="s">
        <v>682</v>
      </c>
      <c r="F229" s="9" t="s">
        <v>676</v>
      </c>
    </row>
    <row r="230" spans="1:6" x14ac:dyDescent="0.3">
      <c r="A230" s="9" t="s">
        <v>232</v>
      </c>
      <c r="B230" s="9" t="s">
        <v>699</v>
      </c>
      <c r="C230" s="9">
        <v>-9.3900009999999998</v>
      </c>
      <c r="D230" s="9">
        <v>30.001517</v>
      </c>
      <c r="E230" s="9" t="s">
        <v>682</v>
      </c>
      <c r="F230" s="9" t="s">
        <v>696</v>
      </c>
    </row>
    <row r="231" spans="1:6" x14ac:dyDescent="0.3">
      <c r="A231" s="9" t="s">
        <v>785</v>
      </c>
      <c r="B231" s="9" t="s">
        <v>674</v>
      </c>
      <c r="C231" s="9">
        <v>-7.8417870000000001</v>
      </c>
      <c r="D231" s="9">
        <v>14.730712</v>
      </c>
      <c r="E231" s="9" t="s">
        <v>675</v>
      </c>
      <c r="F231" s="9" t="s">
        <v>696</v>
      </c>
    </row>
    <row r="232" spans="1:6" x14ac:dyDescent="0.3">
      <c r="A232" s="9" t="s">
        <v>786</v>
      </c>
      <c r="B232" s="9" t="s">
        <v>736</v>
      </c>
      <c r="C232" s="9">
        <v>-3.419035</v>
      </c>
      <c r="D232" s="9">
        <v>29.018315999999999</v>
      </c>
      <c r="E232" s="9" t="s">
        <v>675</v>
      </c>
      <c r="F232" s="9" t="s">
        <v>676</v>
      </c>
    </row>
    <row r="233" spans="1:6" x14ac:dyDescent="0.3">
      <c r="A233" s="9" t="s">
        <v>787</v>
      </c>
      <c r="B233" s="9" t="s">
        <v>693</v>
      </c>
      <c r="C233" s="9">
        <v>0.91016799999999998</v>
      </c>
      <c r="D233" s="9">
        <v>16.903002999999998</v>
      </c>
      <c r="E233" s="9" t="s">
        <v>682</v>
      </c>
      <c r="F233" s="9" t="s">
        <v>696</v>
      </c>
    </row>
    <row r="234" spans="1:6" x14ac:dyDescent="0.3">
      <c r="A234" s="9" t="s">
        <v>574</v>
      </c>
      <c r="B234" s="9" t="s">
        <v>684</v>
      </c>
      <c r="C234" s="9">
        <v>-0.919767</v>
      </c>
      <c r="D234" s="9">
        <v>18.905538</v>
      </c>
      <c r="E234" s="9" t="s">
        <v>675</v>
      </c>
      <c r="F234" s="9" t="s">
        <v>676</v>
      </c>
    </row>
    <row r="235" spans="1:6" x14ac:dyDescent="0.3">
      <c r="A235" s="9" t="s">
        <v>105</v>
      </c>
      <c r="B235" s="9" t="s">
        <v>736</v>
      </c>
      <c r="C235" s="9">
        <v>-8.0922239999999999</v>
      </c>
      <c r="D235" s="9">
        <v>15.483708</v>
      </c>
      <c r="E235" s="9" t="s">
        <v>675</v>
      </c>
      <c r="F235" s="9" t="s">
        <v>696</v>
      </c>
    </row>
    <row r="236" spans="1:6" x14ac:dyDescent="0.3">
      <c r="A236" s="9" t="s">
        <v>238</v>
      </c>
      <c r="B236" s="9" t="s">
        <v>702</v>
      </c>
      <c r="C236" s="9">
        <v>-10.165072</v>
      </c>
      <c r="D236" s="9">
        <v>29.428024000000001</v>
      </c>
      <c r="E236" s="9" t="s">
        <v>675</v>
      </c>
      <c r="F236" s="9" t="s">
        <v>680</v>
      </c>
    </row>
    <row r="237" spans="1:6" x14ac:dyDescent="0.3">
      <c r="A237" s="9" t="s">
        <v>427</v>
      </c>
      <c r="B237" s="9" t="s">
        <v>678</v>
      </c>
      <c r="C237" s="9">
        <v>-10.939712999999999</v>
      </c>
      <c r="D237" s="9">
        <v>18.276230999999999</v>
      </c>
      <c r="E237" s="9" t="s">
        <v>679</v>
      </c>
      <c r="F237" s="9" t="s">
        <v>683</v>
      </c>
    </row>
    <row r="238" spans="1:6" x14ac:dyDescent="0.3">
      <c r="A238" s="9" t="s">
        <v>45</v>
      </c>
      <c r="B238" s="9" t="s">
        <v>699</v>
      </c>
      <c r="C238" s="9">
        <v>4.2493650000000001</v>
      </c>
      <c r="D238" s="9">
        <v>28.355039999999999</v>
      </c>
      <c r="E238" s="9" t="s">
        <v>682</v>
      </c>
      <c r="F238" s="9" t="s">
        <v>683</v>
      </c>
    </row>
    <row r="239" spans="1:6" x14ac:dyDescent="0.3">
      <c r="A239" s="9" t="s">
        <v>613</v>
      </c>
      <c r="B239" s="9" t="s">
        <v>721</v>
      </c>
      <c r="C239" s="9">
        <v>-2.926736</v>
      </c>
      <c r="D239" s="9">
        <v>18.170461</v>
      </c>
      <c r="E239" s="9" t="s">
        <v>675</v>
      </c>
      <c r="F239" s="9" t="s">
        <v>676</v>
      </c>
    </row>
    <row r="240" spans="1:6" x14ac:dyDescent="0.3">
      <c r="A240" s="9" t="s">
        <v>440</v>
      </c>
      <c r="B240" s="9" t="s">
        <v>724</v>
      </c>
      <c r="C240" s="9">
        <v>-11.157245</v>
      </c>
      <c r="D240" s="9">
        <v>21.262627999999999</v>
      </c>
      <c r="E240" s="9" t="s">
        <v>675</v>
      </c>
      <c r="F240" s="9" t="s">
        <v>683</v>
      </c>
    </row>
    <row r="241" spans="1:6" x14ac:dyDescent="0.3">
      <c r="A241" s="9" t="s">
        <v>788</v>
      </c>
      <c r="B241" s="9" t="s">
        <v>713</v>
      </c>
      <c r="C241" s="9">
        <v>-3.234483</v>
      </c>
      <c r="D241" s="9">
        <v>13.241939</v>
      </c>
      <c r="E241" s="9" t="s">
        <v>679</v>
      </c>
      <c r="F241" s="9" t="s">
        <v>683</v>
      </c>
    </row>
    <row r="242" spans="1:6" x14ac:dyDescent="0.3">
      <c r="A242" s="9" t="s">
        <v>148</v>
      </c>
      <c r="B242" s="9" t="s">
        <v>693</v>
      </c>
      <c r="C242" s="9">
        <v>-3.111418</v>
      </c>
      <c r="D242" s="9">
        <v>14.144854</v>
      </c>
      <c r="E242" s="9" t="s">
        <v>679</v>
      </c>
      <c r="F242" s="9" t="s">
        <v>683</v>
      </c>
    </row>
    <row r="243" spans="1:6" x14ac:dyDescent="0.3">
      <c r="A243" s="9" t="s">
        <v>330</v>
      </c>
      <c r="B243" s="9" t="s">
        <v>725</v>
      </c>
      <c r="C243" s="9">
        <v>-8.1210620000000002</v>
      </c>
      <c r="D243" s="9">
        <v>21.094390000000001</v>
      </c>
      <c r="E243" s="9" t="s">
        <v>675</v>
      </c>
      <c r="F243" s="9" t="s">
        <v>683</v>
      </c>
    </row>
    <row r="244" spans="1:6" x14ac:dyDescent="0.3">
      <c r="A244" s="9" t="s">
        <v>789</v>
      </c>
      <c r="B244" s="9" t="s">
        <v>684</v>
      </c>
      <c r="C244" s="9">
        <v>1.472051</v>
      </c>
      <c r="D244" s="9">
        <v>17.36289</v>
      </c>
      <c r="E244" s="9" t="s">
        <v>679</v>
      </c>
      <c r="F244" s="9" t="s">
        <v>680</v>
      </c>
    </row>
    <row r="245" spans="1:6" x14ac:dyDescent="0.3">
      <c r="A245" s="9" t="s">
        <v>414</v>
      </c>
      <c r="B245" s="9" t="s">
        <v>689</v>
      </c>
      <c r="C245" s="9">
        <v>-2.6665070000000002</v>
      </c>
      <c r="D245" s="9">
        <v>18.623692999999999</v>
      </c>
      <c r="E245" s="9" t="s">
        <v>682</v>
      </c>
      <c r="F245" s="9" t="s">
        <v>683</v>
      </c>
    </row>
    <row r="246" spans="1:6" x14ac:dyDescent="0.3">
      <c r="A246" s="9" t="s">
        <v>790</v>
      </c>
      <c r="B246" s="9" t="s">
        <v>721</v>
      </c>
      <c r="C246" s="9">
        <v>-9.9170499999999997</v>
      </c>
      <c r="D246" s="9">
        <v>22.918887000000002</v>
      </c>
      <c r="E246" s="9" t="s">
        <v>679</v>
      </c>
      <c r="F246" s="9" t="s">
        <v>680</v>
      </c>
    </row>
    <row r="247" spans="1:6" x14ac:dyDescent="0.3">
      <c r="A247" s="9" t="s">
        <v>615</v>
      </c>
      <c r="B247" s="9" t="s">
        <v>706</v>
      </c>
      <c r="C247" s="9">
        <v>-7.3952039999999997</v>
      </c>
      <c r="D247" s="9">
        <v>21.651043999999999</v>
      </c>
      <c r="E247" s="9" t="s">
        <v>679</v>
      </c>
      <c r="F247" s="9" t="s">
        <v>680</v>
      </c>
    </row>
    <row r="248" spans="1:6" x14ac:dyDescent="0.3">
      <c r="A248" s="9" t="s">
        <v>155</v>
      </c>
      <c r="B248" s="9" t="s">
        <v>684</v>
      </c>
      <c r="C248" s="9">
        <v>3.0603760000000002</v>
      </c>
      <c r="D248" s="9">
        <v>19.708034000000001</v>
      </c>
      <c r="E248" s="9" t="s">
        <v>682</v>
      </c>
      <c r="F248" s="9" t="s">
        <v>683</v>
      </c>
    </row>
    <row r="249" spans="1:6" x14ac:dyDescent="0.3">
      <c r="A249" s="9" t="s">
        <v>791</v>
      </c>
      <c r="B249" s="9" t="s">
        <v>715</v>
      </c>
      <c r="C249" s="9">
        <v>-3.269612</v>
      </c>
      <c r="D249" s="9">
        <v>25.571189</v>
      </c>
      <c r="E249" s="9" t="s">
        <v>675</v>
      </c>
      <c r="F249" s="9" t="s">
        <v>676</v>
      </c>
    </row>
    <row r="250" spans="1:6" x14ac:dyDescent="0.3">
      <c r="A250" s="9" t="s">
        <v>792</v>
      </c>
      <c r="B250" s="9" t="s">
        <v>693</v>
      </c>
      <c r="C250" s="9">
        <v>-12.086929</v>
      </c>
      <c r="D250" s="9">
        <v>14.032645</v>
      </c>
      <c r="E250" s="9" t="s">
        <v>682</v>
      </c>
      <c r="F250" s="9" t="s">
        <v>683</v>
      </c>
    </row>
    <row r="251" spans="1:6" x14ac:dyDescent="0.3">
      <c r="A251" s="9" t="s">
        <v>68</v>
      </c>
      <c r="B251" s="9" t="s">
        <v>725</v>
      </c>
      <c r="C251" s="9">
        <v>-10.963041</v>
      </c>
      <c r="D251" s="9">
        <v>12.269857</v>
      </c>
      <c r="E251" s="9" t="s">
        <v>679</v>
      </c>
      <c r="F251" s="9" t="s">
        <v>680</v>
      </c>
    </row>
    <row r="252" spans="1:6" x14ac:dyDescent="0.3">
      <c r="A252" s="9" t="s">
        <v>793</v>
      </c>
      <c r="B252" s="9" t="s">
        <v>737</v>
      </c>
      <c r="C252" s="9">
        <v>-4.332408</v>
      </c>
      <c r="D252" s="9">
        <v>14.119439</v>
      </c>
      <c r="E252" s="9" t="s">
        <v>675</v>
      </c>
      <c r="F252" s="9" t="s">
        <v>696</v>
      </c>
    </row>
    <row r="253" spans="1:6" x14ac:dyDescent="0.3">
      <c r="A253" s="9" t="s">
        <v>501</v>
      </c>
      <c r="B253" s="9" t="s">
        <v>689</v>
      </c>
      <c r="C253" s="9">
        <v>-0.57104900000000003</v>
      </c>
      <c r="D253" s="9">
        <v>15.317663</v>
      </c>
      <c r="E253" s="9" t="s">
        <v>675</v>
      </c>
      <c r="F253" s="9" t="s">
        <v>696</v>
      </c>
    </row>
    <row r="254" spans="1:6" x14ac:dyDescent="0.3">
      <c r="A254" s="9" t="s">
        <v>180</v>
      </c>
      <c r="B254" s="9" t="s">
        <v>715</v>
      </c>
      <c r="C254" s="9">
        <v>-10.442425</v>
      </c>
      <c r="D254" s="9">
        <v>23.243632000000002</v>
      </c>
      <c r="E254" s="9" t="s">
        <v>679</v>
      </c>
      <c r="F254" s="9" t="s">
        <v>696</v>
      </c>
    </row>
    <row r="255" spans="1:6" x14ac:dyDescent="0.3">
      <c r="A255" s="9" t="s">
        <v>297</v>
      </c>
      <c r="B255" s="9" t="s">
        <v>718</v>
      </c>
      <c r="C255" s="9">
        <v>0.16327700000000001</v>
      </c>
      <c r="D255" s="9">
        <v>14.871577</v>
      </c>
      <c r="E255" s="9" t="s">
        <v>679</v>
      </c>
      <c r="F255" s="9" t="s">
        <v>680</v>
      </c>
    </row>
    <row r="256" spans="1:6" x14ac:dyDescent="0.3">
      <c r="A256" s="9" t="s">
        <v>794</v>
      </c>
      <c r="B256" s="9" t="s">
        <v>706</v>
      </c>
      <c r="C256" s="9">
        <v>4.7044240000000004</v>
      </c>
      <c r="D256" s="9">
        <v>20.486409999999999</v>
      </c>
      <c r="E256" s="9" t="s">
        <v>679</v>
      </c>
      <c r="F256" s="9" t="s">
        <v>683</v>
      </c>
    </row>
    <row r="257" spans="1:6" x14ac:dyDescent="0.3">
      <c r="A257" s="9" t="s">
        <v>795</v>
      </c>
      <c r="B257" s="9" t="s">
        <v>692</v>
      </c>
      <c r="C257" s="9">
        <v>4.7060310000000003</v>
      </c>
      <c r="D257" s="9">
        <v>27.348973000000001</v>
      </c>
      <c r="E257" s="9" t="s">
        <v>679</v>
      </c>
      <c r="F257" s="9" t="s">
        <v>680</v>
      </c>
    </row>
    <row r="258" spans="1:6" x14ac:dyDescent="0.3">
      <c r="A258" s="9" t="s">
        <v>796</v>
      </c>
      <c r="B258" s="9" t="s">
        <v>710</v>
      </c>
      <c r="C258" s="9">
        <v>1.019657</v>
      </c>
      <c r="D258" s="9">
        <v>16.963799000000002</v>
      </c>
      <c r="E258" s="9" t="s">
        <v>682</v>
      </c>
      <c r="F258" s="9" t="s">
        <v>696</v>
      </c>
    </row>
    <row r="259" spans="1:6" x14ac:dyDescent="0.3">
      <c r="A259" s="9" t="s">
        <v>609</v>
      </c>
      <c r="B259" s="9" t="s">
        <v>715</v>
      </c>
      <c r="C259" s="9">
        <v>-4.6311460000000002</v>
      </c>
      <c r="D259" s="9">
        <v>25.314723000000001</v>
      </c>
      <c r="E259" s="9" t="s">
        <v>679</v>
      </c>
      <c r="F259" s="9" t="s">
        <v>680</v>
      </c>
    </row>
    <row r="260" spans="1:6" x14ac:dyDescent="0.3">
      <c r="A260" s="9" t="s">
        <v>797</v>
      </c>
      <c r="B260" s="9" t="s">
        <v>725</v>
      </c>
      <c r="C260" s="9">
        <v>-11.591777</v>
      </c>
      <c r="D260" s="9">
        <v>21.213452</v>
      </c>
      <c r="E260" s="9" t="s">
        <v>675</v>
      </c>
      <c r="F260" s="9" t="s">
        <v>676</v>
      </c>
    </row>
    <row r="261" spans="1:6" x14ac:dyDescent="0.3">
      <c r="A261" s="9" t="s">
        <v>798</v>
      </c>
      <c r="B261" s="9" t="s">
        <v>715</v>
      </c>
      <c r="C261" s="9">
        <v>3.0184790000000001</v>
      </c>
      <c r="D261" s="9">
        <v>27.188068000000001</v>
      </c>
      <c r="E261" s="9" t="s">
        <v>675</v>
      </c>
      <c r="F261" s="9" t="s">
        <v>676</v>
      </c>
    </row>
    <row r="262" spans="1:6" x14ac:dyDescent="0.3">
      <c r="A262" s="9" t="s">
        <v>435</v>
      </c>
      <c r="B262" s="9" t="s">
        <v>737</v>
      </c>
      <c r="C262" s="9">
        <v>-11.407966</v>
      </c>
      <c r="D262" s="9">
        <v>28.378274000000001</v>
      </c>
      <c r="E262" s="9" t="s">
        <v>679</v>
      </c>
      <c r="F262" s="9" t="s">
        <v>683</v>
      </c>
    </row>
    <row r="263" spans="1:6" x14ac:dyDescent="0.3">
      <c r="A263" s="9" t="s">
        <v>431</v>
      </c>
      <c r="B263" s="9" t="s">
        <v>721</v>
      </c>
      <c r="C263" s="9">
        <v>-4.4958720000000003</v>
      </c>
      <c r="D263" s="9">
        <v>18.514112000000001</v>
      </c>
      <c r="E263" s="9" t="s">
        <v>679</v>
      </c>
      <c r="F263" s="9" t="s">
        <v>696</v>
      </c>
    </row>
    <row r="264" spans="1:6" x14ac:dyDescent="0.3">
      <c r="A264" s="9" t="s">
        <v>799</v>
      </c>
      <c r="B264" s="9" t="s">
        <v>710</v>
      </c>
      <c r="C264" s="9">
        <v>0.35034999999999999</v>
      </c>
      <c r="D264" s="9">
        <v>13.603628</v>
      </c>
      <c r="E264" s="9" t="s">
        <v>675</v>
      </c>
      <c r="F264" s="9" t="s">
        <v>683</v>
      </c>
    </row>
    <row r="265" spans="1:6" x14ac:dyDescent="0.3">
      <c r="A265" s="9" t="s">
        <v>800</v>
      </c>
      <c r="B265" s="9" t="s">
        <v>674</v>
      </c>
      <c r="C265" s="9">
        <v>4.2873989999999997</v>
      </c>
      <c r="D265" s="9">
        <v>14.756335</v>
      </c>
      <c r="E265" s="9" t="s">
        <v>675</v>
      </c>
      <c r="F265" s="9" t="s">
        <v>676</v>
      </c>
    </row>
    <row r="266" spans="1:6" x14ac:dyDescent="0.3">
      <c r="A266" s="9" t="s">
        <v>290</v>
      </c>
      <c r="B266" s="9" t="s">
        <v>721</v>
      </c>
      <c r="C266" s="9">
        <v>-11.594525000000001</v>
      </c>
      <c r="D266" s="9">
        <v>29.744895</v>
      </c>
      <c r="E266" s="9" t="s">
        <v>682</v>
      </c>
      <c r="F266" s="9" t="s">
        <v>683</v>
      </c>
    </row>
    <row r="267" spans="1:6" x14ac:dyDescent="0.3">
      <c r="A267" s="9" t="s">
        <v>260</v>
      </c>
      <c r="B267" s="9" t="s">
        <v>681</v>
      </c>
      <c r="C267" s="9">
        <v>-1.5936220000000001</v>
      </c>
      <c r="D267" s="9">
        <v>14.928856</v>
      </c>
      <c r="E267" s="9" t="s">
        <v>675</v>
      </c>
      <c r="F267" s="9" t="s">
        <v>676</v>
      </c>
    </row>
    <row r="268" spans="1:6" x14ac:dyDescent="0.3">
      <c r="A268" s="9" t="s">
        <v>801</v>
      </c>
      <c r="B268" s="9" t="s">
        <v>700</v>
      </c>
      <c r="C268" s="9">
        <v>1.3657680000000001</v>
      </c>
      <c r="D268" s="9">
        <v>21.423017000000002</v>
      </c>
      <c r="E268" s="9" t="s">
        <v>675</v>
      </c>
      <c r="F268" s="9" t="s">
        <v>676</v>
      </c>
    </row>
    <row r="269" spans="1:6" x14ac:dyDescent="0.3">
      <c r="A269" s="9" t="s">
        <v>802</v>
      </c>
      <c r="B269" s="9" t="s">
        <v>710</v>
      </c>
      <c r="C269" s="9">
        <v>-7.3750049999999998</v>
      </c>
      <c r="D269" s="9">
        <v>30.878126000000002</v>
      </c>
      <c r="E269" s="9" t="s">
        <v>675</v>
      </c>
      <c r="F269" s="9" t="s">
        <v>680</v>
      </c>
    </row>
    <row r="270" spans="1:6" x14ac:dyDescent="0.3">
      <c r="A270" s="9" t="s">
        <v>450</v>
      </c>
      <c r="B270" s="9" t="s">
        <v>700</v>
      </c>
      <c r="C270" s="9">
        <v>-12.050063</v>
      </c>
      <c r="D270" s="9">
        <v>26.636987999999999</v>
      </c>
      <c r="E270" s="9" t="s">
        <v>682</v>
      </c>
      <c r="F270" s="9" t="s">
        <v>696</v>
      </c>
    </row>
    <row r="271" spans="1:6" x14ac:dyDescent="0.3">
      <c r="A271" s="9" t="s">
        <v>803</v>
      </c>
      <c r="B271" s="9" t="s">
        <v>702</v>
      </c>
      <c r="C271" s="9">
        <v>-6.8161690000000004</v>
      </c>
      <c r="D271" s="9">
        <v>16.521000999999998</v>
      </c>
      <c r="E271" s="9" t="s">
        <v>675</v>
      </c>
      <c r="F271" s="9" t="s">
        <v>676</v>
      </c>
    </row>
    <row r="272" spans="1:6" x14ac:dyDescent="0.3">
      <c r="A272" s="9" t="s">
        <v>660</v>
      </c>
      <c r="B272" s="9" t="s">
        <v>674</v>
      </c>
      <c r="C272" s="9">
        <v>1.0134879999999999</v>
      </c>
      <c r="D272" s="9">
        <v>20.363515</v>
      </c>
      <c r="E272" s="9" t="s">
        <v>679</v>
      </c>
      <c r="F272" s="9" t="s">
        <v>696</v>
      </c>
    </row>
    <row r="273" spans="1:6" x14ac:dyDescent="0.3">
      <c r="A273" s="9" t="s">
        <v>168</v>
      </c>
      <c r="B273" s="9" t="s">
        <v>684</v>
      </c>
      <c r="C273" s="9">
        <v>-4.5603610000000003</v>
      </c>
      <c r="D273" s="9">
        <v>24.113918999999999</v>
      </c>
      <c r="E273" s="9" t="s">
        <v>675</v>
      </c>
      <c r="F273" s="9" t="s">
        <v>683</v>
      </c>
    </row>
    <row r="274" spans="1:6" x14ac:dyDescent="0.3">
      <c r="A274" s="9" t="s">
        <v>271</v>
      </c>
      <c r="B274" s="9" t="s">
        <v>710</v>
      </c>
      <c r="C274" s="9">
        <v>-3.7720639999999999</v>
      </c>
      <c r="D274" s="9">
        <v>16.006277999999998</v>
      </c>
      <c r="E274" s="9" t="s">
        <v>675</v>
      </c>
      <c r="F274" s="9" t="s">
        <v>683</v>
      </c>
    </row>
    <row r="275" spans="1:6" x14ac:dyDescent="0.3">
      <c r="A275" s="9" t="s">
        <v>804</v>
      </c>
      <c r="B275" s="9" t="s">
        <v>703</v>
      </c>
      <c r="C275" s="9">
        <v>-4.5538169999999996</v>
      </c>
      <c r="D275" s="9">
        <v>25.952860999999999</v>
      </c>
      <c r="E275" s="9" t="s">
        <v>682</v>
      </c>
      <c r="F275" s="9" t="s">
        <v>676</v>
      </c>
    </row>
    <row r="276" spans="1:6" x14ac:dyDescent="0.3">
      <c r="A276" s="9" t="s">
        <v>392</v>
      </c>
      <c r="B276" s="9" t="s">
        <v>674</v>
      </c>
      <c r="C276" s="9">
        <v>0.20866199999999999</v>
      </c>
      <c r="D276" s="9">
        <v>18.556439000000001</v>
      </c>
      <c r="E276" s="9" t="s">
        <v>679</v>
      </c>
      <c r="F276" s="9" t="s">
        <v>696</v>
      </c>
    </row>
    <row r="277" spans="1:6" x14ac:dyDescent="0.3">
      <c r="A277" s="9" t="s">
        <v>383</v>
      </c>
      <c r="B277" s="9" t="s">
        <v>695</v>
      </c>
      <c r="C277" s="9">
        <v>-5.42171</v>
      </c>
      <c r="D277" s="9">
        <v>24.202960999999998</v>
      </c>
      <c r="E277" s="9" t="s">
        <v>675</v>
      </c>
      <c r="F277" s="9" t="s">
        <v>676</v>
      </c>
    </row>
    <row r="278" spans="1:6" x14ac:dyDescent="0.3">
      <c r="A278" s="9" t="s">
        <v>323</v>
      </c>
      <c r="B278" s="9" t="s">
        <v>699</v>
      </c>
      <c r="C278" s="9">
        <v>4.2904629999999999</v>
      </c>
      <c r="D278" s="9">
        <v>26.354195000000001</v>
      </c>
      <c r="E278" s="9" t="s">
        <v>682</v>
      </c>
      <c r="F278" s="9" t="s">
        <v>676</v>
      </c>
    </row>
    <row r="279" spans="1:6" x14ac:dyDescent="0.3">
      <c r="A279" s="9" t="s">
        <v>805</v>
      </c>
      <c r="B279" s="9" t="s">
        <v>705</v>
      </c>
      <c r="C279" s="9">
        <v>1.368018</v>
      </c>
      <c r="D279" s="9">
        <v>14.203893000000001</v>
      </c>
      <c r="E279" s="9" t="s">
        <v>675</v>
      </c>
      <c r="F279" s="9" t="s">
        <v>680</v>
      </c>
    </row>
    <row r="280" spans="1:6" x14ac:dyDescent="0.3">
      <c r="A280" s="9" t="s">
        <v>806</v>
      </c>
      <c r="B280" s="9" t="s">
        <v>702</v>
      </c>
      <c r="C280" s="9">
        <v>-7.7942479999999996</v>
      </c>
      <c r="D280" s="9">
        <v>15.184407999999999</v>
      </c>
      <c r="E280" s="9" t="s">
        <v>682</v>
      </c>
      <c r="F280" s="9" t="s">
        <v>683</v>
      </c>
    </row>
    <row r="281" spans="1:6" x14ac:dyDescent="0.3">
      <c r="A281" s="9" t="s">
        <v>468</v>
      </c>
      <c r="B281" s="9" t="s">
        <v>710</v>
      </c>
      <c r="C281" s="9">
        <v>-12.364127999999999</v>
      </c>
      <c r="D281" s="9">
        <v>19.576150999999999</v>
      </c>
      <c r="E281" s="9" t="s">
        <v>682</v>
      </c>
      <c r="F281" s="9" t="s">
        <v>696</v>
      </c>
    </row>
    <row r="282" spans="1:6" x14ac:dyDescent="0.3">
      <c r="A282" s="9" t="s">
        <v>476</v>
      </c>
      <c r="B282" s="9" t="s">
        <v>700</v>
      </c>
      <c r="C282" s="9">
        <v>3.611561</v>
      </c>
      <c r="D282" s="9">
        <v>17.725974999999998</v>
      </c>
      <c r="E282" s="9" t="s">
        <v>682</v>
      </c>
      <c r="F282" s="9" t="s">
        <v>683</v>
      </c>
    </row>
    <row r="283" spans="1:6" x14ac:dyDescent="0.3">
      <c r="A283" s="9" t="s">
        <v>241</v>
      </c>
      <c r="B283" s="9" t="s">
        <v>689</v>
      </c>
      <c r="C283" s="9">
        <v>0.48965500000000001</v>
      </c>
      <c r="D283" s="9">
        <v>26.176860000000001</v>
      </c>
      <c r="E283" s="9" t="s">
        <v>679</v>
      </c>
      <c r="F283" s="9" t="s">
        <v>680</v>
      </c>
    </row>
    <row r="284" spans="1:6" x14ac:dyDescent="0.3">
      <c r="A284" s="9" t="s">
        <v>420</v>
      </c>
      <c r="B284" s="9" t="s">
        <v>698</v>
      </c>
      <c r="C284" s="9">
        <v>8.5490999999999998E-2</v>
      </c>
      <c r="D284" s="9">
        <v>26.296129000000001</v>
      </c>
      <c r="E284" s="9" t="s">
        <v>682</v>
      </c>
      <c r="F284" s="9" t="s">
        <v>683</v>
      </c>
    </row>
    <row r="285" spans="1:6" x14ac:dyDescent="0.3">
      <c r="A285" s="9" t="s">
        <v>387</v>
      </c>
      <c r="B285" s="9" t="s">
        <v>706</v>
      </c>
      <c r="C285" s="9">
        <v>-2.8532869999999999</v>
      </c>
      <c r="D285" s="9">
        <v>22.117896000000002</v>
      </c>
      <c r="E285" s="9" t="s">
        <v>675</v>
      </c>
      <c r="F285" s="9" t="s">
        <v>680</v>
      </c>
    </row>
    <row r="286" spans="1:6" x14ac:dyDescent="0.3">
      <c r="A286" s="9" t="s">
        <v>588</v>
      </c>
      <c r="B286" s="9" t="s">
        <v>718</v>
      </c>
      <c r="C286" s="9">
        <v>-11.89448</v>
      </c>
      <c r="D286" s="9">
        <v>19.216214999999998</v>
      </c>
      <c r="E286" s="9" t="s">
        <v>682</v>
      </c>
      <c r="F286" s="9" t="s">
        <v>683</v>
      </c>
    </row>
    <row r="287" spans="1:6" x14ac:dyDescent="0.3">
      <c r="A287" s="9" t="s">
        <v>365</v>
      </c>
      <c r="B287" s="9" t="s">
        <v>705</v>
      </c>
      <c r="C287" s="9">
        <v>-4.4831099999999999</v>
      </c>
      <c r="D287" s="9">
        <v>25.406548000000001</v>
      </c>
      <c r="E287" s="9" t="s">
        <v>675</v>
      </c>
      <c r="F287" s="9" t="s">
        <v>696</v>
      </c>
    </row>
    <row r="288" spans="1:6" x14ac:dyDescent="0.3">
      <c r="A288" s="9" t="s">
        <v>339</v>
      </c>
      <c r="B288" s="9" t="s">
        <v>681</v>
      </c>
      <c r="C288" s="9">
        <v>-9.9565739999999998</v>
      </c>
      <c r="D288" s="9">
        <v>21.017202000000001</v>
      </c>
      <c r="E288" s="9" t="s">
        <v>679</v>
      </c>
      <c r="F288" s="9" t="s">
        <v>680</v>
      </c>
    </row>
    <row r="289" spans="1:6" x14ac:dyDescent="0.3">
      <c r="A289" s="9" t="s">
        <v>583</v>
      </c>
      <c r="B289" s="9" t="s">
        <v>684</v>
      </c>
      <c r="C289" s="9">
        <v>-12.070842000000001</v>
      </c>
      <c r="D289" s="9">
        <v>14.757847</v>
      </c>
      <c r="E289" s="9" t="s">
        <v>679</v>
      </c>
      <c r="F289" s="9" t="s">
        <v>683</v>
      </c>
    </row>
    <row r="290" spans="1:6" x14ac:dyDescent="0.3">
      <c r="A290" s="9" t="s">
        <v>528</v>
      </c>
      <c r="B290" s="9" t="s">
        <v>701</v>
      </c>
      <c r="C290" s="9">
        <v>4.8265669999999998</v>
      </c>
      <c r="D290" s="9">
        <v>28.535277000000001</v>
      </c>
      <c r="E290" s="9" t="s">
        <v>682</v>
      </c>
      <c r="F290" s="9" t="s">
        <v>680</v>
      </c>
    </row>
    <row r="291" spans="1:6" x14ac:dyDescent="0.3">
      <c r="A291" s="9" t="s">
        <v>807</v>
      </c>
      <c r="B291" s="9" t="s">
        <v>710</v>
      </c>
      <c r="C291" s="9">
        <v>1.5601240000000001</v>
      </c>
      <c r="D291" s="9">
        <v>12.225398</v>
      </c>
      <c r="E291" s="9" t="s">
        <v>675</v>
      </c>
      <c r="F291" s="9" t="s">
        <v>696</v>
      </c>
    </row>
    <row r="292" spans="1:6" x14ac:dyDescent="0.3">
      <c r="A292" s="9" t="s">
        <v>808</v>
      </c>
      <c r="B292" s="9" t="s">
        <v>703</v>
      </c>
      <c r="C292" s="9">
        <v>-1.762294</v>
      </c>
      <c r="D292" s="9">
        <v>29.617228000000001</v>
      </c>
      <c r="E292" s="9" t="s">
        <v>679</v>
      </c>
      <c r="F292" s="9" t="s">
        <v>683</v>
      </c>
    </row>
    <row r="293" spans="1:6" x14ac:dyDescent="0.3">
      <c r="A293" s="9" t="s">
        <v>628</v>
      </c>
      <c r="B293" s="9" t="s">
        <v>698</v>
      </c>
      <c r="C293" s="9">
        <v>-7.8373179999999998</v>
      </c>
      <c r="D293" s="9">
        <v>20.527591999999999</v>
      </c>
      <c r="E293" s="9" t="s">
        <v>679</v>
      </c>
      <c r="F293" s="9" t="s">
        <v>676</v>
      </c>
    </row>
    <row r="294" spans="1:6" x14ac:dyDescent="0.3">
      <c r="A294" s="9" t="s">
        <v>505</v>
      </c>
      <c r="B294" s="9" t="s">
        <v>699</v>
      </c>
      <c r="C294" s="9">
        <v>-11.514817000000001</v>
      </c>
      <c r="D294" s="9">
        <v>24.891375</v>
      </c>
      <c r="E294" s="9" t="s">
        <v>682</v>
      </c>
      <c r="F294" s="9" t="s">
        <v>696</v>
      </c>
    </row>
    <row r="295" spans="1:6" x14ac:dyDescent="0.3">
      <c r="A295" s="9" t="s">
        <v>809</v>
      </c>
      <c r="B295" s="9" t="s">
        <v>724</v>
      </c>
      <c r="C295" s="9">
        <v>-3.89927</v>
      </c>
      <c r="D295" s="9">
        <v>30.273492000000001</v>
      </c>
      <c r="E295" s="9" t="s">
        <v>682</v>
      </c>
      <c r="F295" s="9" t="s">
        <v>696</v>
      </c>
    </row>
    <row r="296" spans="1:6" x14ac:dyDescent="0.3">
      <c r="A296" s="9" t="s">
        <v>810</v>
      </c>
      <c r="B296" s="9" t="s">
        <v>724</v>
      </c>
      <c r="C296" s="9">
        <v>2.3260149999999999</v>
      </c>
      <c r="D296" s="9">
        <v>24.97465</v>
      </c>
      <c r="E296" s="9" t="s">
        <v>682</v>
      </c>
      <c r="F296" s="9" t="s">
        <v>696</v>
      </c>
    </row>
    <row r="297" spans="1:6" x14ac:dyDescent="0.3">
      <c r="A297" s="9" t="s">
        <v>135</v>
      </c>
      <c r="B297" s="9" t="s">
        <v>698</v>
      </c>
      <c r="C297" s="9">
        <v>-7.9987219999999999</v>
      </c>
      <c r="D297" s="9">
        <v>12.779335</v>
      </c>
      <c r="E297" s="9" t="s">
        <v>675</v>
      </c>
      <c r="F297" s="9" t="s">
        <v>696</v>
      </c>
    </row>
    <row r="298" spans="1:6" x14ac:dyDescent="0.3">
      <c r="A298" s="9" t="s">
        <v>811</v>
      </c>
      <c r="B298" s="9" t="s">
        <v>706</v>
      </c>
      <c r="C298" s="9">
        <v>-10.614302</v>
      </c>
      <c r="D298" s="9">
        <v>29.436530999999999</v>
      </c>
      <c r="E298" s="9" t="s">
        <v>682</v>
      </c>
      <c r="F298" s="9" t="s">
        <v>676</v>
      </c>
    </row>
    <row r="299" spans="1:6" x14ac:dyDescent="0.3">
      <c r="A299" s="9" t="s">
        <v>439</v>
      </c>
      <c r="B299" s="9" t="s">
        <v>681</v>
      </c>
      <c r="C299" s="9">
        <v>-7.9425049999999997</v>
      </c>
      <c r="D299" s="9">
        <v>24.111059000000001</v>
      </c>
      <c r="E299" s="9" t="s">
        <v>682</v>
      </c>
      <c r="F299" s="9" t="s">
        <v>683</v>
      </c>
    </row>
    <row r="300" spans="1:6" x14ac:dyDescent="0.3">
      <c r="A300" s="9" t="s">
        <v>419</v>
      </c>
      <c r="B300" s="9" t="s">
        <v>699</v>
      </c>
      <c r="C300" s="9">
        <v>2.4414509999999998</v>
      </c>
      <c r="D300" s="9">
        <v>30.167489</v>
      </c>
      <c r="E300" s="9" t="s">
        <v>675</v>
      </c>
      <c r="F300" s="9" t="s">
        <v>696</v>
      </c>
    </row>
    <row r="301" spans="1:6" x14ac:dyDescent="0.3">
      <c r="A301" s="9" t="s">
        <v>106</v>
      </c>
      <c r="B301" s="9" t="s">
        <v>689</v>
      </c>
      <c r="C301" s="9">
        <v>-1.339734</v>
      </c>
      <c r="D301" s="9">
        <v>15.243098</v>
      </c>
      <c r="E301" s="9" t="s">
        <v>682</v>
      </c>
      <c r="F301" s="9" t="s">
        <v>696</v>
      </c>
    </row>
    <row r="302" spans="1:6" x14ac:dyDescent="0.3">
      <c r="A302" s="9" t="s">
        <v>397</v>
      </c>
      <c r="B302" s="9" t="s">
        <v>724</v>
      </c>
      <c r="C302" s="9">
        <v>-9.8208710000000004</v>
      </c>
      <c r="D302" s="9">
        <v>23.229807000000001</v>
      </c>
      <c r="E302" s="9" t="s">
        <v>675</v>
      </c>
      <c r="F302" s="9" t="s">
        <v>696</v>
      </c>
    </row>
    <row r="303" spans="1:6" x14ac:dyDescent="0.3">
      <c r="A303" s="9" t="s">
        <v>258</v>
      </c>
      <c r="B303" s="9" t="s">
        <v>692</v>
      </c>
      <c r="C303" s="9">
        <v>-12.292039000000001</v>
      </c>
      <c r="D303" s="9">
        <v>27.538202999999999</v>
      </c>
      <c r="E303" s="9" t="s">
        <v>682</v>
      </c>
      <c r="F303" s="9" t="s">
        <v>680</v>
      </c>
    </row>
    <row r="304" spans="1:6" x14ac:dyDescent="0.3">
      <c r="A304" s="9" t="s">
        <v>812</v>
      </c>
      <c r="B304" s="9" t="s">
        <v>695</v>
      </c>
      <c r="C304" s="9">
        <v>-6.0850540000000004</v>
      </c>
      <c r="D304" s="9">
        <v>14.020293000000001</v>
      </c>
      <c r="E304" s="9" t="s">
        <v>675</v>
      </c>
      <c r="F304" s="9" t="s">
        <v>680</v>
      </c>
    </row>
    <row r="305" spans="1:6" x14ac:dyDescent="0.3">
      <c r="A305" s="9" t="s">
        <v>545</v>
      </c>
      <c r="B305" s="9" t="s">
        <v>701</v>
      </c>
      <c r="C305" s="9">
        <v>-9.5619429999999994</v>
      </c>
      <c r="D305" s="9">
        <v>21.445726000000001</v>
      </c>
      <c r="E305" s="9" t="s">
        <v>679</v>
      </c>
      <c r="F305" s="9" t="s">
        <v>696</v>
      </c>
    </row>
    <row r="306" spans="1:6" x14ac:dyDescent="0.3">
      <c r="A306" s="9" t="s">
        <v>432</v>
      </c>
      <c r="B306" s="9" t="s">
        <v>715</v>
      </c>
      <c r="C306" s="9">
        <v>-0.47411900000000001</v>
      </c>
      <c r="D306" s="9">
        <v>27.184329000000002</v>
      </c>
      <c r="E306" s="9" t="s">
        <v>675</v>
      </c>
      <c r="F306" s="9" t="s">
        <v>683</v>
      </c>
    </row>
    <row r="307" spans="1:6" x14ac:dyDescent="0.3">
      <c r="A307" s="9" t="s">
        <v>62</v>
      </c>
      <c r="B307" s="9" t="s">
        <v>681</v>
      </c>
      <c r="C307" s="9">
        <v>3.1362930000000002</v>
      </c>
      <c r="D307" s="9">
        <v>16.190878000000001</v>
      </c>
      <c r="E307" s="9" t="s">
        <v>682</v>
      </c>
      <c r="F307" s="9" t="s">
        <v>696</v>
      </c>
    </row>
    <row r="308" spans="1:6" x14ac:dyDescent="0.3">
      <c r="A308" s="9" t="s">
        <v>449</v>
      </c>
      <c r="B308" s="9" t="s">
        <v>687</v>
      </c>
      <c r="C308" s="9">
        <v>-1.6488929999999999</v>
      </c>
      <c r="D308" s="9">
        <v>27.284617000000001</v>
      </c>
      <c r="E308" s="9" t="s">
        <v>675</v>
      </c>
      <c r="F308" s="9" t="s">
        <v>696</v>
      </c>
    </row>
    <row r="309" spans="1:6" x14ac:dyDescent="0.3">
      <c r="A309" s="9" t="s">
        <v>403</v>
      </c>
      <c r="B309" s="9" t="s">
        <v>695</v>
      </c>
      <c r="C309" s="9">
        <v>-6.5332999999999997</v>
      </c>
      <c r="D309" s="9">
        <v>20.098018</v>
      </c>
      <c r="E309" s="9" t="s">
        <v>679</v>
      </c>
      <c r="F309" s="9" t="s">
        <v>680</v>
      </c>
    </row>
    <row r="310" spans="1:6" x14ac:dyDescent="0.3">
      <c r="A310" s="9" t="s">
        <v>813</v>
      </c>
      <c r="B310" s="9" t="s">
        <v>698</v>
      </c>
      <c r="C310" s="9">
        <v>-11.472474999999999</v>
      </c>
      <c r="D310" s="9">
        <v>27.418900000000001</v>
      </c>
      <c r="E310" s="9" t="s">
        <v>679</v>
      </c>
      <c r="F310" s="9" t="s">
        <v>683</v>
      </c>
    </row>
    <row r="311" spans="1:6" x14ac:dyDescent="0.3">
      <c r="A311" s="9" t="s">
        <v>136</v>
      </c>
      <c r="B311" s="9" t="s">
        <v>689</v>
      </c>
      <c r="C311" s="9">
        <v>-1.6097570000000001</v>
      </c>
      <c r="D311" s="9">
        <v>30.661662</v>
      </c>
      <c r="E311" s="9" t="s">
        <v>679</v>
      </c>
      <c r="F311" s="9" t="s">
        <v>676</v>
      </c>
    </row>
    <row r="312" spans="1:6" x14ac:dyDescent="0.3">
      <c r="A312" s="9" t="s">
        <v>33</v>
      </c>
      <c r="B312" s="9" t="s">
        <v>684</v>
      </c>
      <c r="C312" s="9">
        <v>0.23583499999999999</v>
      </c>
      <c r="D312" s="9">
        <v>24.889558999999998</v>
      </c>
      <c r="E312" s="9" t="s">
        <v>682</v>
      </c>
      <c r="F312" s="9" t="s">
        <v>683</v>
      </c>
    </row>
    <row r="313" spans="1:6" x14ac:dyDescent="0.3">
      <c r="A313" s="9" t="s">
        <v>194</v>
      </c>
      <c r="B313" s="9" t="s">
        <v>681</v>
      </c>
      <c r="C313" s="9">
        <v>-10.481026999999999</v>
      </c>
      <c r="D313" s="9">
        <v>18.160464000000001</v>
      </c>
      <c r="E313" s="9" t="s">
        <v>675</v>
      </c>
      <c r="F313" s="9" t="s">
        <v>680</v>
      </c>
    </row>
    <row r="314" spans="1:6" x14ac:dyDescent="0.3">
      <c r="A314" s="9" t="s">
        <v>185</v>
      </c>
      <c r="B314" s="9" t="s">
        <v>713</v>
      </c>
      <c r="C314" s="9">
        <v>-9.5243310000000001</v>
      </c>
      <c r="D314" s="9">
        <v>30.541212000000002</v>
      </c>
      <c r="E314" s="9" t="s">
        <v>682</v>
      </c>
      <c r="F314" s="9" t="s">
        <v>676</v>
      </c>
    </row>
    <row r="315" spans="1:6" x14ac:dyDescent="0.3">
      <c r="A315" s="9" t="s">
        <v>89</v>
      </c>
      <c r="B315" s="9" t="s">
        <v>706</v>
      </c>
      <c r="C315" s="9">
        <v>-4.4697000000000001E-2</v>
      </c>
      <c r="D315" s="9">
        <v>22.943373000000001</v>
      </c>
      <c r="E315" s="9" t="s">
        <v>682</v>
      </c>
      <c r="F315" s="9" t="s">
        <v>680</v>
      </c>
    </row>
    <row r="316" spans="1:6" x14ac:dyDescent="0.3">
      <c r="A316" s="9" t="s">
        <v>617</v>
      </c>
      <c r="B316" s="9" t="s">
        <v>706</v>
      </c>
      <c r="C316" s="9">
        <v>-2.3269820000000001</v>
      </c>
      <c r="D316" s="9">
        <v>14.609259</v>
      </c>
      <c r="E316" s="9" t="s">
        <v>682</v>
      </c>
      <c r="F316" s="9" t="s">
        <v>696</v>
      </c>
    </row>
    <row r="317" spans="1:6" x14ac:dyDescent="0.3">
      <c r="A317" s="9" t="s">
        <v>814</v>
      </c>
      <c r="B317" s="9" t="s">
        <v>710</v>
      </c>
      <c r="C317" s="9">
        <v>-4.1938139999999997</v>
      </c>
      <c r="D317" s="9">
        <v>27.892115</v>
      </c>
      <c r="E317" s="9" t="s">
        <v>675</v>
      </c>
      <c r="F317" s="9" t="s">
        <v>676</v>
      </c>
    </row>
    <row r="318" spans="1:6" x14ac:dyDescent="0.3">
      <c r="A318" s="9" t="s">
        <v>51</v>
      </c>
      <c r="B318" s="9" t="s">
        <v>695</v>
      </c>
      <c r="C318" s="9">
        <v>-11.866133</v>
      </c>
      <c r="D318" s="9">
        <v>27.068932</v>
      </c>
      <c r="E318" s="9" t="s">
        <v>682</v>
      </c>
      <c r="F318" s="9" t="s">
        <v>680</v>
      </c>
    </row>
    <row r="319" spans="1:6" x14ac:dyDescent="0.3">
      <c r="A319" s="9" t="s">
        <v>815</v>
      </c>
      <c r="B319" s="9" t="s">
        <v>718</v>
      </c>
      <c r="C319" s="9">
        <v>-3.2700629999999999</v>
      </c>
      <c r="D319" s="9">
        <v>26.520330000000001</v>
      </c>
      <c r="E319" s="9" t="s">
        <v>675</v>
      </c>
      <c r="F319" s="9" t="s">
        <v>696</v>
      </c>
    </row>
    <row r="320" spans="1:6" x14ac:dyDescent="0.3">
      <c r="A320" s="9" t="s">
        <v>95</v>
      </c>
      <c r="B320" s="9" t="s">
        <v>713</v>
      </c>
      <c r="C320" s="9">
        <v>-7.4608439999999998</v>
      </c>
      <c r="D320" s="9">
        <v>23.268619999999999</v>
      </c>
      <c r="E320" s="9" t="s">
        <v>679</v>
      </c>
      <c r="F320" s="9" t="s">
        <v>680</v>
      </c>
    </row>
    <row r="321" spans="1:6" x14ac:dyDescent="0.3">
      <c r="A321" s="9" t="s">
        <v>146</v>
      </c>
      <c r="B321" s="9" t="s">
        <v>721</v>
      </c>
      <c r="C321" s="9">
        <v>-3.3890790000000002</v>
      </c>
      <c r="D321" s="9">
        <v>18.374571</v>
      </c>
      <c r="E321" s="9" t="s">
        <v>675</v>
      </c>
      <c r="F321" s="9" t="s">
        <v>683</v>
      </c>
    </row>
    <row r="322" spans="1:6" x14ac:dyDescent="0.3">
      <c r="A322" s="9" t="s">
        <v>250</v>
      </c>
      <c r="B322" s="9" t="s">
        <v>721</v>
      </c>
      <c r="C322" s="9">
        <v>2.016505</v>
      </c>
      <c r="D322" s="9">
        <v>14.294164</v>
      </c>
      <c r="E322" s="9" t="s">
        <v>675</v>
      </c>
      <c r="F322" s="9" t="s">
        <v>680</v>
      </c>
    </row>
    <row r="323" spans="1:6" x14ac:dyDescent="0.3">
      <c r="A323" s="9" t="s">
        <v>816</v>
      </c>
      <c r="B323" s="9" t="s">
        <v>725</v>
      </c>
      <c r="C323" s="9">
        <v>-4.9124689999999998</v>
      </c>
      <c r="D323" s="9">
        <v>14.683498999999999</v>
      </c>
      <c r="E323" s="9" t="s">
        <v>682</v>
      </c>
      <c r="F323" s="9" t="s">
        <v>683</v>
      </c>
    </row>
    <row r="324" spans="1:6" x14ac:dyDescent="0.3">
      <c r="A324" s="9" t="s">
        <v>46</v>
      </c>
      <c r="B324" s="9" t="s">
        <v>703</v>
      </c>
      <c r="C324" s="9">
        <v>4.9250049999999996</v>
      </c>
      <c r="D324" s="9">
        <v>19.887931999999999</v>
      </c>
      <c r="E324" s="9" t="s">
        <v>679</v>
      </c>
      <c r="F324" s="9" t="s">
        <v>680</v>
      </c>
    </row>
    <row r="325" spans="1:6" x14ac:dyDescent="0.3">
      <c r="A325" s="9" t="s">
        <v>130</v>
      </c>
      <c r="B325" s="9" t="s">
        <v>705</v>
      </c>
      <c r="C325" s="9">
        <v>-12.333232000000001</v>
      </c>
      <c r="D325" s="9">
        <v>25.229620000000001</v>
      </c>
      <c r="E325" s="9" t="s">
        <v>675</v>
      </c>
      <c r="F325" s="9" t="s">
        <v>696</v>
      </c>
    </row>
    <row r="326" spans="1:6" x14ac:dyDescent="0.3">
      <c r="A326" s="9" t="s">
        <v>167</v>
      </c>
      <c r="B326" s="9" t="s">
        <v>689</v>
      </c>
      <c r="C326" s="9">
        <v>-11.991020000000001</v>
      </c>
      <c r="D326" s="9">
        <v>22.514747</v>
      </c>
      <c r="E326" s="9" t="s">
        <v>675</v>
      </c>
      <c r="F326" s="9" t="s">
        <v>683</v>
      </c>
    </row>
    <row r="327" spans="1:6" x14ac:dyDescent="0.3">
      <c r="A327" s="9" t="s">
        <v>817</v>
      </c>
      <c r="B327" s="9" t="s">
        <v>695</v>
      </c>
      <c r="C327" s="9">
        <v>1.1800139999999999</v>
      </c>
      <c r="D327" s="9">
        <v>20.334562999999999</v>
      </c>
      <c r="E327" s="9" t="s">
        <v>682</v>
      </c>
      <c r="F327" s="9" t="s">
        <v>683</v>
      </c>
    </row>
    <row r="328" spans="1:6" x14ac:dyDescent="0.3">
      <c r="A328" s="9" t="s">
        <v>308</v>
      </c>
      <c r="B328" s="9" t="s">
        <v>681</v>
      </c>
      <c r="C328" s="9">
        <v>-12.229338</v>
      </c>
      <c r="D328" s="9">
        <v>29.587834999999998</v>
      </c>
      <c r="E328" s="9" t="s">
        <v>679</v>
      </c>
      <c r="F328" s="9" t="s">
        <v>696</v>
      </c>
    </row>
    <row r="329" spans="1:6" x14ac:dyDescent="0.3">
      <c r="A329" s="9" t="s">
        <v>179</v>
      </c>
      <c r="B329" s="9" t="s">
        <v>713</v>
      </c>
      <c r="C329" s="9">
        <v>-10.872631999999999</v>
      </c>
      <c r="D329" s="9">
        <v>12.773279</v>
      </c>
      <c r="E329" s="9" t="s">
        <v>682</v>
      </c>
      <c r="F329" s="9" t="s">
        <v>683</v>
      </c>
    </row>
    <row r="330" spans="1:6" x14ac:dyDescent="0.3">
      <c r="A330" s="9" t="s">
        <v>191</v>
      </c>
      <c r="B330" s="9" t="s">
        <v>706</v>
      </c>
      <c r="C330" s="9">
        <v>1.5278670000000001</v>
      </c>
      <c r="D330" s="9">
        <v>13.899388999999999</v>
      </c>
      <c r="E330" s="9" t="s">
        <v>682</v>
      </c>
      <c r="F330" s="9" t="s">
        <v>680</v>
      </c>
    </row>
    <row r="331" spans="1:6" x14ac:dyDescent="0.3">
      <c r="A331" s="9" t="s">
        <v>325</v>
      </c>
      <c r="B331" s="9" t="s">
        <v>678</v>
      </c>
      <c r="C331" s="9">
        <v>-0.98830399999999996</v>
      </c>
      <c r="D331" s="9">
        <v>28.099966999999999</v>
      </c>
      <c r="E331" s="9" t="s">
        <v>682</v>
      </c>
      <c r="F331" s="9" t="s">
        <v>680</v>
      </c>
    </row>
    <row r="332" spans="1:6" x14ac:dyDescent="0.3">
      <c r="A332" s="9" t="s">
        <v>818</v>
      </c>
      <c r="B332" s="9" t="s">
        <v>698</v>
      </c>
      <c r="C332" s="9">
        <v>-4.749333</v>
      </c>
      <c r="D332" s="9">
        <v>23.636389000000001</v>
      </c>
      <c r="E332" s="9" t="s">
        <v>682</v>
      </c>
      <c r="F332" s="9" t="s">
        <v>683</v>
      </c>
    </row>
    <row r="333" spans="1:6" x14ac:dyDescent="0.3">
      <c r="A333" s="9" t="s">
        <v>384</v>
      </c>
      <c r="B333" s="9" t="s">
        <v>703</v>
      </c>
      <c r="C333" s="9">
        <v>-0.79459900000000006</v>
      </c>
      <c r="D333" s="9">
        <v>26.775570999999999</v>
      </c>
      <c r="E333" s="9" t="s">
        <v>675</v>
      </c>
      <c r="F333" s="9" t="s">
        <v>680</v>
      </c>
    </row>
    <row r="334" spans="1:6" x14ac:dyDescent="0.3">
      <c r="A334" s="9" t="s">
        <v>819</v>
      </c>
      <c r="B334" s="9" t="s">
        <v>699</v>
      </c>
      <c r="C334" s="9">
        <v>2.7365970000000002</v>
      </c>
      <c r="D334" s="9">
        <v>12.296976000000001</v>
      </c>
      <c r="E334" s="9" t="s">
        <v>679</v>
      </c>
      <c r="F334" s="9" t="s">
        <v>683</v>
      </c>
    </row>
    <row r="335" spans="1:6" x14ac:dyDescent="0.3">
      <c r="A335" s="9" t="s">
        <v>625</v>
      </c>
      <c r="B335" s="9" t="s">
        <v>687</v>
      </c>
      <c r="C335" s="9">
        <v>-10.318835</v>
      </c>
      <c r="D335" s="9">
        <v>21.252382000000001</v>
      </c>
      <c r="E335" s="9" t="s">
        <v>679</v>
      </c>
      <c r="F335" s="9" t="s">
        <v>676</v>
      </c>
    </row>
    <row r="336" spans="1:6" x14ac:dyDescent="0.3">
      <c r="A336" s="9" t="s">
        <v>281</v>
      </c>
      <c r="B336" s="9" t="s">
        <v>692</v>
      </c>
      <c r="C336" s="9">
        <v>-2.571777</v>
      </c>
      <c r="D336" s="9">
        <v>12.120642</v>
      </c>
      <c r="E336" s="9" t="s">
        <v>682</v>
      </c>
      <c r="F336" s="9" t="s">
        <v>680</v>
      </c>
    </row>
    <row r="337" spans="1:6" x14ac:dyDescent="0.3">
      <c r="A337" s="9" t="s">
        <v>820</v>
      </c>
      <c r="B337" s="9" t="s">
        <v>736</v>
      </c>
      <c r="C337" s="9">
        <v>3.6466850000000002</v>
      </c>
      <c r="D337" s="9">
        <v>15.408844</v>
      </c>
      <c r="E337" s="9" t="s">
        <v>682</v>
      </c>
      <c r="F337" s="9" t="s">
        <v>683</v>
      </c>
    </row>
    <row r="338" spans="1:6" x14ac:dyDescent="0.3">
      <c r="A338" s="9" t="s">
        <v>170</v>
      </c>
      <c r="B338" s="9" t="s">
        <v>695</v>
      </c>
      <c r="C338" s="9">
        <v>-12.336202</v>
      </c>
      <c r="D338" s="9">
        <v>13.693683999999999</v>
      </c>
      <c r="E338" s="9" t="s">
        <v>675</v>
      </c>
      <c r="F338" s="9" t="s">
        <v>680</v>
      </c>
    </row>
    <row r="339" spans="1:6" x14ac:dyDescent="0.3">
      <c r="A339" s="9" t="s">
        <v>821</v>
      </c>
      <c r="B339" s="9" t="s">
        <v>724</v>
      </c>
      <c r="C339" s="9">
        <v>-10.451371</v>
      </c>
      <c r="D339" s="9">
        <v>24.38336</v>
      </c>
      <c r="E339" s="9" t="s">
        <v>682</v>
      </c>
      <c r="F339" s="9" t="s">
        <v>676</v>
      </c>
    </row>
    <row r="340" spans="1:6" x14ac:dyDescent="0.3">
      <c r="A340" s="9" t="s">
        <v>311</v>
      </c>
      <c r="B340" s="9" t="s">
        <v>737</v>
      </c>
      <c r="C340" s="9">
        <v>-1.231033</v>
      </c>
      <c r="D340" s="9">
        <v>28.851388</v>
      </c>
      <c r="E340" s="9" t="s">
        <v>682</v>
      </c>
      <c r="F340" s="9" t="s">
        <v>676</v>
      </c>
    </row>
    <row r="341" spans="1:6" x14ac:dyDescent="0.3">
      <c r="A341" s="9" t="s">
        <v>822</v>
      </c>
      <c r="B341" s="9" t="s">
        <v>737</v>
      </c>
      <c r="C341" s="9">
        <v>-4.5180470000000001</v>
      </c>
      <c r="D341" s="9">
        <v>19.908223</v>
      </c>
      <c r="E341" s="9" t="s">
        <v>675</v>
      </c>
      <c r="F341" s="9" t="s">
        <v>680</v>
      </c>
    </row>
    <row r="342" spans="1:6" x14ac:dyDescent="0.3">
      <c r="A342" s="9" t="s">
        <v>823</v>
      </c>
      <c r="B342" s="9" t="s">
        <v>725</v>
      </c>
      <c r="C342" s="9">
        <v>3.524343</v>
      </c>
      <c r="D342" s="9">
        <v>27.340824000000001</v>
      </c>
      <c r="E342" s="9" t="s">
        <v>679</v>
      </c>
      <c r="F342" s="9" t="s">
        <v>676</v>
      </c>
    </row>
    <row r="343" spans="1:6" x14ac:dyDescent="0.3">
      <c r="A343" s="9" t="s">
        <v>824</v>
      </c>
      <c r="B343" s="9" t="s">
        <v>699</v>
      </c>
      <c r="C343" s="9">
        <v>-12.17557</v>
      </c>
      <c r="D343" s="9">
        <v>26.678691000000001</v>
      </c>
      <c r="E343" s="9" t="s">
        <v>679</v>
      </c>
      <c r="F343" s="9" t="s">
        <v>680</v>
      </c>
    </row>
    <row r="344" spans="1:6" x14ac:dyDescent="0.3">
      <c r="A344" s="9" t="s">
        <v>201</v>
      </c>
      <c r="B344" s="9" t="s">
        <v>703</v>
      </c>
      <c r="C344" s="9">
        <v>-0.37665700000000002</v>
      </c>
      <c r="D344" s="9">
        <v>25.154807999999999</v>
      </c>
      <c r="E344" s="9" t="s">
        <v>682</v>
      </c>
      <c r="F344" s="9" t="s">
        <v>696</v>
      </c>
    </row>
    <row r="345" spans="1:6" x14ac:dyDescent="0.3">
      <c r="A345" s="9" t="s">
        <v>619</v>
      </c>
      <c r="B345" s="9" t="s">
        <v>687</v>
      </c>
      <c r="C345" s="9">
        <v>-10.650321</v>
      </c>
      <c r="D345" s="9">
        <v>15.917044000000001</v>
      </c>
      <c r="E345" s="9" t="s">
        <v>679</v>
      </c>
      <c r="F345" s="9" t="s">
        <v>696</v>
      </c>
    </row>
    <row r="346" spans="1:6" x14ac:dyDescent="0.3">
      <c r="A346" s="9" t="s">
        <v>825</v>
      </c>
      <c r="B346" s="9" t="s">
        <v>725</v>
      </c>
      <c r="C346" s="9">
        <v>-9.8995180000000005</v>
      </c>
      <c r="D346" s="9">
        <v>24.156687999999999</v>
      </c>
      <c r="E346" s="9" t="s">
        <v>679</v>
      </c>
      <c r="F346" s="9" t="s">
        <v>676</v>
      </c>
    </row>
    <row r="347" spans="1:6" x14ac:dyDescent="0.3">
      <c r="A347" s="9" t="s">
        <v>122</v>
      </c>
      <c r="B347" s="9" t="s">
        <v>674</v>
      </c>
      <c r="C347" s="9">
        <v>-12.100756000000001</v>
      </c>
      <c r="D347" s="9">
        <v>21.938649999999999</v>
      </c>
      <c r="E347" s="9" t="s">
        <v>679</v>
      </c>
      <c r="F347" s="9" t="s">
        <v>680</v>
      </c>
    </row>
    <row r="348" spans="1:6" x14ac:dyDescent="0.3">
      <c r="A348" s="9" t="s">
        <v>826</v>
      </c>
      <c r="B348" s="9" t="s">
        <v>713</v>
      </c>
      <c r="C348" s="9">
        <v>-7.4679279999999997</v>
      </c>
      <c r="D348" s="9">
        <v>19.828595</v>
      </c>
      <c r="E348" s="9" t="s">
        <v>675</v>
      </c>
      <c r="F348" s="9" t="s">
        <v>696</v>
      </c>
    </row>
    <row r="349" spans="1:6" x14ac:dyDescent="0.3">
      <c r="A349" s="9" t="s">
        <v>331</v>
      </c>
      <c r="B349" s="9" t="s">
        <v>713</v>
      </c>
      <c r="C349" s="9">
        <v>1.286548</v>
      </c>
      <c r="D349" s="9">
        <v>29.823702999999998</v>
      </c>
      <c r="E349" s="9" t="s">
        <v>679</v>
      </c>
      <c r="F349" s="9" t="s">
        <v>683</v>
      </c>
    </row>
    <row r="350" spans="1:6" x14ac:dyDescent="0.3">
      <c r="A350" s="9" t="s">
        <v>276</v>
      </c>
      <c r="B350" s="9" t="s">
        <v>736</v>
      </c>
      <c r="C350" s="9">
        <v>-4.7886769999999999</v>
      </c>
      <c r="D350" s="9">
        <v>23.600221999999999</v>
      </c>
      <c r="E350" s="9" t="s">
        <v>682</v>
      </c>
      <c r="F350" s="9" t="s">
        <v>683</v>
      </c>
    </row>
    <row r="351" spans="1:6" x14ac:dyDescent="0.3">
      <c r="A351" s="9" t="s">
        <v>594</v>
      </c>
      <c r="B351" s="9" t="s">
        <v>705</v>
      </c>
      <c r="C351" s="9">
        <v>1.7832440000000001</v>
      </c>
      <c r="D351" s="9">
        <v>25.477405999999998</v>
      </c>
      <c r="E351" s="9" t="s">
        <v>675</v>
      </c>
      <c r="F351" s="9" t="s">
        <v>680</v>
      </c>
    </row>
    <row r="352" spans="1:6" x14ac:dyDescent="0.3">
      <c r="A352" s="9" t="s">
        <v>827</v>
      </c>
      <c r="B352" s="9" t="s">
        <v>736</v>
      </c>
      <c r="C352" s="9">
        <v>-4.8560549999999996</v>
      </c>
      <c r="D352" s="9">
        <v>15.889538999999999</v>
      </c>
      <c r="E352" s="9" t="s">
        <v>682</v>
      </c>
      <c r="F352" s="9" t="s">
        <v>680</v>
      </c>
    </row>
    <row r="353" spans="1:6" x14ac:dyDescent="0.3">
      <c r="A353" s="9" t="s">
        <v>828</v>
      </c>
      <c r="B353" s="9" t="s">
        <v>700</v>
      </c>
      <c r="C353" s="9">
        <v>-8.6707929999999998</v>
      </c>
      <c r="D353" s="9">
        <v>30.643781000000001</v>
      </c>
      <c r="E353" s="9" t="s">
        <v>679</v>
      </c>
      <c r="F353" s="9" t="s">
        <v>680</v>
      </c>
    </row>
    <row r="354" spans="1:6" x14ac:dyDescent="0.3">
      <c r="A354" s="9" t="s">
        <v>829</v>
      </c>
      <c r="B354" s="9" t="s">
        <v>702</v>
      </c>
      <c r="C354" s="9">
        <v>-2.947235</v>
      </c>
      <c r="D354" s="9">
        <v>16.534020999999999</v>
      </c>
      <c r="E354" s="9" t="s">
        <v>682</v>
      </c>
      <c r="F354" s="9" t="s">
        <v>696</v>
      </c>
    </row>
    <row r="355" spans="1:6" x14ac:dyDescent="0.3">
      <c r="A355" s="9" t="s">
        <v>830</v>
      </c>
      <c r="B355" s="9" t="s">
        <v>721</v>
      </c>
      <c r="C355" s="9">
        <v>-12.776386</v>
      </c>
      <c r="D355" s="9">
        <v>14.157596</v>
      </c>
      <c r="E355" s="9" t="s">
        <v>682</v>
      </c>
      <c r="F355" s="9" t="s">
        <v>696</v>
      </c>
    </row>
    <row r="356" spans="1:6" x14ac:dyDescent="0.3">
      <c r="A356" s="9" t="s">
        <v>26</v>
      </c>
      <c r="B356" s="9" t="s">
        <v>721</v>
      </c>
      <c r="C356" s="9">
        <v>0.172153</v>
      </c>
      <c r="D356" s="9">
        <v>21.091376</v>
      </c>
      <c r="E356" s="9" t="s">
        <v>682</v>
      </c>
      <c r="F356" s="9" t="s">
        <v>676</v>
      </c>
    </row>
    <row r="357" spans="1:6" x14ac:dyDescent="0.3">
      <c r="A357" s="9" t="s">
        <v>559</v>
      </c>
      <c r="B357" s="9" t="s">
        <v>737</v>
      </c>
      <c r="C357" s="9">
        <v>4.0988100000000003</v>
      </c>
      <c r="D357" s="9">
        <v>29.843810999999999</v>
      </c>
      <c r="E357" s="9" t="s">
        <v>682</v>
      </c>
      <c r="F357" s="9" t="s">
        <v>680</v>
      </c>
    </row>
    <row r="358" spans="1:6" x14ac:dyDescent="0.3">
      <c r="A358" s="9" t="s">
        <v>356</v>
      </c>
      <c r="B358" s="9" t="s">
        <v>700</v>
      </c>
      <c r="C358" s="9">
        <v>-10.611184</v>
      </c>
      <c r="D358" s="9">
        <v>23.022268</v>
      </c>
      <c r="E358" s="9" t="s">
        <v>675</v>
      </c>
      <c r="F358" s="9" t="s">
        <v>683</v>
      </c>
    </row>
    <row r="359" spans="1:6" x14ac:dyDescent="0.3">
      <c r="A359" s="9" t="s">
        <v>522</v>
      </c>
      <c r="B359" s="9" t="s">
        <v>702</v>
      </c>
      <c r="C359" s="9">
        <v>-7.6757720000000003</v>
      </c>
      <c r="D359" s="9">
        <v>30.222971000000001</v>
      </c>
      <c r="E359" s="9" t="s">
        <v>675</v>
      </c>
      <c r="F359" s="9" t="s">
        <v>676</v>
      </c>
    </row>
    <row r="360" spans="1:6" x14ac:dyDescent="0.3">
      <c r="A360" s="9" t="s">
        <v>149</v>
      </c>
      <c r="B360" s="9" t="s">
        <v>698</v>
      </c>
      <c r="C360" s="9">
        <v>-1.342476</v>
      </c>
      <c r="D360" s="9">
        <v>15.986086</v>
      </c>
      <c r="E360" s="9" t="s">
        <v>679</v>
      </c>
      <c r="F360" s="9" t="s">
        <v>676</v>
      </c>
    </row>
    <row r="361" spans="1:6" x14ac:dyDescent="0.3">
      <c r="A361" s="9" t="s">
        <v>831</v>
      </c>
      <c r="B361" s="9" t="s">
        <v>703</v>
      </c>
      <c r="C361" s="9">
        <v>-11.366868999999999</v>
      </c>
      <c r="D361" s="9">
        <v>26.155318000000001</v>
      </c>
      <c r="E361" s="9" t="s">
        <v>679</v>
      </c>
      <c r="F361" s="9" t="s">
        <v>680</v>
      </c>
    </row>
    <row r="362" spans="1:6" x14ac:dyDescent="0.3">
      <c r="A362" s="9" t="s">
        <v>433</v>
      </c>
      <c r="B362" s="9" t="s">
        <v>705</v>
      </c>
      <c r="C362" s="9">
        <v>-4.3639070000000002</v>
      </c>
      <c r="D362" s="9">
        <v>16.283307000000001</v>
      </c>
      <c r="E362" s="9" t="s">
        <v>675</v>
      </c>
      <c r="F362" s="9" t="s">
        <v>680</v>
      </c>
    </row>
    <row r="363" spans="1:6" x14ac:dyDescent="0.3">
      <c r="A363" s="9" t="s">
        <v>261</v>
      </c>
      <c r="B363" s="9" t="s">
        <v>725</v>
      </c>
      <c r="C363" s="9">
        <v>-7.5129409999999996</v>
      </c>
      <c r="D363" s="9">
        <v>18.701522000000001</v>
      </c>
      <c r="E363" s="9" t="s">
        <v>679</v>
      </c>
      <c r="F363" s="9" t="s">
        <v>696</v>
      </c>
    </row>
    <row r="364" spans="1:6" x14ac:dyDescent="0.3">
      <c r="A364" s="9" t="s">
        <v>333</v>
      </c>
      <c r="B364" s="9" t="s">
        <v>710</v>
      </c>
      <c r="C364" s="9">
        <v>-0.34051900000000002</v>
      </c>
      <c r="D364" s="9">
        <v>17.079799000000001</v>
      </c>
      <c r="E364" s="9" t="s">
        <v>675</v>
      </c>
      <c r="F364" s="9" t="s">
        <v>676</v>
      </c>
    </row>
    <row r="365" spans="1:6" x14ac:dyDescent="0.3">
      <c r="A365" s="9" t="s">
        <v>230</v>
      </c>
      <c r="B365" s="9" t="s">
        <v>684</v>
      </c>
      <c r="C365" s="9">
        <v>2.4425979999999998</v>
      </c>
      <c r="D365" s="9">
        <v>24.924308</v>
      </c>
      <c r="E365" s="9" t="s">
        <v>675</v>
      </c>
      <c r="F365" s="9" t="s">
        <v>676</v>
      </c>
    </row>
    <row r="366" spans="1:6" x14ac:dyDescent="0.3">
      <c r="A366" s="9" t="s">
        <v>512</v>
      </c>
      <c r="B366" s="9" t="s">
        <v>706</v>
      </c>
      <c r="C366" s="9">
        <v>0.45116099999999998</v>
      </c>
      <c r="D366" s="9">
        <v>17.265761000000001</v>
      </c>
      <c r="E366" s="9" t="s">
        <v>679</v>
      </c>
      <c r="F366" s="9" t="s">
        <v>680</v>
      </c>
    </row>
    <row r="367" spans="1:6" x14ac:dyDescent="0.3">
      <c r="A367" s="9" t="s">
        <v>500</v>
      </c>
      <c r="B367" s="9" t="s">
        <v>693</v>
      </c>
      <c r="C367" s="9">
        <v>-12.560556999999999</v>
      </c>
      <c r="D367" s="9">
        <v>13.204014000000001</v>
      </c>
      <c r="E367" s="9" t="s">
        <v>679</v>
      </c>
      <c r="F367" s="9" t="s">
        <v>676</v>
      </c>
    </row>
    <row r="368" spans="1:6" x14ac:dyDescent="0.3">
      <c r="A368" s="9" t="s">
        <v>275</v>
      </c>
      <c r="B368" s="9" t="s">
        <v>698</v>
      </c>
      <c r="C368" s="9">
        <v>-4.8128659999999996</v>
      </c>
      <c r="D368" s="9">
        <v>18.559304999999998</v>
      </c>
      <c r="E368" s="9" t="s">
        <v>675</v>
      </c>
      <c r="F368" s="9" t="s">
        <v>683</v>
      </c>
    </row>
    <row r="369" spans="1:6" x14ac:dyDescent="0.3">
      <c r="A369" s="9" t="s">
        <v>832</v>
      </c>
      <c r="B369" s="9" t="s">
        <v>706</v>
      </c>
      <c r="C369" s="9">
        <v>0.89302999999999999</v>
      </c>
      <c r="D369" s="9">
        <v>21.238310999999999</v>
      </c>
      <c r="E369" s="9" t="s">
        <v>675</v>
      </c>
      <c r="F369" s="9" t="s">
        <v>680</v>
      </c>
    </row>
    <row r="370" spans="1:6" x14ac:dyDescent="0.3">
      <c r="A370" s="9" t="s">
        <v>833</v>
      </c>
      <c r="B370" s="9" t="s">
        <v>674</v>
      </c>
      <c r="C370" s="9">
        <v>2.7355830000000001</v>
      </c>
      <c r="D370" s="9">
        <v>22.006969000000002</v>
      </c>
      <c r="E370" s="9" t="s">
        <v>675</v>
      </c>
      <c r="F370" s="9" t="s">
        <v>676</v>
      </c>
    </row>
    <row r="371" spans="1:6" x14ac:dyDescent="0.3">
      <c r="A371" s="9" t="s">
        <v>131</v>
      </c>
      <c r="B371" s="9" t="s">
        <v>701</v>
      </c>
      <c r="C371" s="9">
        <v>-5.7035130000000001</v>
      </c>
      <c r="D371" s="9">
        <v>14.331479</v>
      </c>
      <c r="E371" s="9" t="s">
        <v>675</v>
      </c>
      <c r="F371" s="9" t="s">
        <v>696</v>
      </c>
    </row>
    <row r="372" spans="1:6" x14ac:dyDescent="0.3">
      <c r="A372" s="9" t="s">
        <v>834</v>
      </c>
      <c r="B372" s="9" t="s">
        <v>689</v>
      </c>
      <c r="C372" s="9">
        <v>1.217457</v>
      </c>
      <c r="D372" s="9">
        <v>25.48668</v>
      </c>
      <c r="E372" s="9" t="s">
        <v>675</v>
      </c>
      <c r="F372" s="9" t="s">
        <v>696</v>
      </c>
    </row>
    <row r="373" spans="1:6" x14ac:dyDescent="0.3">
      <c r="A373" s="9" t="s">
        <v>220</v>
      </c>
      <c r="B373" s="9" t="s">
        <v>718</v>
      </c>
      <c r="C373" s="9">
        <v>-6.3324319999999998</v>
      </c>
      <c r="D373" s="9">
        <v>24.887858000000001</v>
      </c>
      <c r="E373" s="9" t="s">
        <v>679</v>
      </c>
      <c r="F373" s="9" t="s">
        <v>683</v>
      </c>
    </row>
    <row r="374" spans="1:6" x14ac:dyDescent="0.3">
      <c r="A374" s="9" t="s">
        <v>649</v>
      </c>
      <c r="B374" s="9" t="s">
        <v>710</v>
      </c>
      <c r="C374" s="9">
        <v>-4.6426759999999998</v>
      </c>
      <c r="D374" s="9">
        <v>22.124254000000001</v>
      </c>
      <c r="E374" s="9" t="s">
        <v>679</v>
      </c>
      <c r="F374" s="9" t="s">
        <v>683</v>
      </c>
    </row>
    <row r="375" spans="1:6" x14ac:dyDescent="0.3">
      <c r="A375" s="9" t="s">
        <v>835</v>
      </c>
      <c r="B375" s="9" t="s">
        <v>718</v>
      </c>
      <c r="C375" s="9">
        <v>-1.598759</v>
      </c>
      <c r="D375" s="9">
        <v>17.553023</v>
      </c>
      <c r="E375" s="9" t="s">
        <v>679</v>
      </c>
      <c r="F375" s="9" t="s">
        <v>680</v>
      </c>
    </row>
    <row r="376" spans="1:6" x14ac:dyDescent="0.3">
      <c r="A376" s="9" t="s">
        <v>320</v>
      </c>
      <c r="B376" s="9" t="s">
        <v>705</v>
      </c>
      <c r="C376" s="9">
        <v>2.486888</v>
      </c>
      <c r="D376" s="9">
        <v>23.798074</v>
      </c>
      <c r="E376" s="9" t="s">
        <v>675</v>
      </c>
      <c r="F376" s="9" t="s">
        <v>683</v>
      </c>
    </row>
    <row r="377" spans="1:6" x14ac:dyDescent="0.3">
      <c r="A377" s="9" t="s">
        <v>836</v>
      </c>
      <c r="B377" s="9" t="s">
        <v>705</v>
      </c>
      <c r="C377" s="9">
        <v>-11.727425</v>
      </c>
      <c r="D377" s="9">
        <v>27.198173000000001</v>
      </c>
      <c r="E377" s="9" t="s">
        <v>682</v>
      </c>
      <c r="F377" s="9" t="s">
        <v>676</v>
      </c>
    </row>
    <row r="378" spans="1:6" x14ac:dyDescent="0.3">
      <c r="A378" s="9" t="s">
        <v>837</v>
      </c>
      <c r="B378" s="9" t="s">
        <v>687</v>
      </c>
      <c r="C378" s="9">
        <v>3.08182</v>
      </c>
      <c r="D378" s="9">
        <v>29.961940999999999</v>
      </c>
      <c r="E378" s="9" t="s">
        <v>679</v>
      </c>
      <c r="F378" s="9" t="s">
        <v>680</v>
      </c>
    </row>
    <row r="379" spans="1:6" x14ac:dyDescent="0.3">
      <c r="A379" s="9" t="s">
        <v>85</v>
      </c>
      <c r="B379" s="9" t="s">
        <v>710</v>
      </c>
      <c r="C379" s="9">
        <v>-7.0076900000000002</v>
      </c>
      <c r="D379" s="9">
        <v>27.367121999999998</v>
      </c>
      <c r="E379" s="9" t="s">
        <v>682</v>
      </c>
      <c r="F379" s="9" t="s">
        <v>696</v>
      </c>
    </row>
    <row r="380" spans="1:6" x14ac:dyDescent="0.3">
      <c r="A380" s="9" t="s">
        <v>838</v>
      </c>
      <c r="B380" s="9" t="s">
        <v>698</v>
      </c>
      <c r="C380" s="9">
        <v>-12.411144999999999</v>
      </c>
      <c r="D380" s="9">
        <v>29.876642</v>
      </c>
      <c r="E380" s="9" t="s">
        <v>679</v>
      </c>
      <c r="F380" s="9" t="s">
        <v>676</v>
      </c>
    </row>
    <row r="381" spans="1:6" x14ac:dyDescent="0.3">
      <c r="A381" s="9" t="s">
        <v>839</v>
      </c>
      <c r="B381" s="9" t="s">
        <v>705</v>
      </c>
      <c r="C381" s="9">
        <v>-5.3337589999999997</v>
      </c>
      <c r="D381" s="9">
        <v>13.246924</v>
      </c>
      <c r="E381" s="9" t="s">
        <v>682</v>
      </c>
      <c r="F381" s="9" t="s">
        <v>676</v>
      </c>
    </row>
    <row r="382" spans="1:6" x14ac:dyDescent="0.3">
      <c r="A382" s="9" t="s">
        <v>36</v>
      </c>
      <c r="B382" s="9" t="s">
        <v>698</v>
      </c>
      <c r="C382" s="9">
        <v>-8.1437910000000002</v>
      </c>
      <c r="D382" s="9">
        <v>28.946161</v>
      </c>
      <c r="E382" s="9" t="s">
        <v>679</v>
      </c>
      <c r="F382" s="9" t="s">
        <v>683</v>
      </c>
    </row>
    <row r="383" spans="1:6" x14ac:dyDescent="0.3">
      <c r="A383" s="9" t="s">
        <v>840</v>
      </c>
      <c r="B383" s="9" t="s">
        <v>715</v>
      </c>
      <c r="C383" s="9">
        <v>4.0297190000000001</v>
      </c>
      <c r="D383" s="9">
        <v>20.699608000000001</v>
      </c>
      <c r="E383" s="9" t="s">
        <v>679</v>
      </c>
      <c r="F383" s="9" t="s">
        <v>676</v>
      </c>
    </row>
    <row r="384" spans="1:6" x14ac:dyDescent="0.3">
      <c r="A384" s="9" t="s">
        <v>841</v>
      </c>
      <c r="B384" s="9" t="s">
        <v>698</v>
      </c>
      <c r="C384" s="9">
        <v>-3.2361680000000002</v>
      </c>
      <c r="D384" s="9">
        <v>13.523237999999999</v>
      </c>
      <c r="E384" s="9" t="s">
        <v>679</v>
      </c>
      <c r="F384" s="9" t="s">
        <v>680</v>
      </c>
    </row>
    <row r="385" spans="1:6" x14ac:dyDescent="0.3">
      <c r="A385" s="9" t="s">
        <v>411</v>
      </c>
      <c r="B385" s="9" t="s">
        <v>689</v>
      </c>
      <c r="C385" s="9">
        <v>1.3006180000000001</v>
      </c>
      <c r="D385" s="9">
        <v>29.060970999999999</v>
      </c>
      <c r="E385" s="9" t="s">
        <v>682</v>
      </c>
      <c r="F385" s="9" t="s">
        <v>683</v>
      </c>
    </row>
    <row r="386" spans="1:6" x14ac:dyDescent="0.3">
      <c r="A386" s="9" t="s">
        <v>842</v>
      </c>
      <c r="B386" s="9" t="s">
        <v>710</v>
      </c>
      <c r="C386" s="9">
        <v>1.178453</v>
      </c>
      <c r="D386" s="9">
        <v>17.479081000000001</v>
      </c>
      <c r="E386" s="9" t="s">
        <v>682</v>
      </c>
      <c r="F386" s="9" t="s">
        <v>676</v>
      </c>
    </row>
    <row r="387" spans="1:6" x14ac:dyDescent="0.3">
      <c r="A387" s="9" t="s">
        <v>843</v>
      </c>
      <c r="B387" s="9" t="s">
        <v>724</v>
      </c>
      <c r="C387" s="9">
        <v>-11.542737000000001</v>
      </c>
      <c r="D387" s="9">
        <v>30.175912</v>
      </c>
      <c r="E387" s="9" t="s">
        <v>679</v>
      </c>
      <c r="F387" s="9" t="s">
        <v>696</v>
      </c>
    </row>
    <row r="388" spans="1:6" x14ac:dyDescent="0.3">
      <c r="A388" s="9" t="s">
        <v>579</v>
      </c>
      <c r="B388" s="9" t="s">
        <v>724</v>
      </c>
      <c r="C388" s="9">
        <v>2.8552499999999998</v>
      </c>
      <c r="D388" s="9">
        <v>14.077933</v>
      </c>
      <c r="E388" s="9" t="s">
        <v>679</v>
      </c>
      <c r="F388" s="9" t="s">
        <v>683</v>
      </c>
    </row>
    <row r="389" spans="1:6" x14ac:dyDescent="0.3">
      <c r="A389" s="9" t="s">
        <v>844</v>
      </c>
      <c r="B389" s="9" t="s">
        <v>706</v>
      </c>
      <c r="C389" s="9">
        <v>0.24369399999999999</v>
      </c>
      <c r="D389" s="9">
        <v>17.242912</v>
      </c>
      <c r="E389" s="9" t="s">
        <v>679</v>
      </c>
      <c r="F389" s="9" t="s">
        <v>696</v>
      </c>
    </row>
    <row r="390" spans="1:6" x14ac:dyDescent="0.3">
      <c r="A390" s="9" t="s">
        <v>845</v>
      </c>
      <c r="B390" s="9" t="s">
        <v>718</v>
      </c>
      <c r="C390" s="9">
        <v>-12.013389999999999</v>
      </c>
      <c r="D390" s="9">
        <v>25.24456</v>
      </c>
      <c r="E390" s="9" t="s">
        <v>682</v>
      </c>
      <c r="F390" s="9" t="s">
        <v>680</v>
      </c>
    </row>
    <row r="391" spans="1:6" x14ac:dyDescent="0.3">
      <c r="A391" s="9" t="s">
        <v>231</v>
      </c>
      <c r="B391" s="9" t="s">
        <v>713</v>
      </c>
      <c r="C391" s="9">
        <v>4.0157999999999996</v>
      </c>
      <c r="D391" s="9">
        <v>21.430246</v>
      </c>
      <c r="E391" s="9" t="s">
        <v>675</v>
      </c>
      <c r="F391" s="9" t="s">
        <v>696</v>
      </c>
    </row>
    <row r="392" spans="1:6" x14ac:dyDescent="0.3">
      <c r="A392" s="9" t="s">
        <v>358</v>
      </c>
      <c r="B392" s="9" t="s">
        <v>684</v>
      </c>
      <c r="C392" s="9">
        <v>-0.85624699999999998</v>
      </c>
      <c r="D392" s="9">
        <v>28.624870000000001</v>
      </c>
      <c r="E392" s="9" t="s">
        <v>682</v>
      </c>
      <c r="F392" s="9" t="s">
        <v>676</v>
      </c>
    </row>
    <row r="393" spans="1:6" x14ac:dyDescent="0.3">
      <c r="A393" s="9" t="s">
        <v>846</v>
      </c>
      <c r="B393" s="9" t="s">
        <v>724</v>
      </c>
      <c r="C393" s="9">
        <v>2.9836019999999999</v>
      </c>
      <c r="D393" s="9">
        <v>21.893065</v>
      </c>
      <c r="E393" s="9" t="s">
        <v>675</v>
      </c>
      <c r="F393" s="9" t="s">
        <v>696</v>
      </c>
    </row>
    <row r="394" spans="1:6" x14ac:dyDescent="0.3">
      <c r="A394" s="9" t="s">
        <v>328</v>
      </c>
      <c r="B394" s="9" t="s">
        <v>710</v>
      </c>
      <c r="C394" s="9">
        <v>-11.002602</v>
      </c>
      <c r="D394" s="9">
        <v>23.918247999999998</v>
      </c>
      <c r="E394" s="9" t="s">
        <v>675</v>
      </c>
      <c r="F394" s="9" t="s">
        <v>683</v>
      </c>
    </row>
    <row r="395" spans="1:6" x14ac:dyDescent="0.3">
      <c r="A395" s="9" t="s">
        <v>847</v>
      </c>
      <c r="B395" s="9" t="s">
        <v>684</v>
      </c>
      <c r="C395" s="9">
        <v>-6.419365</v>
      </c>
      <c r="D395" s="9">
        <v>17.570219000000002</v>
      </c>
      <c r="E395" s="9" t="s">
        <v>679</v>
      </c>
      <c r="F395" s="9" t="s">
        <v>680</v>
      </c>
    </row>
    <row r="396" spans="1:6" x14ac:dyDescent="0.3">
      <c r="A396" s="9" t="s">
        <v>196</v>
      </c>
      <c r="B396" s="9" t="s">
        <v>695</v>
      </c>
      <c r="C396" s="9">
        <v>-1.8555980000000001</v>
      </c>
      <c r="D396" s="9">
        <v>30.421918000000002</v>
      </c>
      <c r="E396" s="9" t="s">
        <v>682</v>
      </c>
      <c r="F396" s="9" t="s">
        <v>683</v>
      </c>
    </row>
    <row r="397" spans="1:6" x14ac:dyDescent="0.3">
      <c r="A397" s="9" t="s">
        <v>322</v>
      </c>
      <c r="B397" s="9" t="s">
        <v>706</v>
      </c>
      <c r="C397" s="9">
        <v>-6.4197189999999997</v>
      </c>
      <c r="D397" s="9">
        <v>22.287264</v>
      </c>
      <c r="E397" s="9" t="s">
        <v>682</v>
      </c>
      <c r="F397" s="9" t="s">
        <v>676</v>
      </c>
    </row>
    <row r="398" spans="1:6" x14ac:dyDescent="0.3">
      <c r="A398" s="9" t="s">
        <v>848</v>
      </c>
      <c r="B398" s="9" t="s">
        <v>721</v>
      </c>
      <c r="C398" s="9">
        <v>-9.8451869999999992</v>
      </c>
      <c r="D398" s="9">
        <v>14.508520000000001</v>
      </c>
      <c r="E398" s="9" t="s">
        <v>675</v>
      </c>
      <c r="F398" s="9" t="s">
        <v>696</v>
      </c>
    </row>
    <row r="399" spans="1:6" x14ac:dyDescent="0.3">
      <c r="A399" s="9" t="s">
        <v>67</v>
      </c>
      <c r="B399" s="9" t="s">
        <v>721</v>
      </c>
      <c r="C399" s="9">
        <v>-2.9417719999999998</v>
      </c>
      <c r="D399" s="9">
        <v>18.587305000000001</v>
      </c>
      <c r="E399" s="9" t="s">
        <v>675</v>
      </c>
      <c r="F399" s="9" t="s">
        <v>676</v>
      </c>
    </row>
    <row r="400" spans="1:6" x14ac:dyDescent="0.3">
      <c r="A400" s="9" t="s">
        <v>404</v>
      </c>
      <c r="B400" s="9" t="s">
        <v>681</v>
      </c>
      <c r="C400" s="9">
        <v>-11.793894</v>
      </c>
      <c r="D400" s="9">
        <v>20.433340999999999</v>
      </c>
      <c r="E400" s="9" t="s">
        <v>675</v>
      </c>
      <c r="F400" s="9" t="s">
        <v>696</v>
      </c>
    </row>
    <row r="401" spans="1:6" x14ac:dyDescent="0.3">
      <c r="A401" s="9" t="s">
        <v>849</v>
      </c>
      <c r="B401" s="9" t="s">
        <v>705</v>
      </c>
      <c r="C401" s="9">
        <v>0.114899</v>
      </c>
      <c r="D401" s="9">
        <v>30.510916000000002</v>
      </c>
      <c r="E401" s="9" t="s">
        <v>682</v>
      </c>
      <c r="F401" s="9" t="s">
        <v>696</v>
      </c>
    </row>
    <row r="402" spans="1:6" x14ac:dyDescent="0.3">
      <c r="A402" s="9" t="s">
        <v>64</v>
      </c>
      <c r="B402" s="9" t="s">
        <v>721</v>
      </c>
      <c r="C402" s="9">
        <v>-5.5445120000000001</v>
      </c>
      <c r="D402" s="9">
        <v>27.547335</v>
      </c>
      <c r="E402" s="9" t="s">
        <v>679</v>
      </c>
      <c r="F402" s="9" t="s">
        <v>676</v>
      </c>
    </row>
    <row r="403" spans="1:6" x14ac:dyDescent="0.3">
      <c r="A403" s="9" t="s">
        <v>381</v>
      </c>
      <c r="B403" s="9" t="s">
        <v>713</v>
      </c>
      <c r="C403" s="9">
        <v>2.0392079999999999</v>
      </c>
      <c r="D403" s="9">
        <v>19.090841999999999</v>
      </c>
      <c r="E403" s="9" t="s">
        <v>679</v>
      </c>
      <c r="F403" s="9" t="s">
        <v>696</v>
      </c>
    </row>
    <row r="404" spans="1:6" x14ac:dyDescent="0.3">
      <c r="A404" s="9" t="s">
        <v>22</v>
      </c>
      <c r="B404" s="9" t="s">
        <v>701</v>
      </c>
      <c r="C404" s="9">
        <v>-2.2371569999999998</v>
      </c>
      <c r="D404" s="9">
        <v>25.926188</v>
      </c>
      <c r="E404" s="9" t="s">
        <v>682</v>
      </c>
      <c r="F404" s="9" t="s">
        <v>696</v>
      </c>
    </row>
    <row r="405" spans="1:6" x14ac:dyDescent="0.3">
      <c r="A405" s="9" t="s">
        <v>133</v>
      </c>
      <c r="B405" s="9" t="s">
        <v>693</v>
      </c>
      <c r="C405" s="9">
        <v>-10.414493</v>
      </c>
      <c r="D405" s="9">
        <v>12.333356999999999</v>
      </c>
      <c r="E405" s="9" t="s">
        <v>682</v>
      </c>
      <c r="F405" s="9" t="s">
        <v>676</v>
      </c>
    </row>
    <row r="406" spans="1:6" x14ac:dyDescent="0.3">
      <c r="A406" s="9" t="s">
        <v>176</v>
      </c>
      <c r="B406" s="9" t="s">
        <v>689</v>
      </c>
      <c r="C406" s="9">
        <v>-7.5418399999999997</v>
      </c>
      <c r="D406" s="9">
        <v>16.931206</v>
      </c>
      <c r="E406" s="9" t="s">
        <v>682</v>
      </c>
      <c r="F406" s="9" t="s">
        <v>696</v>
      </c>
    </row>
    <row r="407" spans="1:6" x14ac:dyDescent="0.3">
      <c r="A407" s="9" t="s">
        <v>850</v>
      </c>
      <c r="B407" s="9" t="s">
        <v>725</v>
      </c>
      <c r="C407" s="9">
        <v>4.7908840000000001</v>
      </c>
      <c r="D407" s="9">
        <v>23.051435000000001</v>
      </c>
      <c r="E407" s="9" t="s">
        <v>682</v>
      </c>
      <c r="F407" s="9" t="s">
        <v>696</v>
      </c>
    </row>
    <row r="408" spans="1:6" x14ac:dyDescent="0.3">
      <c r="A408" s="9" t="s">
        <v>851</v>
      </c>
      <c r="B408" s="9" t="s">
        <v>703</v>
      </c>
      <c r="C408" s="9">
        <v>-3.544581</v>
      </c>
      <c r="D408" s="9">
        <v>14.776605</v>
      </c>
      <c r="E408" s="9" t="s">
        <v>679</v>
      </c>
      <c r="F408" s="9" t="s">
        <v>696</v>
      </c>
    </row>
    <row r="409" spans="1:6" x14ac:dyDescent="0.3">
      <c r="A409" s="9" t="s">
        <v>340</v>
      </c>
      <c r="B409" s="9" t="s">
        <v>674</v>
      </c>
      <c r="C409" s="9">
        <v>-6.9624990000000002</v>
      </c>
      <c r="D409" s="9">
        <v>20.759834999999999</v>
      </c>
      <c r="E409" s="9" t="s">
        <v>679</v>
      </c>
      <c r="F409" s="9" t="s">
        <v>680</v>
      </c>
    </row>
    <row r="410" spans="1:6" x14ac:dyDescent="0.3">
      <c r="A410" s="9" t="s">
        <v>852</v>
      </c>
      <c r="B410" s="9" t="s">
        <v>692</v>
      </c>
      <c r="C410" s="9">
        <v>3.796754</v>
      </c>
      <c r="D410" s="9">
        <v>25.172377999999998</v>
      </c>
      <c r="E410" s="9" t="s">
        <v>679</v>
      </c>
      <c r="F410" s="9" t="s">
        <v>680</v>
      </c>
    </row>
    <row r="411" spans="1:6" x14ac:dyDescent="0.3">
      <c r="A411" s="9" t="s">
        <v>145</v>
      </c>
      <c r="B411" s="9" t="s">
        <v>692</v>
      </c>
      <c r="C411" s="9">
        <v>-2.3677800000000002</v>
      </c>
      <c r="D411" s="9">
        <v>18.790323999999998</v>
      </c>
      <c r="E411" s="9" t="s">
        <v>675</v>
      </c>
      <c r="F411" s="9" t="s">
        <v>680</v>
      </c>
    </row>
    <row r="412" spans="1:6" x14ac:dyDescent="0.3">
      <c r="A412" s="9" t="s">
        <v>853</v>
      </c>
      <c r="B412" s="9" t="s">
        <v>725</v>
      </c>
      <c r="C412" s="9">
        <v>-6.236097</v>
      </c>
      <c r="D412" s="9">
        <v>13.004878</v>
      </c>
      <c r="E412" s="9" t="s">
        <v>679</v>
      </c>
      <c r="F412" s="9" t="s">
        <v>676</v>
      </c>
    </row>
    <row r="413" spans="1:6" x14ac:dyDescent="0.3">
      <c r="A413" s="9" t="s">
        <v>854</v>
      </c>
      <c r="B413" s="9" t="s">
        <v>684</v>
      </c>
      <c r="C413" s="9">
        <v>-12.88086</v>
      </c>
      <c r="D413" s="9">
        <v>18.862106000000001</v>
      </c>
      <c r="E413" s="9" t="s">
        <v>682</v>
      </c>
      <c r="F413" s="9" t="s">
        <v>696</v>
      </c>
    </row>
    <row r="414" spans="1:6" x14ac:dyDescent="0.3">
      <c r="A414" s="9" t="s">
        <v>855</v>
      </c>
      <c r="B414" s="9" t="s">
        <v>695</v>
      </c>
      <c r="C414" s="9">
        <v>-1.501492</v>
      </c>
      <c r="D414" s="9">
        <v>24.088695999999999</v>
      </c>
      <c r="E414" s="9" t="s">
        <v>679</v>
      </c>
      <c r="F414" s="9" t="s">
        <v>696</v>
      </c>
    </row>
    <row r="415" spans="1:6" x14ac:dyDescent="0.3">
      <c r="A415" s="9" t="s">
        <v>651</v>
      </c>
      <c r="B415" s="9" t="s">
        <v>693</v>
      </c>
      <c r="C415" s="9">
        <v>-8.0800809999999998</v>
      </c>
      <c r="D415" s="9">
        <v>30.147970999999998</v>
      </c>
      <c r="E415" s="9" t="s">
        <v>675</v>
      </c>
      <c r="F415" s="9" t="s">
        <v>680</v>
      </c>
    </row>
    <row r="416" spans="1:6" x14ac:dyDescent="0.3">
      <c r="A416" s="9" t="s">
        <v>856</v>
      </c>
      <c r="B416" s="9" t="s">
        <v>706</v>
      </c>
      <c r="C416" s="9">
        <v>-9.8519260000000006</v>
      </c>
      <c r="D416" s="9">
        <v>12.925583</v>
      </c>
      <c r="E416" s="9" t="s">
        <v>675</v>
      </c>
      <c r="F416" s="9" t="s">
        <v>676</v>
      </c>
    </row>
    <row r="417" spans="1:6" x14ac:dyDescent="0.3">
      <c r="A417" s="9" t="s">
        <v>156</v>
      </c>
      <c r="B417" s="9" t="s">
        <v>687</v>
      </c>
      <c r="C417" s="9">
        <v>-4.6818410000000004</v>
      </c>
      <c r="D417" s="9">
        <v>17.541618</v>
      </c>
      <c r="E417" s="9" t="s">
        <v>679</v>
      </c>
      <c r="F417" s="9" t="s">
        <v>676</v>
      </c>
    </row>
    <row r="418" spans="1:6" x14ac:dyDescent="0.3">
      <c r="A418" s="9" t="s">
        <v>857</v>
      </c>
      <c r="B418" s="9" t="s">
        <v>700</v>
      </c>
      <c r="C418" s="9">
        <v>-2.7775059999999998</v>
      </c>
      <c r="D418" s="9">
        <v>24.139983999999998</v>
      </c>
      <c r="E418" s="9" t="s">
        <v>682</v>
      </c>
      <c r="F418" s="9" t="s">
        <v>676</v>
      </c>
    </row>
    <row r="419" spans="1:6" x14ac:dyDescent="0.3">
      <c r="A419" s="9" t="s">
        <v>858</v>
      </c>
      <c r="B419" s="9" t="s">
        <v>700</v>
      </c>
      <c r="C419" s="9">
        <v>3.4676979999999999</v>
      </c>
      <c r="D419" s="9">
        <v>13.459707</v>
      </c>
      <c r="E419" s="9" t="s">
        <v>675</v>
      </c>
      <c r="F419" s="9" t="s">
        <v>680</v>
      </c>
    </row>
    <row r="420" spans="1:6" x14ac:dyDescent="0.3">
      <c r="A420" s="9" t="s">
        <v>338</v>
      </c>
      <c r="B420" s="9" t="s">
        <v>684</v>
      </c>
      <c r="C420" s="9">
        <v>-9.4133639999999996</v>
      </c>
      <c r="D420" s="9">
        <v>15.682482</v>
      </c>
      <c r="E420" s="9" t="s">
        <v>679</v>
      </c>
      <c r="F420" s="9" t="s">
        <v>680</v>
      </c>
    </row>
    <row r="421" spans="1:6" x14ac:dyDescent="0.3">
      <c r="A421" s="9" t="s">
        <v>530</v>
      </c>
      <c r="B421" s="9" t="s">
        <v>724</v>
      </c>
      <c r="C421" s="9">
        <v>1.981107</v>
      </c>
      <c r="D421" s="9">
        <v>23.932569000000001</v>
      </c>
      <c r="E421" s="9" t="s">
        <v>682</v>
      </c>
      <c r="F421" s="9" t="s">
        <v>696</v>
      </c>
    </row>
    <row r="422" spans="1:6" x14ac:dyDescent="0.3">
      <c r="A422" s="9" t="s">
        <v>406</v>
      </c>
      <c r="B422" s="9" t="s">
        <v>692</v>
      </c>
      <c r="C422" s="9">
        <v>-7.789663</v>
      </c>
      <c r="D422" s="9">
        <v>26.529098000000001</v>
      </c>
      <c r="E422" s="9" t="s">
        <v>675</v>
      </c>
      <c r="F422" s="9" t="s">
        <v>696</v>
      </c>
    </row>
    <row r="423" spans="1:6" x14ac:dyDescent="0.3">
      <c r="A423" s="9" t="s">
        <v>310</v>
      </c>
      <c r="B423" s="9" t="s">
        <v>699</v>
      </c>
      <c r="C423" s="9">
        <v>-4.1694589999999998</v>
      </c>
      <c r="D423" s="9">
        <v>23.376487000000001</v>
      </c>
      <c r="E423" s="9" t="s">
        <v>682</v>
      </c>
      <c r="F423" s="9" t="s">
        <v>696</v>
      </c>
    </row>
    <row r="424" spans="1:6" x14ac:dyDescent="0.3">
      <c r="A424" s="9" t="s">
        <v>101</v>
      </c>
      <c r="B424" s="9" t="s">
        <v>695</v>
      </c>
      <c r="C424" s="9">
        <v>1.8103860000000001</v>
      </c>
      <c r="D424" s="9">
        <v>15.175582</v>
      </c>
      <c r="E424" s="9" t="s">
        <v>682</v>
      </c>
      <c r="F424" s="9" t="s">
        <v>680</v>
      </c>
    </row>
    <row r="425" spans="1:6" x14ac:dyDescent="0.3">
      <c r="A425" s="9" t="s">
        <v>638</v>
      </c>
      <c r="B425" s="9" t="s">
        <v>715</v>
      </c>
      <c r="C425" s="9">
        <v>-7.5641280000000002</v>
      </c>
      <c r="D425" s="9">
        <v>18.129529999999999</v>
      </c>
      <c r="E425" s="9" t="s">
        <v>682</v>
      </c>
      <c r="F425" s="9" t="s">
        <v>680</v>
      </c>
    </row>
    <row r="426" spans="1:6" x14ac:dyDescent="0.3">
      <c r="A426" s="9" t="s">
        <v>35</v>
      </c>
      <c r="B426" s="9" t="s">
        <v>681</v>
      </c>
      <c r="C426" s="9">
        <v>-2.4662510000000002</v>
      </c>
      <c r="D426" s="9">
        <v>18.007998000000001</v>
      </c>
      <c r="E426" s="9" t="s">
        <v>675</v>
      </c>
      <c r="F426" s="9" t="s">
        <v>676</v>
      </c>
    </row>
    <row r="427" spans="1:6" x14ac:dyDescent="0.3">
      <c r="A427" s="9" t="s">
        <v>859</v>
      </c>
      <c r="B427" s="9" t="s">
        <v>710</v>
      </c>
      <c r="C427" s="9">
        <v>-4.1061909999999999</v>
      </c>
      <c r="D427" s="9">
        <v>28.054902999999999</v>
      </c>
      <c r="E427" s="9" t="s">
        <v>682</v>
      </c>
      <c r="F427" s="9" t="s">
        <v>680</v>
      </c>
    </row>
    <row r="428" spans="1:6" x14ac:dyDescent="0.3">
      <c r="A428" s="9" t="s">
        <v>286</v>
      </c>
      <c r="B428" s="9" t="s">
        <v>699</v>
      </c>
      <c r="C428" s="9">
        <v>0.31740800000000002</v>
      </c>
      <c r="D428" s="9">
        <v>27.197666999999999</v>
      </c>
      <c r="E428" s="9" t="s">
        <v>675</v>
      </c>
      <c r="F428" s="9" t="s">
        <v>696</v>
      </c>
    </row>
    <row r="429" spans="1:6" x14ac:dyDescent="0.3">
      <c r="A429" s="9" t="s">
        <v>533</v>
      </c>
      <c r="B429" s="9" t="s">
        <v>695</v>
      </c>
      <c r="C429" s="9">
        <v>-8.9586360000000003</v>
      </c>
      <c r="D429" s="9">
        <v>17.157720000000001</v>
      </c>
      <c r="E429" s="9" t="s">
        <v>682</v>
      </c>
      <c r="F429" s="9" t="s">
        <v>696</v>
      </c>
    </row>
    <row r="430" spans="1:6" x14ac:dyDescent="0.3">
      <c r="A430" s="9" t="s">
        <v>273</v>
      </c>
      <c r="B430" s="9" t="s">
        <v>699</v>
      </c>
      <c r="C430" s="9">
        <v>1.2419519999999999</v>
      </c>
      <c r="D430" s="9">
        <v>25.261382999999999</v>
      </c>
      <c r="E430" s="9" t="s">
        <v>679</v>
      </c>
      <c r="F430" s="9" t="s">
        <v>680</v>
      </c>
    </row>
    <row r="431" spans="1:6" x14ac:dyDescent="0.3">
      <c r="A431" s="9" t="s">
        <v>550</v>
      </c>
      <c r="B431" s="9" t="s">
        <v>689</v>
      </c>
      <c r="C431" s="9">
        <v>-10.227569000000001</v>
      </c>
      <c r="D431" s="9">
        <v>18.887930999999998</v>
      </c>
      <c r="E431" s="9" t="s">
        <v>682</v>
      </c>
      <c r="F431" s="9" t="s">
        <v>683</v>
      </c>
    </row>
    <row r="432" spans="1:6" x14ac:dyDescent="0.3">
      <c r="A432" s="9" t="s">
        <v>235</v>
      </c>
      <c r="B432" s="9" t="s">
        <v>736</v>
      </c>
      <c r="C432" s="9">
        <v>-7.5969509999999998</v>
      </c>
      <c r="D432" s="9">
        <v>22.153986</v>
      </c>
      <c r="E432" s="9" t="s">
        <v>682</v>
      </c>
      <c r="F432" s="9" t="s">
        <v>676</v>
      </c>
    </row>
    <row r="433" spans="1:6" x14ac:dyDescent="0.3">
      <c r="A433" s="9" t="s">
        <v>541</v>
      </c>
      <c r="B433" s="9" t="s">
        <v>699</v>
      </c>
      <c r="C433" s="9">
        <v>-1.4700059999999999</v>
      </c>
      <c r="D433" s="9">
        <v>18.680958</v>
      </c>
      <c r="E433" s="9" t="s">
        <v>682</v>
      </c>
      <c r="F433" s="9" t="s">
        <v>680</v>
      </c>
    </row>
    <row r="434" spans="1:6" x14ac:dyDescent="0.3">
      <c r="A434" s="9" t="s">
        <v>264</v>
      </c>
      <c r="B434" s="9" t="s">
        <v>699</v>
      </c>
      <c r="C434" s="9">
        <v>-1.5419050000000001</v>
      </c>
      <c r="D434" s="9">
        <v>14.730632999999999</v>
      </c>
      <c r="E434" s="9" t="s">
        <v>682</v>
      </c>
      <c r="F434" s="9" t="s">
        <v>683</v>
      </c>
    </row>
    <row r="435" spans="1:6" x14ac:dyDescent="0.3">
      <c r="A435" s="9" t="s">
        <v>657</v>
      </c>
      <c r="B435" s="9" t="s">
        <v>736</v>
      </c>
      <c r="C435" s="9">
        <v>-10.764815</v>
      </c>
      <c r="D435" s="9">
        <v>14.602039</v>
      </c>
      <c r="E435" s="9" t="s">
        <v>679</v>
      </c>
      <c r="F435" s="9" t="s">
        <v>696</v>
      </c>
    </row>
    <row r="436" spans="1:6" x14ac:dyDescent="0.3">
      <c r="A436" s="9" t="s">
        <v>302</v>
      </c>
      <c r="B436" s="9" t="s">
        <v>674</v>
      </c>
      <c r="C436" s="9">
        <v>-1.013558</v>
      </c>
      <c r="D436" s="9">
        <v>17.346937</v>
      </c>
      <c r="E436" s="9" t="s">
        <v>675</v>
      </c>
      <c r="F436" s="9" t="s">
        <v>680</v>
      </c>
    </row>
    <row r="437" spans="1:6" x14ac:dyDescent="0.3">
      <c r="A437" s="9" t="s">
        <v>654</v>
      </c>
      <c r="B437" s="9" t="s">
        <v>703</v>
      </c>
      <c r="C437" s="9">
        <v>-7.8215969999999997</v>
      </c>
      <c r="D437" s="9">
        <v>26.797349000000001</v>
      </c>
      <c r="E437" s="9" t="s">
        <v>682</v>
      </c>
      <c r="F437" s="9" t="s">
        <v>676</v>
      </c>
    </row>
    <row r="438" spans="1:6" x14ac:dyDescent="0.3">
      <c r="A438" s="9" t="s">
        <v>81</v>
      </c>
      <c r="B438" s="9" t="s">
        <v>725</v>
      </c>
      <c r="C438" s="9">
        <v>-9.7712979999999998</v>
      </c>
      <c r="D438" s="9">
        <v>19.827895999999999</v>
      </c>
      <c r="E438" s="9" t="s">
        <v>682</v>
      </c>
      <c r="F438" s="9" t="s">
        <v>683</v>
      </c>
    </row>
    <row r="439" spans="1:6" x14ac:dyDescent="0.3">
      <c r="A439" s="9" t="s">
        <v>860</v>
      </c>
      <c r="B439" s="9" t="s">
        <v>693</v>
      </c>
      <c r="C439" s="9">
        <v>3.3222779999999998</v>
      </c>
      <c r="D439" s="9">
        <v>29.497240000000001</v>
      </c>
      <c r="E439" s="9" t="s">
        <v>682</v>
      </c>
      <c r="F439" s="9" t="s">
        <v>683</v>
      </c>
    </row>
    <row r="440" spans="1:6" x14ac:dyDescent="0.3">
      <c r="A440" s="9" t="s">
        <v>529</v>
      </c>
      <c r="B440" s="9" t="s">
        <v>718</v>
      </c>
      <c r="C440" s="9">
        <v>-1.3938550000000001</v>
      </c>
      <c r="D440" s="9">
        <v>15.097554000000001</v>
      </c>
      <c r="E440" s="9" t="s">
        <v>679</v>
      </c>
      <c r="F440" s="9" t="s">
        <v>680</v>
      </c>
    </row>
    <row r="441" spans="1:6" x14ac:dyDescent="0.3">
      <c r="A441" s="9" t="s">
        <v>436</v>
      </c>
      <c r="B441" s="9" t="s">
        <v>674</v>
      </c>
      <c r="C441" s="9">
        <v>-12.488033</v>
      </c>
      <c r="D441" s="9">
        <v>16.139648000000001</v>
      </c>
      <c r="E441" s="9" t="s">
        <v>679</v>
      </c>
      <c r="F441" s="9" t="s">
        <v>680</v>
      </c>
    </row>
    <row r="442" spans="1:6" x14ac:dyDescent="0.3">
      <c r="A442" s="9" t="s">
        <v>861</v>
      </c>
      <c r="B442" s="9" t="s">
        <v>718</v>
      </c>
      <c r="C442" s="9">
        <v>0.76493</v>
      </c>
      <c r="D442" s="9">
        <v>21.564274999999999</v>
      </c>
      <c r="E442" s="9" t="s">
        <v>682</v>
      </c>
      <c r="F442" s="9" t="s">
        <v>683</v>
      </c>
    </row>
    <row r="443" spans="1:6" x14ac:dyDescent="0.3">
      <c r="A443" s="9" t="s">
        <v>292</v>
      </c>
      <c r="B443" s="9" t="s">
        <v>710</v>
      </c>
      <c r="C443" s="9">
        <v>-4.1250960000000001</v>
      </c>
      <c r="D443" s="9">
        <v>27.799897999999999</v>
      </c>
      <c r="E443" s="9" t="s">
        <v>682</v>
      </c>
      <c r="F443" s="9" t="s">
        <v>696</v>
      </c>
    </row>
    <row r="444" spans="1:6" x14ac:dyDescent="0.3">
      <c r="A444" s="9" t="s">
        <v>77</v>
      </c>
      <c r="B444" s="9" t="s">
        <v>721</v>
      </c>
      <c r="C444" s="9">
        <v>4.4712560000000003</v>
      </c>
      <c r="D444" s="9">
        <v>27.107028</v>
      </c>
      <c r="E444" s="9" t="s">
        <v>682</v>
      </c>
      <c r="F444" s="9" t="s">
        <v>676</v>
      </c>
    </row>
    <row r="445" spans="1:6" x14ac:dyDescent="0.3">
      <c r="A445" s="9" t="s">
        <v>580</v>
      </c>
      <c r="B445" s="9" t="s">
        <v>674</v>
      </c>
      <c r="C445" s="9">
        <v>-2.2199559999999998</v>
      </c>
      <c r="D445" s="9">
        <v>22.614449</v>
      </c>
      <c r="E445" s="9" t="s">
        <v>682</v>
      </c>
      <c r="F445" s="9" t="s">
        <v>696</v>
      </c>
    </row>
    <row r="446" spans="1:6" x14ac:dyDescent="0.3">
      <c r="A446" s="9" t="s">
        <v>359</v>
      </c>
      <c r="B446" s="9" t="s">
        <v>736</v>
      </c>
      <c r="C446" s="9">
        <v>-6.4883290000000002</v>
      </c>
      <c r="D446" s="9">
        <v>25.103404000000001</v>
      </c>
      <c r="E446" s="9" t="s">
        <v>675</v>
      </c>
      <c r="F446" s="9" t="s">
        <v>683</v>
      </c>
    </row>
    <row r="447" spans="1:6" x14ac:dyDescent="0.3">
      <c r="A447" s="9" t="s">
        <v>199</v>
      </c>
      <c r="B447" s="9" t="s">
        <v>702</v>
      </c>
      <c r="C447" s="9">
        <v>-4.351254</v>
      </c>
      <c r="D447" s="9">
        <v>30.097408999999999</v>
      </c>
      <c r="E447" s="9" t="s">
        <v>675</v>
      </c>
      <c r="F447" s="9" t="s">
        <v>696</v>
      </c>
    </row>
    <row r="448" spans="1:6" x14ac:dyDescent="0.3">
      <c r="A448" s="9" t="s">
        <v>636</v>
      </c>
      <c r="B448" s="9" t="s">
        <v>721</v>
      </c>
      <c r="C448" s="9">
        <v>-5.1507670000000001</v>
      </c>
      <c r="D448" s="9">
        <v>28.075324999999999</v>
      </c>
      <c r="E448" s="9" t="s">
        <v>675</v>
      </c>
      <c r="F448" s="9" t="s">
        <v>680</v>
      </c>
    </row>
    <row r="449" spans="1:6" x14ac:dyDescent="0.3">
      <c r="A449" s="9" t="s">
        <v>862</v>
      </c>
      <c r="B449" s="9" t="s">
        <v>718</v>
      </c>
      <c r="C449" s="9">
        <v>-8.3575920000000004</v>
      </c>
      <c r="D449" s="9">
        <v>25.538395000000001</v>
      </c>
      <c r="E449" s="9" t="s">
        <v>682</v>
      </c>
      <c r="F449" s="9" t="s">
        <v>683</v>
      </c>
    </row>
    <row r="450" spans="1:6" x14ac:dyDescent="0.3">
      <c r="A450" s="9" t="s">
        <v>863</v>
      </c>
      <c r="B450" s="9" t="s">
        <v>710</v>
      </c>
      <c r="C450" s="9">
        <v>-0.65356899999999996</v>
      </c>
      <c r="D450" s="9">
        <v>25.343032999999998</v>
      </c>
      <c r="E450" s="9" t="s">
        <v>679</v>
      </c>
      <c r="F450" s="9" t="s">
        <v>676</v>
      </c>
    </row>
    <row r="451" spans="1:6" x14ac:dyDescent="0.3">
      <c r="A451" s="9" t="s">
        <v>864</v>
      </c>
      <c r="B451" s="9" t="s">
        <v>724</v>
      </c>
      <c r="C451" s="9">
        <v>-2.290705</v>
      </c>
      <c r="D451" s="9">
        <v>19.150395</v>
      </c>
      <c r="E451" s="9" t="s">
        <v>675</v>
      </c>
      <c r="F451" s="9" t="s">
        <v>676</v>
      </c>
    </row>
    <row r="452" spans="1:6" x14ac:dyDescent="0.3">
      <c r="A452" s="9" t="s">
        <v>17</v>
      </c>
      <c r="B452" s="9" t="s">
        <v>725</v>
      </c>
      <c r="C452" s="9">
        <v>4.8319039999999998</v>
      </c>
      <c r="D452" s="9">
        <v>20.733468999999999</v>
      </c>
      <c r="E452" s="9" t="s">
        <v>675</v>
      </c>
      <c r="F452" s="9" t="s">
        <v>676</v>
      </c>
    </row>
    <row r="453" spans="1:6" x14ac:dyDescent="0.3">
      <c r="A453" s="9" t="s">
        <v>865</v>
      </c>
      <c r="B453" s="9" t="s">
        <v>687</v>
      </c>
      <c r="C453" s="9">
        <v>-10.790281</v>
      </c>
      <c r="D453" s="9">
        <v>12.624336</v>
      </c>
      <c r="E453" s="9" t="s">
        <v>679</v>
      </c>
      <c r="F453" s="9" t="s">
        <v>696</v>
      </c>
    </row>
    <row r="454" spans="1:6" x14ac:dyDescent="0.3">
      <c r="A454" s="9" t="s">
        <v>866</v>
      </c>
      <c r="B454" s="9" t="s">
        <v>706</v>
      </c>
      <c r="C454" s="9">
        <v>2.0859640000000002</v>
      </c>
      <c r="D454" s="9">
        <v>22.576664000000001</v>
      </c>
      <c r="E454" s="9" t="s">
        <v>679</v>
      </c>
      <c r="F454" s="9" t="s">
        <v>683</v>
      </c>
    </row>
    <row r="455" spans="1:6" x14ac:dyDescent="0.3">
      <c r="A455" s="9" t="s">
        <v>444</v>
      </c>
      <c r="B455" s="9" t="s">
        <v>678</v>
      </c>
      <c r="C455" s="9">
        <v>5.3608999999999997E-2</v>
      </c>
      <c r="D455" s="9">
        <v>28.346852999999999</v>
      </c>
      <c r="E455" s="9" t="s">
        <v>682</v>
      </c>
      <c r="F455" s="9" t="s">
        <v>683</v>
      </c>
    </row>
    <row r="456" spans="1:6" x14ac:dyDescent="0.3">
      <c r="A456" s="9" t="s">
        <v>494</v>
      </c>
      <c r="B456" s="9" t="s">
        <v>695</v>
      </c>
      <c r="C456" s="9">
        <v>-7.9866700000000002</v>
      </c>
      <c r="D456" s="9">
        <v>17.757847000000002</v>
      </c>
      <c r="E456" s="9" t="s">
        <v>675</v>
      </c>
      <c r="F456" s="9" t="s">
        <v>680</v>
      </c>
    </row>
    <row r="457" spans="1:6" x14ac:dyDescent="0.3">
      <c r="A457" s="9" t="s">
        <v>565</v>
      </c>
      <c r="B457" s="9" t="s">
        <v>736</v>
      </c>
      <c r="C457" s="9">
        <v>-0.157111</v>
      </c>
      <c r="D457" s="9">
        <v>25.415125</v>
      </c>
      <c r="E457" s="9" t="s">
        <v>679</v>
      </c>
      <c r="F457" s="9" t="s">
        <v>676</v>
      </c>
    </row>
    <row r="458" spans="1:6" x14ac:dyDescent="0.3">
      <c r="A458" s="9" t="s">
        <v>867</v>
      </c>
      <c r="B458" s="9" t="s">
        <v>674</v>
      </c>
      <c r="C458" s="9">
        <v>-2.5254650000000001</v>
      </c>
      <c r="D458" s="9">
        <v>21.338113</v>
      </c>
      <c r="E458" s="9" t="s">
        <v>675</v>
      </c>
      <c r="F458" s="9" t="s">
        <v>696</v>
      </c>
    </row>
    <row r="459" spans="1:6" x14ac:dyDescent="0.3">
      <c r="A459" s="9" t="s">
        <v>367</v>
      </c>
      <c r="B459" s="9" t="s">
        <v>700</v>
      </c>
      <c r="C459" s="9">
        <v>-8.0864899999999995</v>
      </c>
      <c r="D459" s="9">
        <v>14.555277</v>
      </c>
      <c r="E459" s="9" t="s">
        <v>682</v>
      </c>
      <c r="F459" s="9" t="s">
        <v>676</v>
      </c>
    </row>
    <row r="460" spans="1:6" x14ac:dyDescent="0.3">
      <c r="A460" s="9" t="s">
        <v>192</v>
      </c>
      <c r="B460" s="9" t="s">
        <v>718</v>
      </c>
      <c r="C460" s="9">
        <v>1.210869</v>
      </c>
      <c r="D460" s="9">
        <v>25.598741</v>
      </c>
      <c r="E460" s="9" t="s">
        <v>679</v>
      </c>
      <c r="F460" s="9" t="s">
        <v>676</v>
      </c>
    </row>
    <row r="461" spans="1:6" x14ac:dyDescent="0.3">
      <c r="A461" s="9" t="s">
        <v>307</v>
      </c>
      <c r="B461" s="9" t="s">
        <v>736</v>
      </c>
      <c r="C461" s="9">
        <v>-1.4110389999999999</v>
      </c>
      <c r="D461" s="9">
        <v>21.261644</v>
      </c>
      <c r="E461" s="9" t="s">
        <v>679</v>
      </c>
      <c r="F461" s="9" t="s">
        <v>683</v>
      </c>
    </row>
    <row r="462" spans="1:6" x14ac:dyDescent="0.3">
      <c r="A462" s="9" t="s">
        <v>667</v>
      </c>
      <c r="B462" s="9" t="s">
        <v>692</v>
      </c>
      <c r="C462" s="9">
        <v>-5.7957599999999996</v>
      </c>
      <c r="D462" s="9">
        <v>14.078258</v>
      </c>
      <c r="E462" s="9" t="s">
        <v>675</v>
      </c>
      <c r="F462" s="9" t="s">
        <v>676</v>
      </c>
    </row>
    <row r="463" spans="1:6" x14ac:dyDescent="0.3">
      <c r="A463" s="9" t="s">
        <v>143</v>
      </c>
      <c r="B463" s="9" t="s">
        <v>674</v>
      </c>
      <c r="C463" s="9">
        <v>-4.4351269999999996</v>
      </c>
      <c r="D463" s="9">
        <v>24.825467</v>
      </c>
      <c r="E463" s="9" t="s">
        <v>679</v>
      </c>
      <c r="F463" s="9" t="s">
        <v>680</v>
      </c>
    </row>
    <row r="464" spans="1:6" x14ac:dyDescent="0.3">
      <c r="A464" s="9" t="s">
        <v>868</v>
      </c>
      <c r="B464" s="9" t="s">
        <v>705</v>
      </c>
      <c r="C464" s="9">
        <v>-2.1430220000000002</v>
      </c>
      <c r="D464" s="9">
        <v>24.541492999999999</v>
      </c>
      <c r="E464" s="9" t="s">
        <v>679</v>
      </c>
      <c r="F464" s="9" t="s">
        <v>683</v>
      </c>
    </row>
    <row r="465" spans="1:6" x14ac:dyDescent="0.3">
      <c r="A465" s="9" t="s">
        <v>388</v>
      </c>
      <c r="B465" s="9" t="s">
        <v>703</v>
      </c>
      <c r="C465" s="9">
        <v>-5.7200150000000001</v>
      </c>
      <c r="D465" s="9">
        <v>25.022109</v>
      </c>
      <c r="E465" s="9" t="s">
        <v>675</v>
      </c>
      <c r="F465" s="9" t="s">
        <v>683</v>
      </c>
    </row>
    <row r="466" spans="1:6" x14ac:dyDescent="0.3">
      <c r="A466" s="9" t="s">
        <v>869</v>
      </c>
      <c r="B466" s="9" t="s">
        <v>710</v>
      </c>
      <c r="C466" s="9">
        <v>-4.2784089999999999</v>
      </c>
      <c r="D466" s="9">
        <v>22.871994000000001</v>
      </c>
      <c r="E466" s="9" t="s">
        <v>682</v>
      </c>
      <c r="F466" s="9" t="s">
        <v>676</v>
      </c>
    </row>
    <row r="467" spans="1:6" x14ac:dyDescent="0.3">
      <c r="A467" s="9" t="s">
        <v>870</v>
      </c>
      <c r="B467" s="9" t="s">
        <v>736</v>
      </c>
      <c r="C467" s="9">
        <v>-7.9799689999999996</v>
      </c>
      <c r="D467" s="9">
        <v>21.042310000000001</v>
      </c>
      <c r="E467" s="9" t="s">
        <v>679</v>
      </c>
      <c r="F467" s="9" t="s">
        <v>683</v>
      </c>
    </row>
    <row r="468" spans="1:6" x14ac:dyDescent="0.3">
      <c r="A468" s="9" t="s">
        <v>871</v>
      </c>
      <c r="B468" s="9" t="s">
        <v>710</v>
      </c>
      <c r="C468" s="9">
        <v>0.82399199999999995</v>
      </c>
      <c r="D468" s="9">
        <v>28.232678</v>
      </c>
      <c r="E468" s="9" t="s">
        <v>682</v>
      </c>
      <c r="F468" s="9" t="s">
        <v>680</v>
      </c>
    </row>
    <row r="469" spans="1:6" x14ac:dyDescent="0.3">
      <c r="A469" s="9" t="s">
        <v>872</v>
      </c>
      <c r="B469" s="9" t="s">
        <v>693</v>
      </c>
      <c r="C469" s="9">
        <v>-11.055339999999999</v>
      </c>
      <c r="D469" s="9">
        <v>21.627016000000001</v>
      </c>
      <c r="E469" s="9" t="s">
        <v>675</v>
      </c>
      <c r="F469" s="9" t="s">
        <v>696</v>
      </c>
    </row>
    <row r="470" spans="1:6" x14ac:dyDescent="0.3">
      <c r="A470" s="9" t="s">
        <v>873</v>
      </c>
      <c r="B470" s="9" t="s">
        <v>721</v>
      </c>
      <c r="C470" s="9">
        <v>-4.0490719999999998</v>
      </c>
      <c r="D470" s="9">
        <v>21.399131000000001</v>
      </c>
      <c r="E470" s="9" t="s">
        <v>682</v>
      </c>
      <c r="F470" s="9" t="s">
        <v>683</v>
      </c>
    </row>
    <row r="471" spans="1:6" x14ac:dyDescent="0.3">
      <c r="A471" s="9" t="s">
        <v>637</v>
      </c>
      <c r="B471" s="9" t="s">
        <v>706</v>
      </c>
      <c r="C471" s="9">
        <v>-1.6893210000000001</v>
      </c>
      <c r="D471" s="9">
        <v>30.446543999999999</v>
      </c>
      <c r="E471" s="9" t="s">
        <v>679</v>
      </c>
      <c r="F471" s="9" t="s">
        <v>680</v>
      </c>
    </row>
    <row r="472" spans="1:6" x14ac:dyDescent="0.3">
      <c r="A472" s="9" t="s">
        <v>283</v>
      </c>
      <c r="B472" s="9" t="s">
        <v>692</v>
      </c>
      <c r="C472" s="9">
        <v>-10.577049000000001</v>
      </c>
      <c r="D472" s="9">
        <v>23.721854</v>
      </c>
      <c r="E472" s="9" t="s">
        <v>679</v>
      </c>
      <c r="F472" s="9" t="s">
        <v>683</v>
      </c>
    </row>
    <row r="473" spans="1:6" x14ac:dyDescent="0.3">
      <c r="A473" s="9" t="s">
        <v>558</v>
      </c>
      <c r="B473" s="9" t="s">
        <v>699</v>
      </c>
      <c r="C473" s="9">
        <v>-11.207139</v>
      </c>
      <c r="D473" s="9">
        <v>18.702511999999999</v>
      </c>
      <c r="E473" s="9" t="s">
        <v>675</v>
      </c>
      <c r="F473" s="9" t="s">
        <v>676</v>
      </c>
    </row>
    <row r="474" spans="1:6" x14ac:dyDescent="0.3">
      <c r="A474" s="9" t="s">
        <v>874</v>
      </c>
      <c r="B474" s="9" t="s">
        <v>702</v>
      </c>
      <c r="C474" s="9">
        <v>-12.048655999999999</v>
      </c>
      <c r="D474" s="9">
        <v>30.577876</v>
      </c>
      <c r="E474" s="9" t="s">
        <v>675</v>
      </c>
      <c r="F474" s="9" t="s">
        <v>683</v>
      </c>
    </row>
    <row r="475" spans="1:6" x14ac:dyDescent="0.3">
      <c r="A475" s="9" t="s">
        <v>875</v>
      </c>
      <c r="B475" s="9" t="s">
        <v>689</v>
      </c>
      <c r="C475" s="9">
        <v>-11.771884</v>
      </c>
      <c r="D475" s="9">
        <v>18.089172999999999</v>
      </c>
      <c r="E475" s="9" t="s">
        <v>679</v>
      </c>
      <c r="F475" s="9" t="s">
        <v>696</v>
      </c>
    </row>
    <row r="476" spans="1:6" x14ac:dyDescent="0.3">
      <c r="A476" s="9" t="s">
        <v>162</v>
      </c>
      <c r="B476" s="9" t="s">
        <v>692</v>
      </c>
      <c r="C476" s="9">
        <v>-0.79406600000000005</v>
      </c>
      <c r="D476" s="9">
        <v>12.534793000000001</v>
      </c>
      <c r="E476" s="9" t="s">
        <v>682</v>
      </c>
      <c r="F476" s="9" t="s">
        <v>680</v>
      </c>
    </row>
    <row r="477" spans="1:6" x14ac:dyDescent="0.3">
      <c r="A477" s="9" t="s">
        <v>315</v>
      </c>
      <c r="B477" s="9" t="s">
        <v>706</v>
      </c>
      <c r="C477" s="9">
        <v>4.497306</v>
      </c>
      <c r="D477" s="9">
        <v>12.857251</v>
      </c>
      <c r="E477" s="9" t="s">
        <v>675</v>
      </c>
      <c r="F477" s="9" t="s">
        <v>676</v>
      </c>
    </row>
    <row r="478" spans="1:6" x14ac:dyDescent="0.3">
      <c r="A478" s="9" t="s">
        <v>876</v>
      </c>
      <c r="B478" s="9" t="s">
        <v>692</v>
      </c>
      <c r="C478" s="9">
        <v>-6.1126060000000004</v>
      </c>
      <c r="D478" s="9">
        <v>27.901748999999999</v>
      </c>
      <c r="E478" s="9" t="s">
        <v>679</v>
      </c>
      <c r="F478" s="9" t="s">
        <v>683</v>
      </c>
    </row>
    <row r="479" spans="1:6" x14ac:dyDescent="0.3">
      <c r="A479" s="9" t="s">
        <v>42</v>
      </c>
      <c r="B479" s="9" t="s">
        <v>678</v>
      </c>
      <c r="C479" s="9">
        <v>-0.77432100000000004</v>
      </c>
      <c r="D479" s="9">
        <v>18.628658999999999</v>
      </c>
      <c r="E479" s="9" t="s">
        <v>679</v>
      </c>
      <c r="F479" s="9" t="s">
        <v>680</v>
      </c>
    </row>
    <row r="480" spans="1:6" x14ac:dyDescent="0.3">
      <c r="A480" s="9" t="s">
        <v>127</v>
      </c>
      <c r="B480" s="9" t="s">
        <v>695</v>
      </c>
      <c r="C480" s="9">
        <v>-10.25074</v>
      </c>
      <c r="D480" s="9">
        <v>26.099086</v>
      </c>
      <c r="E480" s="9" t="s">
        <v>679</v>
      </c>
      <c r="F480" s="9" t="s">
        <v>680</v>
      </c>
    </row>
    <row r="481" spans="1:6" x14ac:dyDescent="0.3">
      <c r="A481" s="9" t="s">
        <v>151</v>
      </c>
      <c r="B481" s="9" t="s">
        <v>674</v>
      </c>
      <c r="C481" s="9">
        <v>-1.8045979999999999</v>
      </c>
      <c r="D481" s="9">
        <v>12.511096999999999</v>
      </c>
      <c r="E481" s="9" t="s">
        <v>682</v>
      </c>
      <c r="F481" s="9" t="s">
        <v>680</v>
      </c>
    </row>
    <row r="482" spans="1:6" x14ac:dyDescent="0.3">
      <c r="A482" s="9" t="s">
        <v>475</v>
      </c>
      <c r="B482" s="9" t="s">
        <v>684</v>
      </c>
      <c r="C482" s="9">
        <v>-11.265995</v>
      </c>
      <c r="D482" s="9">
        <v>28.935514999999999</v>
      </c>
      <c r="E482" s="9" t="s">
        <v>679</v>
      </c>
      <c r="F482" s="9" t="s">
        <v>676</v>
      </c>
    </row>
    <row r="483" spans="1:6" x14ac:dyDescent="0.3">
      <c r="A483" s="9" t="s">
        <v>132</v>
      </c>
      <c r="B483" s="9" t="s">
        <v>692</v>
      </c>
      <c r="C483" s="9">
        <v>-11.622688999999999</v>
      </c>
      <c r="D483" s="9">
        <v>18.483874</v>
      </c>
      <c r="E483" s="9" t="s">
        <v>675</v>
      </c>
      <c r="F483" s="9" t="s">
        <v>683</v>
      </c>
    </row>
    <row r="484" spans="1:6" x14ac:dyDescent="0.3">
      <c r="A484" s="9" t="s">
        <v>181</v>
      </c>
      <c r="B484" s="9" t="s">
        <v>692</v>
      </c>
      <c r="C484" s="9">
        <v>0.52897499999999997</v>
      </c>
      <c r="D484" s="9">
        <v>13.849651</v>
      </c>
      <c r="E484" s="9" t="s">
        <v>682</v>
      </c>
      <c r="F484" s="9" t="s">
        <v>683</v>
      </c>
    </row>
    <row r="485" spans="1:6" x14ac:dyDescent="0.3">
      <c r="A485" s="9" t="s">
        <v>877</v>
      </c>
      <c r="B485" s="9" t="s">
        <v>725</v>
      </c>
      <c r="C485" s="9">
        <v>0.81629799999999997</v>
      </c>
      <c r="D485" s="9">
        <v>18.557718000000001</v>
      </c>
      <c r="E485" s="9" t="s">
        <v>675</v>
      </c>
      <c r="F485" s="9" t="s">
        <v>676</v>
      </c>
    </row>
    <row r="486" spans="1:6" x14ac:dyDescent="0.3">
      <c r="A486" s="9" t="s">
        <v>666</v>
      </c>
      <c r="B486" s="9" t="s">
        <v>678</v>
      </c>
      <c r="C486" s="9">
        <v>1.2691650000000001</v>
      </c>
      <c r="D486" s="9">
        <v>18.789956</v>
      </c>
      <c r="E486" s="9" t="s">
        <v>682</v>
      </c>
      <c r="F486" s="9" t="s">
        <v>696</v>
      </c>
    </row>
    <row r="487" spans="1:6" x14ac:dyDescent="0.3">
      <c r="A487" s="9" t="s">
        <v>186</v>
      </c>
      <c r="B487" s="9" t="s">
        <v>715</v>
      </c>
      <c r="C487" s="9">
        <v>-9.3652280000000001</v>
      </c>
      <c r="D487" s="9">
        <v>18.674116000000001</v>
      </c>
      <c r="E487" s="9" t="s">
        <v>679</v>
      </c>
      <c r="F487" s="9" t="s">
        <v>680</v>
      </c>
    </row>
    <row r="488" spans="1:6" x14ac:dyDescent="0.3">
      <c r="A488" s="9" t="s">
        <v>878</v>
      </c>
      <c r="B488" s="9" t="s">
        <v>695</v>
      </c>
      <c r="C488" s="9">
        <v>-1.082322</v>
      </c>
      <c r="D488" s="9">
        <v>24.563559999999999</v>
      </c>
      <c r="E488" s="9" t="s">
        <v>679</v>
      </c>
      <c r="F488" s="9" t="s">
        <v>683</v>
      </c>
    </row>
    <row r="489" spans="1:6" x14ac:dyDescent="0.3">
      <c r="A489" s="9" t="s">
        <v>262</v>
      </c>
      <c r="B489" s="9" t="s">
        <v>695</v>
      </c>
      <c r="C489" s="9">
        <v>-4.1754939999999996</v>
      </c>
      <c r="D489" s="9">
        <v>16.704664999999999</v>
      </c>
      <c r="E489" s="9" t="s">
        <v>682</v>
      </c>
      <c r="F489" s="9" t="s">
        <v>676</v>
      </c>
    </row>
    <row r="490" spans="1:6" x14ac:dyDescent="0.3">
      <c r="A490" s="9" t="s">
        <v>879</v>
      </c>
      <c r="B490" s="9" t="s">
        <v>681</v>
      </c>
      <c r="C490" s="9">
        <v>-8.290025</v>
      </c>
      <c r="D490" s="9">
        <v>24.313573999999999</v>
      </c>
      <c r="E490" s="9" t="s">
        <v>679</v>
      </c>
      <c r="F490" s="9" t="s">
        <v>676</v>
      </c>
    </row>
    <row r="491" spans="1:6" x14ac:dyDescent="0.3">
      <c r="A491" s="9" t="s">
        <v>612</v>
      </c>
      <c r="B491" s="9" t="s">
        <v>698</v>
      </c>
      <c r="C491" s="9">
        <v>-6.8149179999999996</v>
      </c>
      <c r="D491" s="9">
        <v>23.258102000000001</v>
      </c>
      <c r="E491" s="9" t="s">
        <v>675</v>
      </c>
      <c r="F491" s="9" t="s">
        <v>680</v>
      </c>
    </row>
    <row r="492" spans="1:6" x14ac:dyDescent="0.3">
      <c r="A492" s="9" t="s">
        <v>118</v>
      </c>
      <c r="B492" s="9" t="s">
        <v>678</v>
      </c>
      <c r="C492" s="9">
        <v>2.4741019999999998</v>
      </c>
      <c r="D492" s="9">
        <v>29.297391000000001</v>
      </c>
      <c r="E492" s="9" t="s">
        <v>679</v>
      </c>
      <c r="F492" s="9" t="s">
        <v>676</v>
      </c>
    </row>
    <row r="493" spans="1:6" x14ac:dyDescent="0.3">
      <c r="A493" s="9" t="s">
        <v>581</v>
      </c>
      <c r="B493" s="9" t="s">
        <v>718</v>
      </c>
      <c r="C493" s="9">
        <v>-3.1608390000000002</v>
      </c>
      <c r="D493" s="9">
        <v>13.244503999999999</v>
      </c>
      <c r="E493" s="9" t="s">
        <v>682</v>
      </c>
      <c r="F493" s="9" t="s">
        <v>680</v>
      </c>
    </row>
    <row r="494" spans="1:6" x14ac:dyDescent="0.3">
      <c r="A494" s="9" t="s">
        <v>880</v>
      </c>
      <c r="B494" s="9" t="s">
        <v>702</v>
      </c>
      <c r="C494" s="9">
        <v>4.1464489999999996</v>
      </c>
      <c r="D494" s="9">
        <v>17.793337000000001</v>
      </c>
      <c r="E494" s="9" t="s">
        <v>675</v>
      </c>
      <c r="F494" s="9" t="s">
        <v>683</v>
      </c>
    </row>
    <row r="495" spans="1:6" x14ac:dyDescent="0.3">
      <c r="A495" s="9" t="s">
        <v>244</v>
      </c>
      <c r="B495" s="9" t="s">
        <v>725</v>
      </c>
      <c r="C495" s="9">
        <v>-12.431227</v>
      </c>
      <c r="D495" s="9">
        <v>18.414290999999999</v>
      </c>
      <c r="E495" s="9" t="s">
        <v>675</v>
      </c>
      <c r="F495" s="9" t="s">
        <v>680</v>
      </c>
    </row>
    <row r="496" spans="1:6" x14ac:dyDescent="0.3">
      <c r="A496" s="9" t="s">
        <v>91</v>
      </c>
      <c r="B496" s="9" t="s">
        <v>699</v>
      </c>
      <c r="C496" s="9">
        <v>-5.2526849999999996</v>
      </c>
      <c r="D496" s="9">
        <v>12.374528</v>
      </c>
      <c r="E496" s="9" t="s">
        <v>682</v>
      </c>
      <c r="F496" s="9" t="s">
        <v>696</v>
      </c>
    </row>
    <row r="497" spans="1:6" x14ac:dyDescent="0.3">
      <c r="A497" s="9" t="s">
        <v>881</v>
      </c>
      <c r="B497" s="9" t="s">
        <v>693</v>
      </c>
      <c r="C497" s="9">
        <v>3.4689049999999999</v>
      </c>
      <c r="D497" s="9">
        <v>18.19622</v>
      </c>
      <c r="E497" s="9" t="s">
        <v>675</v>
      </c>
      <c r="F497" s="9" t="s">
        <v>680</v>
      </c>
    </row>
    <row r="498" spans="1:6" x14ac:dyDescent="0.3">
      <c r="A498" s="9" t="s">
        <v>882</v>
      </c>
      <c r="B498" s="9" t="s">
        <v>687</v>
      </c>
      <c r="C498" s="9">
        <v>-6.0946619999999996</v>
      </c>
      <c r="D498" s="9">
        <v>20.757277999999999</v>
      </c>
      <c r="E498" s="9" t="s">
        <v>675</v>
      </c>
      <c r="F498" s="9" t="s">
        <v>680</v>
      </c>
    </row>
    <row r="499" spans="1:6" x14ac:dyDescent="0.3">
      <c r="A499" s="9" t="s">
        <v>499</v>
      </c>
      <c r="B499" s="9" t="s">
        <v>693</v>
      </c>
      <c r="C499" s="9">
        <v>-7.3379339999999997</v>
      </c>
      <c r="D499" s="9">
        <v>28.404001999999998</v>
      </c>
      <c r="E499" s="9" t="s">
        <v>682</v>
      </c>
      <c r="F499" s="9" t="s">
        <v>696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DF49DE-6026-4AF8-8335-0F6F7FDC10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unifier</vt:lpstr>
      <vt:lpstr>client charne</vt:lpstr>
      <vt:lpstr>Synthèse Macroscopique </vt:lpstr>
      <vt:lpstr>logos transformer </vt:lpstr>
      <vt:lpstr>registe 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martial munguahana</dc:creator>
  <cp:lastModifiedBy>martial munguahana</cp:lastModifiedBy>
  <dcterms:created xsi:type="dcterms:W3CDTF">2026-03-21T11:47:31Z</dcterms:created>
  <dcterms:modified xsi:type="dcterms:W3CDTF">2026-03-30T01:11:49Z</dcterms:modified>
</cp:coreProperties>
</file>